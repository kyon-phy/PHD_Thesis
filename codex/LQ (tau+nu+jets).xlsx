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33=-1, 1.5TeV" sheetId="1" r:id="rId5"/>
    <sheet state="visible" name="bR33=-1, 2TeV" sheetId="2" r:id="rId6"/>
    <sheet state="visible" name="bR33=-1, 2.5TeV" sheetId="3" r:id="rId7"/>
    <sheet state="visible" name="bR33=-1, 3TeV" sheetId="4" r:id="rId8"/>
    <sheet state="visible" name="bR33=-1, 4TeV" sheetId="5" r:id="rId9"/>
    <sheet state="visible" name="bR33=-1, 5TeV" sheetId="6" r:id="rId10"/>
    <sheet state="visible" name="1.5TeV" sheetId="7" r:id="rId11"/>
    <sheet state="visible" name="1.8TeV" sheetId="8" r:id="rId12"/>
    <sheet state="visible" name="2TeV" sheetId="9" r:id="rId13"/>
    <sheet state="visible" name="2.5TeV" sheetId="10" r:id="rId14"/>
    <sheet state="visible" name="3TeV" sheetId="11" r:id="rId15"/>
    <sheet state="visible" name="4TeV" sheetId="12" r:id="rId16"/>
    <sheet state="visible" name="5TeV" sheetId="13" r:id="rId17"/>
    <sheet state="visible" name="Inf_1.5TeV" sheetId="14" r:id="rId18"/>
    <sheet state="visible" name="Inf_1.8TeV" sheetId="15" r:id="rId19"/>
    <sheet state="visible" name="Inf_2TeV" sheetId="16" r:id="rId20"/>
    <sheet state="visible" name="Inf_2.5TeV" sheetId="17" r:id="rId21"/>
    <sheet state="visible" name="Inf_3TeV" sheetId="18" r:id="rId22"/>
    <sheet state="visible" name="Inf_4TeV" sheetId="19" r:id="rId23"/>
    <sheet state="visible" name="Inf_5TeV" sheetId="20" r:id="rId24"/>
    <sheet state="visible" name="Simple analysis" sheetId="21" r:id="rId25"/>
    <sheet state="visible" name="NonResonance 1.5TeV" sheetId="22" r:id="rId26"/>
    <sheet state="visible" name="2024sample" sheetId="23" r:id="rId27"/>
    <sheet state="visible" name="4TeVOLD" sheetId="24" r:id="rId28"/>
    <sheet state="visible" name="5TeVOLD" sheetId="25" r:id="rId29"/>
    <sheet state="visible" name="1.5TeV index=15" sheetId="26" r:id="rId30"/>
    <sheet state="visible" name="2TeV index=39" sheetId="27" r:id="rId31"/>
    <sheet state="visible" name="2.5TeV index=39" sheetId="28" r:id="rId32"/>
    <sheet state="visible" name="MLM 1.5TeV" sheetId="29" r:id="rId33"/>
  </sheets>
  <definedNames/>
  <calcPr/>
</workbook>
</file>

<file path=xl/sharedStrings.xml><?xml version="1.0" encoding="utf-8"?>
<sst xmlns="http://schemas.openxmlformats.org/spreadsheetml/2006/main" count="825" uniqueCount="83">
  <si>
    <t>global scale factor</t>
  </si>
  <si>
    <t>Comments</t>
  </si>
  <si>
    <t>INDEX</t>
  </si>
  <si>
    <t>Mass</t>
  </si>
  <si>
    <t>betaL33</t>
  </si>
  <si>
    <t>betaL32</t>
  </si>
  <si>
    <t>betaL23</t>
  </si>
  <si>
    <t>betaR33</t>
  </si>
  <si>
    <t>gU</t>
  </si>
  <si>
    <t>kappa</t>
  </si>
  <si>
    <t>kappa~</t>
  </si>
  <si>
    <t>x-sec (nb) by MG+PY8</t>
  </si>
  <si>
    <t>unbiased standard deviation of K</t>
  </si>
  <si>
    <t>x-sec (fb) by MG+PY8</t>
  </si>
  <si>
    <t>stat. error</t>
  </si>
  <si>
    <t>x-sec (fb) obtained from 9 using weights</t>
  </si>
  <si>
    <t>comparison btw x-sec from the weight and x-sec from MG+PY8</t>
  </si>
  <si>
    <t>The number of events with non-zero weights</t>
  </si>
  <si>
    <t>ratio to the index 9</t>
  </si>
  <si>
    <t>ratio to the betaL23=0.2 with the same gU</t>
  </si>
  <si>
    <t>pb</t>
  </si>
  <si>
    <t>Baseline sample</t>
  </si>
  <si>
    <t>1.8TeV</t>
  </si>
  <si>
    <t>Recal width</t>
  </si>
  <si>
    <t>(fixed,[9])</t>
  </si>
  <si>
    <t>(re,[9])</t>
  </si>
  <si>
    <t>x-sec (fb) obtained from 11 using weights</t>
  </si>
  <si>
    <t>(re,[11])</t>
  </si>
  <si>
    <t>x-sec (fb) obtained from 16 using weights</t>
  </si>
  <si>
    <t>(re,[16])</t>
  </si>
  <si>
    <t>x-sec (fb) obtained from 18 using weights</t>
  </si>
  <si>
    <t>(re,[18])</t>
  </si>
  <si>
    <t>x-sec (fb) obtained from 23 using weights</t>
  </si>
  <si>
    <t>(re,[23])</t>
  </si>
  <si>
    <t>x-sec (fb) obtained from 25 using weights</t>
  </si>
  <si>
    <t>(re,[25])</t>
  </si>
  <si>
    <t>x-sec (fb) obtained from 30 using weights</t>
  </si>
  <si>
    <t>(re,[30])</t>
  </si>
  <si>
    <t>x-sec (fb) obtained from 37 using weights</t>
  </si>
  <si>
    <t>(re,[37])</t>
  </si>
  <si>
    <t>x-sec (fb) obtained from 4 using weights</t>
  </si>
  <si>
    <t>1.5TeV</t>
  </si>
  <si>
    <t>x-sec (fb) obtained from 39 using weights</t>
  </si>
  <si>
    <t>x-sec (fb) obtained from 53 using weights</t>
  </si>
  <si>
    <t>Width (GeV)</t>
  </si>
  <si>
    <t>identical to 57</t>
  </si>
  <si>
    <t>2TeV</t>
  </si>
  <si>
    <t>2.5TeV</t>
  </si>
  <si>
    <t>3TeV</t>
  </si>
  <si>
    <t>special</t>
  </si>
  <si>
    <t>4TeV</t>
  </si>
  <si>
    <t>5TeV</t>
  </si>
  <si>
    <t>[fb]</t>
  </si>
  <si>
    <t>Cut13 (Res)</t>
  </si>
  <si>
    <t>Cut21 (Non-Res)</t>
  </si>
  <si>
    <t>BSM</t>
  </si>
  <si>
    <t>stat err</t>
  </si>
  <si>
    <t>Interferance</t>
  </si>
  <si>
    <t>Sum</t>
  </si>
  <si>
    <t>Ratio (%)</t>
  </si>
  <si>
    <t>Generate events using only non-resonance graphs</t>
  </si>
  <si>
    <t>e8531</t>
  </si>
  <si>
    <t>v23.6.10</t>
  </si>
  <si>
    <t>No cut</t>
  </si>
  <si>
    <t>SR</t>
  </si>
  <si>
    <t>cut eff</t>
  </si>
  <si>
    <t>x-sec (pb)</t>
  </si>
  <si>
    <t>eff</t>
  </si>
  <si>
    <t>Resonance</t>
  </si>
  <si>
    <t>Non-resonance</t>
  </si>
  <si>
    <t>1.5TeV BFilter</t>
  </si>
  <si>
    <t>1.5 BVeto</t>
  </si>
  <si>
    <t>2.5TeV BFilter</t>
  </si>
  <si>
    <t>2.5TeV BVeto</t>
  </si>
  <si>
    <t>BR(tau-&gt;hadron)</t>
  </si>
  <si>
    <t># of request events</t>
  </si>
  <si>
    <t>How large do we need to get the same numbr</t>
  </si>
  <si>
    <t>New sample</t>
  </si>
  <si>
    <t>Like 537131</t>
  </si>
  <si>
    <t>Like 537132</t>
  </si>
  <si>
    <t>Like 537137</t>
  </si>
  <si>
    <t>Like 537138</t>
  </si>
  <si>
    <t>x-sec (fb) obtained from 15 using weights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</si>
</sst>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0.000E+00"/>
    <numFmt numFmtId="165" formatCode="0.0000E+00"/>
    <numFmt numFmtId="166" formatCode="#,##0.000"/>
    <numFmt numFmtId="167" formatCode="#,##0.000000000"/>
    <numFmt numFmtId="168" formatCode="#,##0.00000000"/>
    <numFmt numFmtId="169" formatCode="#,##0.0000000000"/>
    <numFmt numFmtId="170" formatCode="#,##0.0000000"/>
    <numFmt numFmtId="171" formatCode="#,##0.000000"/>
    <numFmt numFmtId="172" formatCode="#,##0.00000"/>
    <numFmt numFmtId="173" formatCode="#,##0.0000"/>
    <numFmt numFmtId="174" formatCode="#,##0.00000000000"/>
    <numFmt numFmtId="175" formatCode="#,##0.0"/>
    <numFmt numFmtId="176" formatCode="0.000"/>
    <numFmt numFmtId="177" formatCode="0.000000"/>
    <numFmt numFmtId="178" formatCode="0.0000000"/>
    <numFmt numFmtId="179" formatCode="0.00000000"/>
    <numFmt numFmtId="180" formatCode="0.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sz val="10.0"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4A7D6"/>
        <bgColor rgb="FFB4A7D6"/>
      </patternFill>
    </fill>
    <fill>
      <patternFill patternType="solid">
        <fgColor rgb="FFCC4125"/>
        <bgColor rgb="FFCC4125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FA8DC"/>
        <bgColor rgb="FF6FA8D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2" fontId="2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0" fillId="3" fontId="1" numFmtId="164" xfId="0" applyAlignment="1" applyFill="1" applyFont="1" applyNumberFormat="1">
      <alignment readingOrder="0"/>
    </xf>
    <xf borderId="0" fillId="3" fontId="1" numFmtId="165" xfId="0" applyAlignment="1" applyFill="1" applyFont="1" applyNumberFormat="1">
      <alignment readingOrder="0"/>
    </xf>
    <xf borderId="0" fillId="3" fontId="1" numFmtId="166" xfId="0" applyAlignment="1" applyFill="1" applyFont="1" applyNumberFormat="1">
      <alignment readingOrder="0"/>
    </xf>
    <xf borderId="0" fillId="3" fontId="1" numFmtId="4" xfId="0" applyAlignment="1" applyFill="1" applyFont="1" applyNumberFormat="1">
      <alignment readingOrder="0"/>
    </xf>
    <xf borderId="0" fillId="3" fontId="1" numFmtId="166" xfId="0" applyFill="1" applyFont="1" applyNumberFormat="1"/>
    <xf borderId="0" fillId="3" fontId="1" numFmtId="0" xfId="0" applyFill="1" applyFont="1"/>
    <xf borderId="0" fillId="3" fontId="1" numFmtId="167" xfId="0" applyAlignment="1" applyFill="1" applyFont="1" applyNumberFormat="1">
      <alignment readingOrder="0"/>
    </xf>
    <xf borderId="0" fillId="3" fontId="1" numFmtId="168" xfId="0" applyAlignment="1" applyFill="1" applyFont="1" applyNumberFormat="1">
      <alignment readingOrder="0"/>
    </xf>
    <xf borderId="0" fillId="3" fontId="1" numFmtId="169" xfId="0" applyAlignment="1" applyFill="1" applyFont="1" applyNumberFormat="1">
      <alignment readingOrder="0"/>
    </xf>
    <xf borderId="0" fillId="3" fontId="1" numFmtId="170" xfId="0" applyAlignment="1" applyFill="1" applyFont="1" applyNumberFormat="1">
      <alignment readingOrder="0"/>
    </xf>
    <xf borderId="0" fillId="3" fontId="1" numFmtId="171" xfId="0" applyAlignment="1" applyFill="1" applyFont="1" applyNumberFormat="1">
      <alignment readingOrder="0"/>
    </xf>
    <xf borderId="0" fillId="3" fontId="1" numFmtId="172" xfId="0" applyAlignment="1" applyFill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Alignment="1" applyFill="1" applyFont="1" applyNumberFormat="1">
      <alignment readingOrder="0"/>
    </xf>
    <xf borderId="0" fillId="4" fontId="1" numFmtId="165" xfId="0" applyAlignment="1" applyFill="1" applyFont="1" applyNumberFormat="1">
      <alignment readingOrder="0"/>
    </xf>
    <xf borderId="0" fillId="4" fontId="3" numFmtId="0" xfId="0" applyAlignment="1" applyFill="1" applyFont="1">
      <alignment readingOrder="0"/>
    </xf>
    <xf borderId="0" fillId="4" fontId="1" numFmtId="166" xfId="0" applyAlignment="1" applyFill="1" applyFont="1" applyNumberFormat="1">
      <alignment readingOrder="0"/>
    </xf>
    <xf borderId="0" fillId="4" fontId="1" numFmtId="4" xfId="0" applyAlignment="1" applyFill="1" applyFont="1" applyNumberFormat="1">
      <alignment readingOrder="0"/>
    </xf>
    <xf borderId="0" fillId="4" fontId="1" numFmtId="166" xfId="0" applyFill="1" applyFont="1" applyNumberFormat="1"/>
    <xf borderId="0" fillId="5" fontId="1" numFmtId="0" xfId="0" applyAlignment="1" applyFill="1" applyFont="1">
      <alignment readingOrder="0"/>
    </xf>
    <xf borderId="0" fillId="5" fontId="1" numFmtId="164" xfId="0" applyAlignment="1" applyFill="1" applyFont="1" applyNumberFormat="1">
      <alignment readingOrder="0"/>
    </xf>
    <xf borderId="0" fillId="5" fontId="1" numFmtId="165" xfId="0" applyAlignment="1" applyFill="1" applyFont="1" applyNumberFormat="1">
      <alignment readingOrder="0"/>
    </xf>
    <xf borderId="0" fillId="5" fontId="1" numFmtId="166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1" numFmtId="4" xfId="0" applyAlignment="1" applyFill="1" applyFont="1" applyNumberFormat="1">
      <alignment readingOrder="0"/>
    </xf>
    <xf borderId="0" fillId="5" fontId="1" numFmtId="166" xfId="0" applyFill="1" applyFont="1" applyNumberFormat="1"/>
    <xf borderId="0" fillId="3" fontId="1" numFmtId="173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164" xfId="0" applyAlignment="1" applyFill="1" applyFont="1" applyNumberFormat="1">
      <alignment readingOrder="0"/>
    </xf>
    <xf borderId="0" fillId="6" fontId="1" numFmtId="165" xfId="0" applyAlignment="1" applyFill="1" applyFont="1" applyNumberFormat="1">
      <alignment readingOrder="0"/>
    </xf>
    <xf borderId="0" fillId="6" fontId="1" numFmtId="166" xfId="0" applyAlignment="1" applyFill="1" applyFont="1" applyNumberFormat="1">
      <alignment readingOrder="0"/>
    </xf>
    <xf borderId="0" fillId="6" fontId="1" numFmtId="4" xfId="0" applyAlignment="1" applyFill="1" applyFont="1" applyNumberFormat="1">
      <alignment readingOrder="0"/>
    </xf>
    <xf borderId="0" fillId="6" fontId="1" numFmtId="166" xfId="0" applyFill="1" applyFont="1" applyNumberFormat="1"/>
    <xf borderId="0" fillId="6" fontId="3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7" fontId="1" numFmtId="164" xfId="0" applyAlignment="1" applyFill="1" applyFont="1" applyNumberFormat="1">
      <alignment readingOrder="0"/>
    </xf>
    <xf borderId="0" fillId="7" fontId="1" numFmtId="165" xfId="0" applyAlignment="1" applyFill="1" applyFont="1" applyNumberFormat="1">
      <alignment readingOrder="0"/>
    </xf>
    <xf borderId="0" fillId="7" fontId="1" numFmtId="166" xfId="0" applyAlignment="1" applyFill="1" applyFont="1" applyNumberFormat="1">
      <alignment readingOrder="0"/>
    </xf>
    <xf borderId="0" fillId="7" fontId="1" numFmtId="4" xfId="0" applyAlignment="1" applyFill="1" applyFont="1" applyNumberFormat="1">
      <alignment readingOrder="0"/>
    </xf>
    <xf borderId="0" fillId="7" fontId="1" numFmtId="166" xfId="0" applyFill="1" applyFont="1" applyNumberFormat="1"/>
    <xf borderId="0" fillId="7" fontId="3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8" fontId="1" numFmtId="164" xfId="0" applyAlignment="1" applyFill="1" applyFont="1" applyNumberFormat="1">
      <alignment readingOrder="0"/>
    </xf>
    <xf borderId="0" fillId="8" fontId="1" numFmtId="165" xfId="0" applyAlignment="1" applyFill="1" applyFont="1" applyNumberFormat="1">
      <alignment readingOrder="0"/>
    </xf>
    <xf borderId="0" fillId="8" fontId="1" numFmtId="166" xfId="0" applyAlignment="1" applyFill="1" applyFont="1" applyNumberFormat="1">
      <alignment readingOrder="0"/>
    </xf>
    <xf borderId="0" fillId="8" fontId="1" numFmtId="4" xfId="0" applyAlignment="1" applyFill="1" applyFont="1" applyNumberFormat="1">
      <alignment readingOrder="0"/>
    </xf>
    <xf borderId="0" fillId="8" fontId="1" numFmtId="166" xfId="0" applyFill="1" applyFont="1" applyNumberFormat="1"/>
    <xf borderId="0" fillId="8" fontId="3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9" fontId="1" numFmtId="164" xfId="0" applyAlignment="1" applyFill="1" applyFont="1" applyNumberFormat="1">
      <alignment readingOrder="0"/>
    </xf>
    <xf borderId="0" fillId="9" fontId="1" numFmtId="165" xfId="0" applyAlignment="1" applyFill="1" applyFont="1" applyNumberFormat="1">
      <alignment readingOrder="0"/>
    </xf>
    <xf borderId="0" fillId="9" fontId="1" numFmtId="166" xfId="0" applyAlignment="1" applyFill="1" applyFont="1" applyNumberFormat="1">
      <alignment readingOrder="0"/>
    </xf>
    <xf borderId="0" fillId="9" fontId="1" numFmtId="4" xfId="0" applyAlignment="1" applyFill="1" applyFont="1" applyNumberFormat="1">
      <alignment readingOrder="0"/>
    </xf>
    <xf borderId="0" fillId="9" fontId="1" numFmtId="166" xfId="0" applyFill="1" applyFont="1" applyNumberFormat="1"/>
    <xf borderId="0" fillId="9" fontId="3" numFmtId="0" xfId="0" applyAlignment="1" applyFill="1" applyFont="1">
      <alignment readingOrder="0"/>
    </xf>
    <xf borderId="0" fillId="3" fontId="1" numFmtId="174" xfId="0" applyAlignment="1" applyFill="1" applyFont="1" applyNumberFormat="1">
      <alignment readingOrder="0"/>
    </xf>
    <xf borderId="0" fillId="3" fontId="1" numFmtId="167" xfId="0" applyFill="1" applyFont="1" applyNumberFormat="1"/>
    <xf borderId="0" fillId="3" fontId="1" numFmtId="168" xfId="0" applyFill="1" applyFont="1" applyNumberFormat="1"/>
    <xf borderId="0" fillId="3" fontId="1" numFmtId="170" xfId="0" applyFill="1" applyFont="1" applyNumberFormat="1"/>
    <xf borderId="0" fillId="3" fontId="1" numFmtId="171" xfId="0" applyFill="1" applyFont="1" applyNumberFormat="1"/>
    <xf borderId="0" fillId="3" fontId="1" numFmtId="172" xfId="0" applyFill="1" applyFont="1" applyNumberFormat="1"/>
    <xf borderId="0" fillId="4" fontId="1" numFmtId="0" xfId="0" applyFill="1" applyFont="1"/>
    <xf borderId="0" fillId="5" fontId="1" numFmtId="0" xfId="0" applyFill="1" applyFont="1"/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1" numFmtId="0" xfId="0" applyAlignment="1" applyBorder="1" applyFont="1">
      <alignment readingOrder="0"/>
    </xf>
    <xf borderId="0" fillId="3" fontId="1" numFmtId="173" xfId="0" applyFill="1" applyFont="1" applyNumberFormat="1"/>
    <xf borderId="4" fillId="0" fontId="1" numFmtId="164" xfId="0" applyAlignment="1" applyBorder="1" applyFont="1" applyNumberFormat="1">
      <alignment readingOrder="0" shrinkToFit="0" wrapText="1"/>
    </xf>
    <xf borderId="0" fillId="6" fontId="1" numFmtId="0" xfId="0" applyFill="1" applyFont="1"/>
    <xf borderId="4" fillId="3" fontId="1" numFmtId="164" xfId="0" applyAlignment="1" applyBorder="1" applyFill="1" applyFont="1" applyNumberFormat="1">
      <alignment readingOrder="0"/>
    </xf>
    <xf borderId="0" fillId="3" fontId="1" numFmtId="164" xfId="0" applyFill="1" applyFont="1" applyNumberFormat="1"/>
    <xf borderId="5" fillId="3" fontId="1" numFmtId="0" xfId="0" applyBorder="1" applyFill="1" applyFont="1"/>
    <xf borderId="0" fillId="7" fontId="1" numFmtId="0" xfId="0" applyFill="1" applyFont="1"/>
    <xf borderId="0" fillId="3" fontId="1" numFmtId="11" xfId="0" applyAlignment="1" applyFill="1" applyFont="1" applyNumberFormat="1">
      <alignment readingOrder="0"/>
    </xf>
    <xf borderId="0" fillId="8" fontId="1" numFmtId="0" xfId="0" applyFill="1" applyFont="1"/>
    <xf borderId="0" fillId="10" fontId="1" numFmtId="0" xfId="0" applyAlignment="1" applyFill="1" applyFont="1">
      <alignment readingOrder="0"/>
    </xf>
    <xf borderId="0" fillId="9" fontId="1" numFmtId="0" xfId="0" applyFill="1" applyFont="1"/>
    <xf borderId="0" fillId="11" fontId="1" numFmtId="164" xfId="0" applyAlignment="1" applyFill="1" applyFont="1" applyNumberFormat="1">
      <alignment readingOrder="0"/>
    </xf>
    <xf borderId="0" fillId="11" fontId="1" numFmtId="164" xfId="0" applyFill="1" applyFont="1" applyNumberFormat="1"/>
    <xf borderId="0" fillId="11" fontId="1" numFmtId="0" xfId="0" applyFill="1" applyFont="1"/>
    <xf borderId="0" fillId="3" fontId="1" numFmtId="4" xfId="0" applyFill="1" applyFont="1" applyNumberFormat="1"/>
    <xf borderId="0" fillId="12" fontId="1" numFmtId="0" xfId="0" applyAlignment="1" applyFill="1" applyFont="1">
      <alignment readingOrder="0"/>
    </xf>
    <xf borderId="0" fillId="12" fontId="1" numFmtId="164" xfId="0" applyAlignment="1" applyFill="1" applyFont="1" applyNumberFormat="1">
      <alignment readingOrder="0"/>
    </xf>
    <xf borderId="0" fillId="12" fontId="1" numFmtId="165" xfId="0" applyAlignment="1" applyFill="1" applyFont="1" applyNumberFormat="1">
      <alignment readingOrder="0"/>
    </xf>
    <xf borderId="0" fillId="12" fontId="1" numFmtId="166" xfId="0" applyAlignment="1" applyFill="1" applyFont="1" applyNumberFormat="1">
      <alignment readingOrder="0"/>
    </xf>
    <xf borderId="0" fillId="12" fontId="1" numFmtId="4" xfId="0" applyAlignment="1" applyFill="1" applyFont="1" applyNumberFormat="1">
      <alignment readingOrder="0"/>
    </xf>
    <xf borderId="0" fillId="12" fontId="1" numFmtId="166" xfId="0" applyFill="1" applyFont="1" applyNumberFormat="1"/>
    <xf borderId="0" fillId="12" fontId="1" numFmtId="0" xfId="0" applyFill="1" applyFont="1"/>
    <xf borderId="0" fillId="13" fontId="1" numFmtId="0" xfId="0" applyAlignment="1" applyFill="1" applyFont="1">
      <alignment readingOrder="0"/>
    </xf>
    <xf borderId="0" fillId="13" fontId="1" numFmtId="164" xfId="0" applyAlignment="1" applyFill="1" applyFont="1" applyNumberFormat="1">
      <alignment readingOrder="0"/>
    </xf>
    <xf borderId="0" fillId="13" fontId="1" numFmtId="165" xfId="0" applyAlignment="1" applyFill="1" applyFont="1" applyNumberFormat="1">
      <alignment readingOrder="0"/>
    </xf>
    <xf borderId="0" fillId="13" fontId="1" numFmtId="166" xfId="0" applyAlignment="1" applyFill="1" applyFont="1" applyNumberFormat="1">
      <alignment readingOrder="0"/>
    </xf>
    <xf borderId="4" fillId="4" fontId="1" numFmtId="164" xfId="0" applyAlignment="1" applyBorder="1" applyFill="1" applyFont="1" applyNumberFormat="1">
      <alignment readingOrder="0"/>
    </xf>
    <xf borderId="0" fillId="13" fontId="1" numFmtId="4" xfId="0" applyAlignment="1" applyFill="1" applyFont="1" applyNumberFormat="1">
      <alignment readingOrder="0"/>
    </xf>
    <xf borderId="0" fillId="4" fontId="1" numFmtId="164" xfId="0" applyFill="1" applyFont="1" applyNumberFormat="1"/>
    <xf borderId="0" fillId="13" fontId="1" numFmtId="166" xfId="0" applyFill="1" applyFont="1" applyNumberFormat="1"/>
    <xf borderId="5" fillId="4" fontId="1" numFmtId="0" xfId="0" applyBorder="1" applyFill="1" applyFont="1"/>
    <xf borderId="0" fillId="13" fontId="1" numFmtId="0" xfId="0" applyFill="1" applyFont="1"/>
    <xf borderId="0" fillId="4" fontId="1" numFmtId="11" xfId="0" applyAlignment="1" applyFill="1" applyFont="1" applyNumberFormat="1">
      <alignment readingOrder="0"/>
    </xf>
    <xf borderId="4" fillId="5" fontId="1" numFmtId="164" xfId="0" applyAlignment="1" applyBorder="1" applyFill="1" applyFont="1" applyNumberFormat="1">
      <alignment readingOrder="0"/>
    </xf>
    <xf borderId="0" fillId="5" fontId="1" numFmtId="164" xfId="0" applyFill="1" applyFont="1" applyNumberFormat="1"/>
    <xf borderId="5" fillId="5" fontId="1" numFmtId="0" xfId="0" applyBorder="1" applyFill="1" applyFont="1"/>
    <xf borderId="0" fillId="3" fontId="1" numFmtId="175" xfId="0" applyFill="1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6" xfId="0" applyFont="1" applyNumberFormat="1"/>
    <xf borderId="0" fillId="0" fontId="1" numFmtId="0" xfId="0" applyFont="1"/>
    <xf borderId="0" fillId="0" fontId="1" numFmtId="176" xfId="0" applyFont="1" applyNumberFormat="1"/>
    <xf borderId="4" fillId="6" fontId="1" numFmtId="164" xfId="0" applyAlignment="1" applyBorder="1" applyFill="1" applyFont="1" applyNumberFormat="1">
      <alignment readingOrder="0"/>
    </xf>
    <xf borderId="0" fillId="6" fontId="1" numFmtId="164" xfId="0" applyFill="1" applyFont="1" applyNumberFormat="1"/>
    <xf borderId="5" fillId="6" fontId="1" numFmtId="0" xfId="0" applyBorder="1" applyFill="1" applyFont="1"/>
    <xf borderId="0" fillId="6" fontId="1" numFmtId="11" xfId="0" applyAlignment="1" applyFill="1" applyFont="1" applyNumberFormat="1">
      <alignment readingOrder="0"/>
    </xf>
    <xf borderId="0" fillId="3" fontId="1" numFmtId="11" xfId="0" applyFill="1" applyFont="1" applyNumberFormat="1"/>
    <xf borderId="4" fillId="14" fontId="1" numFmtId="164" xfId="0" applyAlignment="1" applyBorder="1" applyFill="1" applyFont="1" applyNumberFormat="1">
      <alignment readingOrder="0"/>
    </xf>
    <xf borderId="0" fillId="14" fontId="1" numFmtId="164" xfId="0" applyFill="1" applyFont="1" applyNumberFormat="1"/>
    <xf borderId="5" fillId="14" fontId="1" numFmtId="0" xfId="0" applyBorder="1" applyFill="1" applyFont="1"/>
    <xf borderId="0" fillId="5" fontId="1" numFmtId="11" xfId="0" applyAlignment="1" applyFill="1" applyFont="1" applyNumberFormat="1">
      <alignment readingOrder="0"/>
    </xf>
    <xf borderId="0" fillId="5" fontId="1" numFmtId="11" xfId="0" applyFill="1" applyFont="1" applyNumberFormat="1"/>
    <xf borderId="0" fillId="4" fontId="1" numFmtId="11" xfId="0" applyFill="1" applyFont="1" applyNumberFormat="1"/>
    <xf borderId="0" fillId="6" fontId="1" numFmtId="11" xfId="0" applyFill="1" applyFont="1" applyNumberFormat="1"/>
    <xf borderId="4" fillId="7" fontId="1" numFmtId="164" xfId="0" applyAlignment="1" applyBorder="1" applyFill="1" applyFont="1" applyNumberFormat="1">
      <alignment readingOrder="0"/>
    </xf>
    <xf borderId="0" fillId="7" fontId="1" numFmtId="164" xfId="0" applyFill="1" applyFont="1" applyNumberFormat="1"/>
    <xf borderId="5" fillId="7" fontId="1" numFmtId="0" xfId="0" applyBorder="1" applyFill="1" applyFont="1"/>
    <xf borderId="0" fillId="7" fontId="1" numFmtId="11" xfId="0" applyAlignment="1" applyFill="1" applyFont="1" applyNumberFormat="1">
      <alignment readingOrder="0"/>
    </xf>
    <xf borderId="0" fillId="7" fontId="1" numFmtId="11" xfId="0" applyFill="1" applyFont="1" applyNumberFormat="1"/>
    <xf borderId="4" fillId="15" fontId="1" numFmtId="164" xfId="0" applyAlignment="1" applyBorder="1" applyFill="1" applyFont="1" applyNumberFormat="1">
      <alignment readingOrder="0"/>
    </xf>
    <xf borderId="0" fillId="15" fontId="1" numFmtId="164" xfId="0" applyFill="1" applyFont="1" applyNumberFormat="1"/>
    <xf borderId="5" fillId="15" fontId="1" numFmtId="0" xfId="0" applyBorder="1" applyFill="1" applyFont="1"/>
    <xf borderId="0" fillId="8" fontId="1" numFmtId="11" xfId="0" applyAlignment="1" applyFill="1" applyFont="1" applyNumberFormat="1">
      <alignment readingOrder="0"/>
    </xf>
    <xf borderId="0" fillId="8" fontId="1" numFmtId="11" xfId="0" applyFill="1" applyFont="1" applyNumberFormat="1"/>
    <xf borderId="0" fillId="15" fontId="1" numFmtId="164" xfId="0" applyAlignment="1" applyFill="1" applyFont="1" applyNumberFormat="1">
      <alignment readingOrder="0"/>
    </xf>
    <xf borderId="0" fillId="15" fontId="1" numFmtId="0" xfId="0" applyFill="1" applyFont="1"/>
    <xf borderId="0" fillId="9" fontId="1" numFmtId="11" xfId="0" applyAlignment="1" applyFill="1" applyFont="1" applyNumberFormat="1">
      <alignment readingOrder="0"/>
    </xf>
    <xf borderId="0" fillId="9" fontId="1" numFmtId="11" xfId="0" applyFill="1" applyFont="1" applyNumberFormat="1"/>
    <xf borderId="0" fillId="12" fontId="1" numFmtId="11" xfId="0" applyAlignment="1" applyFill="1" applyFont="1" applyNumberFormat="1">
      <alignment readingOrder="0"/>
    </xf>
    <xf borderId="4" fillId="8" fontId="1" numFmtId="164" xfId="0" applyAlignment="1" applyBorder="1" applyFill="1" applyFont="1" applyNumberFormat="1">
      <alignment readingOrder="0"/>
    </xf>
    <xf borderId="0" fillId="8" fontId="1" numFmtId="164" xfId="0" applyFill="1" applyFont="1" applyNumberFormat="1"/>
    <xf borderId="5" fillId="8" fontId="1" numFmtId="0" xfId="0" applyBorder="1" applyFill="1" applyFont="1"/>
    <xf borderId="0" fillId="12" fontId="1" numFmtId="11" xfId="0" applyFill="1" applyFont="1" applyNumberFormat="1"/>
    <xf borderId="4" fillId="16" fontId="1" numFmtId="164" xfId="0" applyAlignment="1" applyBorder="1" applyFill="1" applyFont="1" applyNumberFormat="1">
      <alignment readingOrder="0"/>
    </xf>
    <xf borderId="0" fillId="16" fontId="1" numFmtId="164" xfId="0" applyFill="1" applyFont="1" applyNumberFormat="1"/>
    <xf borderId="5" fillId="16" fontId="1" numFmtId="0" xfId="0" applyBorder="1" applyFill="1" applyFont="1"/>
    <xf borderId="0" fillId="13" fontId="1" numFmtId="11" xfId="0" applyAlignment="1" applyFill="1" applyFont="1" applyNumberFormat="1">
      <alignment readingOrder="0"/>
    </xf>
    <xf borderId="0" fillId="13" fontId="1" numFmtId="11" xfId="0" applyFill="1" applyFont="1" applyNumberFormat="1"/>
    <xf borderId="0" fillId="0" fontId="1" numFmtId="11" xfId="0" applyAlignment="1" applyFont="1" applyNumberFormat="1">
      <alignment readingOrder="0"/>
    </xf>
    <xf borderId="4" fillId="9" fontId="1" numFmtId="164" xfId="0" applyAlignment="1" applyBorder="1" applyFill="1" applyFont="1" applyNumberFormat="1">
      <alignment readingOrder="0"/>
    </xf>
    <xf borderId="0" fillId="9" fontId="1" numFmtId="164" xfId="0" applyFill="1" applyFont="1" applyNumberFormat="1"/>
    <xf borderId="5" fillId="9" fontId="1" numFmtId="0" xfId="0" applyBorder="1" applyFill="1" applyFont="1"/>
    <xf borderId="4" fillId="17" fontId="1" numFmtId="164" xfId="0" applyAlignment="1" applyBorder="1" applyFill="1" applyFont="1" applyNumberFormat="1">
      <alignment readingOrder="0"/>
    </xf>
    <xf borderId="0" fillId="17" fontId="1" numFmtId="164" xfId="0" applyFill="1" applyFont="1" applyNumberFormat="1"/>
    <xf borderId="5" fillId="17" fontId="1" numFmtId="0" xfId="0" applyBorder="1" applyFill="1" applyFont="1"/>
    <xf borderId="0" fillId="17" fontId="1" numFmtId="164" xfId="0" applyAlignment="1" applyFill="1" applyFont="1" applyNumberFormat="1">
      <alignment readingOrder="0"/>
    </xf>
    <xf borderId="0" fillId="17" fontId="1" numFmtId="0" xfId="0" applyFill="1" applyFont="1"/>
    <xf borderId="4" fillId="12" fontId="1" numFmtId="164" xfId="0" applyAlignment="1" applyBorder="1" applyFill="1" applyFont="1" applyNumberFormat="1">
      <alignment readingOrder="0"/>
    </xf>
    <xf borderId="0" fillId="12" fontId="1" numFmtId="164" xfId="0" applyFill="1" applyFont="1" applyNumberFormat="1"/>
    <xf borderId="5" fillId="12" fontId="1" numFmtId="0" xfId="0" applyBorder="1" applyFill="1" applyFont="1"/>
    <xf borderId="4" fillId="13" fontId="1" numFmtId="164" xfId="0" applyAlignment="1" applyBorder="1" applyFill="1" applyFont="1" applyNumberFormat="1">
      <alignment readingOrder="0"/>
    </xf>
    <xf borderId="0" fillId="13" fontId="1" numFmtId="164" xfId="0" applyFill="1" applyFont="1" applyNumberFormat="1"/>
    <xf borderId="5" fillId="13" fontId="1" numFmtId="0" xfId="0" applyBorder="1" applyFill="1" applyFont="1"/>
    <xf borderId="0" fillId="18" fontId="1" numFmtId="164" xfId="0" applyAlignment="1" applyFill="1" applyFont="1" applyNumberFormat="1">
      <alignment readingOrder="0"/>
    </xf>
    <xf borderId="0" fillId="18" fontId="1" numFmtId="164" xfId="0" applyFill="1" applyFont="1" applyNumberFormat="1"/>
    <xf borderId="0" fillId="18" fontId="1" numFmtId="0" xfId="0" applyFill="1" applyFont="1"/>
    <xf borderId="0" fillId="18" fontId="1" numFmtId="11" xfId="0" applyAlignment="1" applyFill="1" applyFont="1" applyNumberFormat="1">
      <alignment readingOrder="0"/>
    </xf>
    <xf borderId="4" fillId="0" fontId="1" numFmtId="164" xfId="0" applyAlignment="1" applyBorder="1" applyFont="1" applyNumberFormat="1">
      <alignment readingOrder="0"/>
    </xf>
    <xf borderId="0" fillId="0" fontId="1" numFmtId="2" xfId="0" applyFont="1" applyNumberFormat="1"/>
    <xf borderId="4" fillId="0" fontId="1" numFmtId="2" xfId="0" applyBorder="1" applyFont="1" applyNumberFormat="1"/>
    <xf borderId="5" fillId="0" fontId="1" numFmtId="2" xfId="0" applyBorder="1" applyFont="1" applyNumberFormat="1"/>
    <xf borderId="0" fillId="0" fontId="1" numFmtId="11" xfId="0" applyFont="1" applyNumberFormat="1"/>
    <xf borderId="0" fillId="3" fontId="1" numFmtId="174" xfId="0" applyFill="1" applyFont="1" applyNumberFormat="1"/>
    <xf borderId="0" fillId="3" fontId="1" numFmtId="169" xfId="0" applyFill="1" applyFont="1" applyNumberForma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0" fillId="0" fontId="1" numFmtId="177" xfId="0" applyAlignment="1" applyFont="1" applyNumberFormat="1">
      <alignment readingOrder="0"/>
    </xf>
    <xf borderId="0" fillId="0" fontId="1" numFmtId="177" xfId="0" applyFont="1" applyNumberFormat="1"/>
    <xf borderId="0" fillId="0" fontId="1" numFmtId="178" xfId="0" applyAlignment="1" applyFont="1" applyNumberFormat="1">
      <alignment readingOrder="0"/>
    </xf>
    <xf borderId="0" fillId="0" fontId="1" numFmtId="178" xfId="0" applyFont="1" applyNumberFormat="1"/>
    <xf borderId="0" fillId="0" fontId="1" numFmtId="179" xfId="0" applyFont="1" applyNumberFormat="1"/>
    <xf borderId="0" fillId="0" fontId="1" numFmtId="179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7" fontId="1" numFmtId="177" xfId="0" applyFill="1" applyFont="1" applyNumberFormat="1"/>
    <xf borderId="0" fillId="7" fontId="1" numFmtId="2" xfId="0" applyFill="1" applyFont="1" applyNumberFormat="1"/>
    <xf borderId="0" fillId="7" fontId="1" numFmtId="179" xfId="0" applyFill="1" applyFont="1" applyNumberFormat="1"/>
    <xf borderId="0" fillId="0" fontId="1" numFmtId="180" xfId="0" applyFont="1" applyNumberFormat="1"/>
    <xf borderId="0" fillId="0" fontId="1" numFmtId="171" xfId="0" applyAlignment="1" applyFont="1" applyNumberFormat="1">
      <alignment readingOrder="0"/>
    </xf>
    <xf borderId="0" fillId="0" fontId="1" numFmtId="171" xfId="0" applyFont="1" applyNumberFormat="1"/>
    <xf borderId="0" fillId="0" fontId="1" numFmtId="170" xfId="0" applyAlignment="1" applyFont="1" applyNumberFormat="1">
      <alignment readingOrder="0"/>
    </xf>
    <xf borderId="0" fillId="3" fontId="1" numFmtId="177" xfId="0" applyAlignment="1" applyFill="1" applyFont="1" applyNumberFormat="1">
      <alignment readingOrder="0"/>
    </xf>
    <xf borderId="0" fillId="0" fontId="1" numFmtId="170" xfId="0" applyFont="1" applyNumberFormat="1"/>
    <xf borderId="0" fillId="0" fontId="1" numFmtId="1" xfId="0" applyFont="1" applyNumberFormat="1"/>
    <xf borderId="0" fillId="6" fontId="1" numFmtId="165" xfId="0" applyFill="1" applyFont="1" applyNumberFormat="1"/>
    <xf borderId="0" fillId="7" fontId="1" numFmtId="165" xfId="0" applyFill="1" applyFont="1" applyNumberFormat="1"/>
    <xf borderId="0" fillId="8" fontId="1" numFmtId="165" xfId="0" applyFill="1" applyFont="1" applyNumberFormat="1"/>
    <xf borderId="0" fillId="9" fontId="1" numFmtId="165" xfId="0" applyFill="1" applyFont="1" applyNumberFormat="1"/>
    <xf borderId="0" fillId="12" fontId="1" numFmtId="165" xfId="0" applyFill="1" applyFont="1" applyNumberFormat="1"/>
    <xf borderId="0" fillId="13" fontId="1" numFmtId="165" xfId="0" applyFill="1" applyFont="1" applyNumberFormat="1"/>
    <xf borderId="0" fillId="14" fontId="1" numFmtId="0" xfId="0" applyAlignment="1" applyFill="1" applyFont="1">
      <alignment readingOrder="0"/>
    </xf>
    <xf borderId="0" fillId="14" fontId="1" numFmtId="164" xfId="0" applyAlignment="1" applyFill="1" applyFont="1" applyNumberFormat="1">
      <alignment readingOrder="0"/>
    </xf>
    <xf borderId="0" fillId="14" fontId="1" numFmtId="165" xfId="0" applyAlignment="1" applyFill="1" applyFont="1" applyNumberFormat="1">
      <alignment readingOrder="0"/>
    </xf>
    <xf borderId="0" fillId="14" fontId="1" numFmtId="166" xfId="0" applyAlignment="1" applyFill="1" applyFont="1" applyNumberFormat="1">
      <alignment readingOrder="0"/>
    </xf>
    <xf borderId="0" fillId="14" fontId="1" numFmtId="4" xfId="0" applyAlignment="1" applyFill="1" applyFont="1" applyNumberFormat="1">
      <alignment readingOrder="0"/>
    </xf>
    <xf borderId="0" fillId="14" fontId="1" numFmtId="166" xfId="0" applyFill="1" applyFont="1" applyNumberFormat="1"/>
    <xf borderId="0" fillId="14" fontId="1" numFmtId="0" xfId="0" applyFill="1" applyFont="1"/>
    <xf borderId="0" fillId="17" fontId="1" numFmtId="0" xfId="0" applyAlignment="1" applyFill="1" applyFont="1">
      <alignment readingOrder="0"/>
    </xf>
    <xf borderId="0" fillId="17" fontId="1" numFmtId="165" xfId="0" applyAlignment="1" applyFill="1" applyFont="1" applyNumberFormat="1">
      <alignment readingOrder="0"/>
    </xf>
    <xf borderId="0" fillId="17" fontId="1" numFmtId="166" xfId="0" applyAlignment="1" applyFill="1" applyFont="1" applyNumberFormat="1">
      <alignment readingOrder="0"/>
    </xf>
    <xf borderId="0" fillId="17" fontId="1" numFmtId="4" xfId="0" applyAlignment="1" applyFill="1" applyFont="1" applyNumberFormat="1">
      <alignment readingOrder="0"/>
    </xf>
    <xf borderId="0" fillId="17" fontId="1" numFmtId="166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scale factor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'1.5TeV'!$V$5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'1.5TeV'!$V$6:$V$61</c:f>
              <c:numCache/>
            </c:numRef>
          </c:yVal>
        </c:ser>
        <c:ser>
          <c:idx val="1"/>
          <c:order val="1"/>
          <c:tx>
            <c:strRef>
              <c:f>'1.5TeV'!$Z$5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'1.5TeV'!$Z$6:$Z$61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242508"/>
        <c:axId val="1644965578"/>
      </c:scatterChart>
      <c:valAx>
        <c:axId val="4102425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4965578"/>
      </c:valAx>
      <c:valAx>
        <c:axId val="1644965578"/>
        <c:scaling>
          <c:orientation val="minMax"/>
          <c:max val="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scale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0242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ratio to the betaL23=0.2 with the same gU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'1.5TeV'!$U$6:$U$12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'1.5TeV'!$U$13:$U$19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'1.5TeV'!$U$20:$U$26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'1.5TeV'!$U$27:$U$33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'1.5TeV'!$U$34:$U$40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'1.5TeV'!$U$41:$U$47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'1.5TeV'!$U$48:$U$54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'1.5TeV'!$F$6:$F$12</c:f>
            </c:numRef>
          </c:xVal>
          <c:yVal>
            <c:numRef>
              <c:f>'1.5TeV'!$U$55:$U$61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6949046"/>
        <c:axId val="1417962525"/>
      </c:scatterChart>
      <c:valAx>
        <c:axId val="10269490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962525"/>
      </c:valAx>
      <c:valAx>
        <c:axId val="14179625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ratio to the betaL23=0.2 with the same gU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94904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scale factor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'1.5TeV'!$V$5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'1.5TeV'!$V$6:$V$61</c:f>
              <c:numCache/>
            </c:numRef>
          </c:yVal>
        </c:ser>
        <c:ser>
          <c:idx val="1"/>
          <c:order val="1"/>
          <c:tx>
            <c:strRef>
              <c:f>'1.8TeV'!$V$5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'1.8TeV'!$V$6:$V$61</c:f>
              <c:numCache/>
            </c:numRef>
          </c:yVal>
        </c:ser>
        <c:ser>
          <c:idx val="2"/>
          <c:order val="2"/>
          <c:tx>
            <c:strRef>
              <c:f>'2TeV'!$V$5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'2TeV'!$V$6:$V$61</c:f>
              <c:numCache/>
            </c:numRef>
          </c:yVal>
        </c:ser>
        <c:ser>
          <c:idx val="3"/>
          <c:order val="3"/>
          <c:tx>
            <c:strRef>
              <c:f>'2.5TeV'!$V$5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'2.5TeV'!$V$6:$V$61</c:f>
              <c:numCache/>
            </c:numRef>
          </c:yVal>
        </c:ser>
        <c:ser>
          <c:idx val="4"/>
          <c:order val="4"/>
          <c:tx>
            <c:strRef>
              <c:f>'3TeV'!$V$5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'3TeV'!$V$6:$V$61</c:f>
              <c:numCache/>
            </c:numRef>
          </c:yVal>
        </c:ser>
        <c:ser>
          <c:idx val="5"/>
          <c:order val="5"/>
          <c:tx>
            <c:strRef>
              <c:f>'4TeV'!$V$5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'4TeV'!$V$6:$V$61</c:f>
              <c:numCache/>
            </c:numRef>
          </c:yVal>
        </c:ser>
        <c:ser>
          <c:idx val="6"/>
          <c:order val="6"/>
          <c:tx>
            <c:strRef>
              <c:f>'5TeV'!$V$5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'3TeV'!$X$6:$X$66</c:f>
            </c:numRef>
          </c:xVal>
          <c:yVal>
            <c:numRef>
              <c:f>'5TeV'!$V$6:$V$61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417532"/>
        <c:axId val="961468239"/>
      </c:scatterChart>
      <c:valAx>
        <c:axId val="14314175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1468239"/>
      </c:valAx>
      <c:valAx>
        <c:axId val="961468239"/>
        <c:scaling>
          <c:orientation val="minMax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scale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14175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ratio to the betaL23=0.2 with the same gU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Inf_1.5TeV!$U$6:$U$12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Inf_1.5TeV!$U$13:$U$19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Inf_1.5TeV!$U$20:$U$26</c:f>
              <c:numCache/>
            </c:numRef>
          </c:yVal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Inf_1.5TeV!$U$27:$U$33</c:f>
              <c:numCache/>
            </c:numRef>
          </c:yVal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Inf_1.5TeV!$U$34:$U$40</c:f>
              <c:numCache/>
            </c:numRef>
          </c:yVal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Inf_1.5TeV!$U$41:$U$47</c:f>
              <c:numCache/>
            </c:numRef>
          </c:yVal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Inf_1.5TeV!$U$48:$U$54</c:f>
              <c:numCache/>
            </c:numRef>
          </c:yVal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Inf_1.5TeV!$F$6:$F$12</c:f>
            </c:numRef>
          </c:xVal>
          <c:yVal>
            <c:numRef>
              <c:f>Inf_1.5TeV!$U$55:$U$61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29404"/>
        <c:axId val="1917823790"/>
      </c:scatterChart>
      <c:valAx>
        <c:axId val="1366294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823790"/>
      </c:valAx>
      <c:valAx>
        <c:axId val="1917823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ratio to the betaL23=0.2 with the same gU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629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Global scale factor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1.5TeV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Inf_1.5TeV!$V$6:$V$61</c:f>
              <c:numCache/>
            </c:numRef>
          </c:yVal>
        </c:ser>
        <c:ser>
          <c:idx val="1"/>
          <c:order val="1"/>
          <c:tx>
            <c:v>1.8TeV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Inf_1.8TeV!$V$6:$V$66</c:f>
              <c:numCache/>
            </c:numRef>
          </c:yVal>
        </c:ser>
        <c:ser>
          <c:idx val="2"/>
          <c:order val="2"/>
          <c:tx>
            <c:v>2TeV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Inf_2TeV!$V$6:$V$66</c:f>
              <c:numCache/>
            </c:numRef>
          </c:yVal>
        </c:ser>
        <c:ser>
          <c:idx val="3"/>
          <c:order val="3"/>
          <c:tx>
            <c:strRef>
              <c:f>Inf_2.5TeV!$V$5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Inf_2.5TeV!$V$6:$V$61</c:f>
              <c:numCache/>
            </c:numRef>
          </c:yVal>
        </c:ser>
        <c:ser>
          <c:idx val="4"/>
          <c:order val="4"/>
          <c:tx>
            <c:strRef>
              <c:f>Inf_3TeV!$V$5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Inf_3TeV!$V$6:$V$61</c:f>
              <c:numCache/>
            </c:numRef>
          </c:yVal>
        </c:ser>
        <c:ser>
          <c:idx val="5"/>
          <c:order val="5"/>
          <c:tx>
            <c:strRef>
              <c:f>Inf_4TeV!$V$5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Inf_4TeV!$V$6:$V$66</c:f>
              <c:numCache/>
            </c:numRef>
          </c:yVal>
        </c:ser>
        <c:ser>
          <c:idx val="6"/>
          <c:order val="6"/>
          <c:tx>
            <c:strRef>
              <c:f>Inf_5TeV!$V$5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Inf_3TeV!$X$6:$X$66</c:f>
            </c:numRef>
          </c:xVal>
          <c:yVal>
            <c:numRef>
              <c:f>Inf_5TeV!$V$6:$V$66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516539"/>
        <c:axId val="1535727509"/>
      </c:scatterChart>
      <c:valAx>
        <c:axId val="5795165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5727509"/>
      </c:valAx>
      <c:valAx>
        <c:axId val="1535727509"/>
        <c:scaling>
          <c:orientation val="minMax"/>
          <c:max val="1.3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Global scale factor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95165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838200</xdr:colOff>
      <xdr:row>73</xdr:row>
      <xdr:rowOff>180975</xdr:rowOff>
    </xdr:from>
    <xdr:ext cx="8315325" cy="513397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180975</xdr:colOff>
      <xdr:row>73</xdr:row>
      <xdr:rowOff>180975</xdr:rowOff>
    </xdr:from>
    <xdr:ext cx="5715000" cy="35337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838200</xdr:colOff>
      <xdr:row>66</xdr:row>
      <xdr:rowOff>180975</xdr:rowOff>
    </xdr:from>
    <xdr:ext cx="8315325" cy="5133975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581025</xdr:colOff>
      <xdr:row>66</xdr:row>
      <xdr:rowOff>180975</xdr:rowOff>
    </xdr:from>
    <xdr:ext cx="5715000" cy="3533775"/>
    <xdr:graphicFrame>
      <xdr:nvGraphicFramePr>
        <xdr:cNvPr id="4" name="Chart 4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838200</xdr:colOff>
      <xdr:row>66</xdr:row>
      <xdr:rowOff>180975</xdr:rowOff>
    </xdr:from>
    <xdr:ext cx="8315325" cy="5133975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1.40491919191919E-8</v>
      </c>
      <c r="L6" s="11">
        <v>1.55653177837039E-10</v>
      </c>
      <c r="M6" s="10">
        <f t="shared" ref="M6:M47" si="1">K6*1000000</f>
        <v>0.01404919192</v>
      </c>
      <c r="N6" s="10"/>
      <c r="O6" s="10">
        <v>0.008529303</v>
      </c>
      <c r="P6" s="10"/>
      <c r="Q6" s="12">
        <f t="shared" ref="Q6:Q47" si="2">(O6-M6)/M6</f>
        <v>-0.3928972535</v>
      </c>
      <c r="R6" s="13" t="str">
        <f t="shared" ref="R6:R47" si="3">(O6-M6)/sqrt(N6*N6+P6*P6)</f>
        <v>#DIV/0!</v>
      </c>
      <c r="S6" s="8"/>
      <c r="T6" s="14">
        <f t="shared" ref="T6:T47" si="4">K6/$K$14</f>
        <v>0.008663249626</v>
      </c>
      <c r="U6" s="14">
        <f t="shared" ref="U6:U12" si="5">K6/$K$7</f>
        <v>0.1068834783</v>
      </c>
      <c r="V6" s="10">
        <f t="shared" ref="V6:V47" si="6">M6/O6</f>
        <v>1.647167643</v>
      </c>
      <c r="W6" s="15">
        <f t="shared" ref="W6:W47" si="7">IF(abs(1/V6-1)&lt;$W$5, 1, 0)</f>
        <v>0</v>
      </c>
      <c r="X6" s="8">
        <f t="shared" ref="X6:X47" si="8">B6</f>
        <v>1</v>
      </c>
      <c r="Y6" s="17">
        <f t="shared" ref="Y6:Y47" si="9">M6*0.001</f>
        <v>0.00001404919192</v>
      </c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1.31444E-7</v>
      </c>
      <c r="L7" s="11">
        <v>1.40772185039545E-9</v>
      </c>
      <c r="M7" s="10">
        <f t="shared" si="1"/>
        <v>0.131444</v>
      </c>
      <c r="N7" s="10"/>
      <c r="O7" s="10">
        <v>0.101375</v>
      </c>
      <c r="P7" s="10"/>
      <c r="Q7" s="12">
        <f t="shared" si="2"/>
        <v>-0.2287590152</v>
      </c>
      <c r="R7" s="13" t="str">
        <f t="shared" si="3"/>
        <v>#DIV/0!</v>
      </c>
      <c r="S7" s="8"/>
      <c r="T7" s="14">
        <f t="shared" si="4"/>
        <v>0.08105321576</v>
      </c>
      <c r="U7" s="14">
        <f t="shared" si="5"/>
        <v>1</v>
      </c>
      <c r="V7" s="10">
        <f t="shared" si="6"/>
        <v>1.296611591</v>
      </c>
      <c r="W7" s="8">
        <f t="shared" si="7"/>
        <v>0</v>
      </c>
      <c r="X7" s="8">
        <f t="shared" si="8"/>
        <v>2</v>
      </c>
      <c r="Y7" s="19">
        <f t="shared" si="9"/>
        <v>0.000131444</v>
      </c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9.92416E-7</v>
      </c>
      <c r="L8" s="11">
        <v>1.22138910816142E-8</v>
      </c>
      <c r="M8" s="10">
        <f t="shared" si="1"/>
        <v>0.992416</v>
      </c>
      <c r="N8" s="10"/>
      <c r="O8" s="10">
        <v>0.833128263</v>
      </c>
      <c r="P8" s="10"/>
      <c r="Q8" s="12">
        <f t="shared" si="2"/>
        <v>-0.160505007</v>
      </c>
      <c r="R8" s="13" t="str">
        <f t="shared" si="3"/>
        <v>#DIV/0!</v>
      </c>
      <c r="S8" s="8"/>
      <c r="T8" s="14">
        <f t="shared" si="4"/>
        <v>0.6119602886</v>
      </c>
      <c r="U8" s="14">
        <f t="shared" si="5"/>
        <v>7.550104988</v>
      </c>
      <c r="V8" s="10">
        <f t="shared" si="6"/>
        <v>1.191192334</v>
      </c>
      <c r="W8" s="8">
        <f t="shared" si="7"/>
        <v>0</v>
      </c>
      <c r="X8" s="8">
        <f t="shared" si="8"/>
        <v>3</v>
      </c>
      <c r="Y8" s="19">
        <f t="shared" si="9"/>
        <v>0.000992416</v>
      </c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3.29169E-6</v>
      </c>
      <c r="L9" s="11">
        <v>3.10658131629408E-8</v>
      </c>
      <c r="M9" s="10">
        <f t="shared" si="1"/>
        <v>3.29169</v>
      </c>
      <c r="N9" s="10"/>
      <c r="O9" s="10">
        <v>2.94899565</v>
      </c>
      <c r="P9" s="10"/>
      <c r="Q9" s="12">
        <f t="shared" si="2"/>
        <v>-0.104108938</v>
      </c>
      <c r="R9" s="13" t="str">
        <f t="shared" si="3"/>
        <v>#DIV/0!</v>
      </c>
      <c r="S9" s="8"/>
      <c r="T9" s="14">
        <f t="shared" si="4"/>
        <v>2.029777394</v>
      </c>
      <c r="U9" s="14">
        <f t="shared" si="5"/>
        <v>25.04252762</v>
      </c>
      <c r="V9" s="10">
        <f t="shared" si="6"/>
        <v>1.11620714</v>
      </c>
      <c r="W9" s="8">
        <f t="shared" si="7"/>
        <v>0</v>
      </c>
      <c r="X9" s="8">
        <f t="shared" si="8"/>
        <v>4</v>
      </c>
      <c r="Y9" s="20">
        <f t="shared" si="9"/>
        <v>0.00329169</v>
      </c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8.28942999999999E-6</v>
      </c>
      <c r="L10" s="11">
        <v>8.70337511450807E-8</v>
      </c>
      <c r="M10" s="10">
        <f t="shared" si="1"/>
        <v>8.28943</v>
      </c>
      <c r="N10" s="10"/>
      <c r="O10" s="10">
        <v>7.823297987</v>
      </c>
      <c r="P10" s="10"/>
      <c r="Q10" s="12">
        <f t="shared" si="2"/>
        <v>-0.05623209473</v>
      </c>
      <c r="R10" s="13" t="str">
        <f t="shared" si="3"/>
        <v>#DIV/0!</v>
      </c>
      <c r="S10" s="8"/>
      <c r="T10" s="14">
        <f t="shared" si="4"/>
        <v>5.111568108</v>
      </c>
      <c r="U10" s="14">
        <f t="shared" si="5"/>
        <v>63.06434679</v>
      </c>
      <c r="V10" s="10">
        <f t="shared" si="6"/>
        <v>1.059582546</v>
      </c>
      <c r="W10" s="8">
        <f t="shared" si="7"/>
        <v>1</v>
      </c>
      <c r="X10" s="8">
        <f t="shared" si="8"/>
        <v>5</v>
      </c>
      <c r="Y10" s="20">
        <f t="shared" si="9"/>
        <v>0.00828943</v>
      </c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1.79845E-5</v>
      </c>
      <c r="L11" s="11">
        <v>1.96460472288236E-7</v>
      </c>
      <c r="M11" s="10">
        <f t="shared" si="1"/>
        <v>17.9845</v>
      </c>
      <c r="N11" s="10"/>
      <c r="O11" s="10">
        <v>17.501307939</v>
      </c>
      <c r="P11" s="10"/>
      <c r="Q11" s="12">
        <f t="shared" si="2"/>
        <v>-0.02686713898</v>
      </c>
      <c r="R11" s="13" t="str">
        <f t="shared" si="3"/>
        <v>#DIV/0!</v>
      </c>
      <c r="S11" s="8"/>
      <c r="T11" s="14">
        <f t="shared" si="4"/>
        <v>11.08990565</v>
      </c>
      <c r="U11" s="14">
        <f t="shared" si="5"/>
        <v>136.8225252</v>
      </c>
      <c r="V11" s="10">
        <f t="shared" si="6"/>
        <v>1.027608911</v>
      </c>
      <c r="W11" s="8">
        <f t="shared" si="7"/>
        <v>1</v>
      </c>
      <c r="X11" s="8">
        <f t="shared" si="8"/>
        <v>6</v>
      </c>
      <c r="Y11" s="21">
        <f t="shared" si="9"/>
        <v>0.0179845</v>
      </c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3.49614E-5</v>
      </c>
      <c r="L12" s="11">
        <v>3.12490872593977E-7</v>
      </c>
      <c r="M12" s="10">
        <f t="shared" si="1"/>
        <v>34.9614</v>
      </c>
      <c r="N12" s="10"/>
      <c r="O12" s="10">
        <v>34.699250003</v>
      </c>
      <c r="P12" s="10"/>
      <c r="Q12" s="12">
        <f t="shared" si="2"/>
        <v>-0.007498269434</v>
      </c>
      <c r="R12" s="13" t="str">
        <f t="shared" si="3"/>
        <v>#DIV/0!</v>
      </c>
      <c r="S12" s="8"/>
      <c r="T12" s="14">
        <f t="shared" si="4"/>
        <v>21.55848801</v>
      </c>
      <c r="U12" s="14">
        <f t="shared" si="5"/>
        <v>265.9794285</v>
      </c>
      <c r="V12" s="10">
        <f t="shared" si="6"/>
        <v>1.007554918</v>
      </c>
      <c r="W12" s="8">
        <f t="shared" si="7"/>
        <v>1</v>
      </c>
      <c r="X12" s="8">
        <f t="shared" si="8"/>
        <v>7</v>
      </c>
      <c r="Y12" s="21">
        <f t="shared" si="9"/>
        <v>0.0349614</v>
      </c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1.38216E-7</v>
      </c>
      <c r="L13" s="24">
        <v>1.38627616879235E-9</v>
      </c>
      <c r="M13" s="23">
        <f t="shared" si="1"/>
        <v>0.138216</v>
      </c>
      <c r="N13" s="23"/>
      <c r="O13" s="23">
        <v>0.136468853</v>
      </c>
      <c r="P13" s="23"/>
      <c r="Q13" s="26">
        <f t="shared" si="2"/>
        <v>-0.01264070006</v>
      </c>
      <c r="R13" s="27" t="str">
        <f t="shared" si="3"/>
        <v>#DIV/0!</v>
      </c>
      <c r="S13" s="22"/>
      <c r="T13" s="28">
        <f t="shared" si="4"/>
        <v>0.08522908059</v>
      </c>
      <c r="U13" s="28">
        <f t="shared" ref="U13:U19" si="10">K13/$K$14</f>
        <v>0.08522908059</v>
      </c>
      <c r="V13" s="23">
        <f t="shared" si="6"/>
        <v>1.012802533</v>
      </c>
      <c r="W13" s="22">
        <f t="shared" si="7"/>
        <v>1</v>
      </c>
      <c r="X13" s="22">
        <f t="shared" si="8"/>
        <v>8</v>
      </c>
      <c r="Y13" s="19">
        <f t="shared" si="9"/>
        <v>0.000138216</v>
      </c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1.6217E-6</v>
      </c>
      <c r="L14" s="31">
        <v>1.87613938445388E-8</v>
      </c>
      <c r="M14" s="30">
        <f t="shared" si="1"/>
        <v>1.6217</v>
      </c>
      <c r="N14" s="30"/>
      <c r="O14" s="30">
        <v>1.622</v>
      </c>
      <c r="P14" s="30"/>
      <c r="Q14" s="32">
        <f t="shared" si="2"/>
        <v>0.0001849910588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0.9998150432</v>
      </c>
      <c r="W14" s="29">
        <f t="shared" si="7"/>
        <v>1</v>
      </c>
      <c r="X14" s="22">
        <f t="shared" si="8"/>
        <v>9</v>
      </c>
      <c r="Y14" s="20">
        <f t="shared" si="9"/>
        <v>0.0016217</v>
      </c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1.32161999999999E-5</v>
      </c>
      <c r="L15" s="24">
        <v>1.15424381647847E-7</v>
      </c>
      <c r="M15" s="23">
        <f t="shared" si="1"/>
        <v>13.2162</v>
      </c>
      <c r="N15" s="23"/>
      <c r="O15" s="23">
        <v>13.33005222</v>
      </c>
      <c r="P15" s="23"/>
      <c r="Q15" s="26">
        <f t="shared" si="2"/>
        <v>0.008614595723</v>
      </c>
      <c r="R15" s="27" t="str">
        <f t="shared" si="3"/>
        <v>#DIV/0!</v>
      </c>
      <c r="S15" s="22"/>
      <c r="T15" s="28">
        <f t="shared" si="4"/>
        <v>8.149596103</v>
      </c>
      <c r="U15" s="28">
        <f t="shared" si="10"/>
        <v>8.149596103</v>
      </c>
      <c r="V15" s="23">
        <f t="shared" si="6"/>
        <v>0.9914589817</v>
      </c>
      <c r="W15" s="22">
        <f t="shared" si="7"/>
        <v>1</v>
      </c>
      <c r="X15" s="22">
        <f t="shared" si="8"/>
        <v>10</v>
      </c>
      <c r="Y15" s="21">
        <f t="shared" si="9"/>
        <v>0.0132162</v>
      </c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4.6337E-5</v>
      </c>
      <c r="L16" s="24">
        <v>4.73219149693209E-7</v>
      </c>
      <c r="M16" s="23">
        <f t="shared" si="1"/>
        <v>46.337</v>
      </c>
      <c r="N16" s="23"/>
      <c r="O16" s="23">
        <v>47.183930423</v>
      </c>
      <c r="P16" s="23"/>
      <c r="Q16" s="26">
        <f t="shared" si="2"/>
        <v>0.01827762745</v>
      </c>
      <c r="R16" s="27" t="str">
        <f t="shared" si="3"/>
        <v>#DIV/0!</v>
      </c>
      <c r="S16" s="22"/>
      <c r="T16" s="28">
        <f t="shared" si="4"/>
        <v>28.5731023</v>
      </c>
      <c r="U16" s="28">
        <f t="shared" si="10"/>
        <v>28.5731023</v>
      </c>
      <c r="V16" s="23">
        <f t="shared" si="6"/>
        <v>0.9820504478</v>
      </c>
      <c r="W16" s="22">
        <f t="shared" si="7"/>
        <v>1</v>
      </c>
      <c r="X16" s="22">
        <f t="shared" si="8"/>
        <v>11</v>
      </c>
      <c r="Y16" s="21">
        <f t="shared" si="9"/>
        <v>0.046337</v>
      </c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1.21606E-4</v>
      </c>
      <c r="L17" s="24">
        <v>1.10534239861764E-6</v>
      </c>
      <c r="M17" s="23">
        <f t="shared" si="1"/>
        <v>121.606</v>
      </c>
      <c r="N17" s="23"/>
      <c r="O17" s="23">
        <v>125.172767736</v>
      </c>
      <c r="P17" s="23"/>
      <c r="Q17" s="26">
        <f t="shared" si="2"/>
        <v>0.02933052428</v>
      </c>
      <c r="R17" s="27" t="str">
        <f t="shared" si="3"/>
        <v>#DIV/0!</v>
      </c>
      <c r="S17" s="22"/>
      <c r="T17" s="28">
        <f t="shared" si="4"/>
        <v>74.98674231</v>
      </c>
      <c r="U17" s="28">
        <f t="shared" si="10"/>
        <v>74.98674231</v>
      </c>
      <c r="V17" s="23">
        <f t="shared" si="6"/>
        <v>0.9715052419</v>
      </c>
      <c r="W17" s="22">
        <f t="shared" si="7"/>
        <v>1</v>
      </c>
      <c r="X17" s="22">
        <f t="shared" si="8"/>
        <v>12</v>
      </c>
      <c r="Y17" s="36">
        <f t="shared" si="9"/>
        <v>0.121606</v>
      </c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2.61689E-4</v>
      </c>
      <c r="L18" s="24">
        <v>2.86923405117185E-6</v>
      </c>
      <c r="M18" s="23">
        <f t="shared" si="1"/>
        <v>261.689</v>
      </c>
      <c r="N18" s="23"/>
      <c r="O18" s="23">
        <v>280.020926893</v>
      </c>
      <c r="P18" s="23"/>
      <c r="Q18" s="26">
        <f t="shared" si="2"/>
        <v>0.07005234035</v>
      </c>
      <c r="R18" s="27" t="str">
        <f t="shared" si="3"/>
        <v>#DIV/0!</v>
      </c>
      <c r="S18" s="22"/>
      <c r="T18" s="28">
        <f t="shared" si="4"/>
        <v>161.3670839</v>
      </c>
      <c r="U18" s="28">
        <f t="shared" si="10"/>
        <v>161.3670839</v>
      </c>
      <c r="V18" s="23">
        <f t="shared" si="6"/>
        <v>0.9345337254</v>
      </c>
      <c r="W18" s="22">
        <f t="shared" si="7"/>
        <v>1</v>
      </c>
      <c r="X18" s="22">
        <f t="shared" si="8"/>
        <v>13</v>
      </c>
      <c r="Y18" s="36">
        <f t="shared" si="9"/>
        <v>0.261689</v>
      </c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5.15293E-4</v>
      </c>
      <c r="L19" s="24">
        <v>4.37717345723784E-6</v>
      </c>
      <c r="M19" s="23">
        <f t="shared" si="1"/>
        <v>515.293</v>
      </c>
      <c r="N19" s="23"/>
      <c r="O19" s="23">
        <v>555.188000333</v>
      </c>
      <c r="P19" s="23"/>
      <c r="Q19" s="26">
        <f t="shared" si="2"/>
        <v>0.07742197222</v>
      </c>
      <c r="R19" s="27" t="str">
        <f t="shared" si="3"/>
        <v>#DIV/0!</v>
      </c>
      <c r="S19" s="22"/>
      <c r="T19" s="28">
        <f t="shared" si="4"/>
        <v>317.7486588</v>
      </c>
      <c r="U19" s="28">
        <f t="shared" si="10"/>
        <v>317.7486588</v>
      </c>
      <c r="V19" s="23">
        <f t="shared" si="6"/>
        <v>0.9281414578</v>
      </c>
      <c r="W19" s="22">
        <f t="shared" si="7"/>
        <v>1</v>
      </c>
      <c r="X19" s="22">
        <f t="shared" si="8"/>
        <v>14</v>
      </c>
      <c r="Y19" s="36">
        <f t="shared" si="9"/>
        <v>0.515293</v>
      </c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6.20585E-7</v>
      </c>
      <c r="L20" s="39">
        <v>5.35345399690421E-9</v>
      </c>
      <c r="M20" s="38">
        <f t="shared" si="1"/>
        <v>0.620585</v>
      </c>
      <c r="N20" s="38"/>
      <c r="O20" s="38">
        <v>0.690873569</v>
      </c>
      <c r="P20" s="38"/>
      <c r="Q20" s="40">
        <f t="shared" si="2"/>
        <v>0.1132617917</v>
      </c>
      <c r="R20" s="41" t="str">
        <f t="shared" si="3"/>
        <v>#DIV/0!</v>
      </c>
      <c r="S20" s="37"/>
      <c r="T20" s="42">
        <f t="shared" si="4"/>
        <v>0.3826755873</v>
      </c>
      <c r="U20" s="42">
        <f t="shared" ref="U20:U26" si="11">K20/$K$21</f>
        <v>0.07862831701</v>
      </c>
      <c r="V20" s="38">
        <f t="shared" si="6"/>
        <v>0.8982613141</v>
      </c>
      <c r="W20" s="37">
        <f t="shared" si="7"/>
        <v>0</v>
      </c>
      <c r="X20" s="37">
        <f t="shared" si="8"/>
        <v>15</v>
      </c>
      <c r="Y20" s="19">
        <f t="shared" si="9"/>
        <v>0.000620585</v>
      </c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7.89264E-6</v>
      </c>
      <c r="L21" s="39">
        <v>7.41019663311401E-8</v>
      </c>
      <c r="M21" s="38">
        <f t="shared" si="1"/>
        <v>7.89264</v>
      </c>
      <c r="N21" s="38"/>
      <c r="O21" s="38">
        <v>8.21137502</v>
      </c>
      <c r="P21" s="38"/>
      <c r="Q21" s="40">
        <f t="shared" si="2"/>
        <v>0.04038382848</v>
      </c>
      <c r="R21" s="41" t="str">
        <f t="shared" si="3"/>
        <v>#DIV/0!</v>
      </c>
      <c r="S21" s="37"/>
      <c r="T21" s="42">
        <f t="shared" si="4"/>
        <v>4.866892767</v>
      </c>
      <c r="U21" s="42">
        <f t="shared" si="11"/>
        <v>1</v>
      </c>
      <c r="V21" s="38">
        <f t="shared" si="6"/>
        <v>0.9611837215</v>
      </c>
      <c r="W21" s="37">
        <f t="shared" si="7"/>
        <v>1</v>
      </c>
      <c r="X21" s="37">
        <f t="shared" si="8"/>
        <v>16</v>
      </c>
      <c r="Y21" s="20">
        <f t="shared" si="9"/>
        <v>0.00789264</v>
      </c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6.44426E-5</v>
      </c>
      <c r="L22" s="39">
        <v>6.58487124345869E-7</v>
      </c>
      <c r="M22" s="38">
        <f t="shared" si="1"/>
        <v>64.4426</v>
      </c>
      <c r="N22" s="38"/>
      <c r="O22" s="38">
        <v>67.4833895</v>
      </c>
      <c r="P22" s="38"/>
      <c r="Q22" s="40">
        <f t="shared" si="2"/>
        <v>0.04718601515</v>
      </c>
      <c r="R22" s="41" t="str">
        <f t="shared" si="3"/>
        <v>#DIV/0!</v>
      </c>
      <c r="S22" s="37"/>
      <c r="T22" s="42">
        <f t="shared" si="4"/>
        <v>39.73768268</v>
      </c>
      <c r="U22" s="42">
        <f t="shared" si="11"/>
        <v>8.16489793</v>
      </c>
      <c r="V22" s="38">
        <f t="shared" si="6"/>
        <v>0.9549401783</v>
      </c>
      <c r="W22" s="37">
        <f t="shared" si="7"/>
        <v>1</v>
      </c>
      <c r="X22" s="37">
        <f t="shared" si="8"/>
        <v>17</v>
      </c>
      <c r="Y22" s="21">
        <f t="shared" si="9"/>
        <v>0.0644426</v>
      </c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2.21194999999999E-4</v>
      </c>
      <c r="L23" s="39">
        <v>1.86300371129067E-6</v>
      </c>
      <c r="M23" s="38">
        <f t="shared" si="1"/>
        <v>221.195</v>
      </c>
      <c r="N23" s="38"/>
      <c r="O23" s="38">
        <v>238.868647944</v>
      </c>
      <c r="P23" s="38"/>
      <c r="Q23" s="40">
        <f t="shared" si="2"/>
        <v>0.079900757</v>
      </c>
      <c r="R23" s="41" t="str">
        <f t="shared" si="3"/>
        <v>#DIV/0!</v>
      </c>
      <c r="S23" s="37"/>
      <c r="T23" s="42">
        <f t="shared" si="4"/>
        <v>136.3969908</v>
      </c>
      <c r="U23" s="42">
        <f t="shared" si="11"/>
        <v>28.0254769</v>
      </c>
      <c r="V23" s="38">
        <f t="shared" si="6"/>
        <v>0.9260110186</v>
      </c>
      <c r="W23" s="37">
        <f t="shared" si="7"/>
        <v>1</v>
      </c>
      <c r="X23" s="37">
        <f t="shared" si="8"/>
        <v>18</v>
      </c>
      <c r="Y23" s="36">
        <f t="shared" si="9"/>
        <v>0.221195</v>
      </c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6.32138E-4</v>
      </c>
      <c r="L24" s="39">
        <v>5.7451390080852E-6</v>
      </c>
      <c r="M24" s="38">
        <f t="shared" si="1"/>
        <v>632.138</v>
      </c>
      <c r="N24" s="38"/>
      <c r="O24" s="38">
        <v>633.687136882</v>
      </c>
      <c r="P24" s="38"/>
      <c r="Q24" s="40">
        <f t="shared" si="2"/>
        <v>0.002450630846</v>
      </c>
      <c r="R24" s="41" t="str">
        <f t="shared" si="3"/>
        <v>#DIV/0!</v>
      </c>
      <c r="S24" s="37"/>
      <c r="T24" s="42">
        <f t="shared" si="4"/>
        <v>389.799593</v>
      </c>
      <c r="U24" s="42">
        <f t="shared" si="11"/>
        <v>80.09208579</v>
      </c>
      <c r="V24" s="38">
        <f t="shared" si="6"/>
        <v>0.9975553601</v>
      </c>
      <c r="W24" s="37">
        <f t="shared" si="7"/>
        <v>1</v>
      </c>
      <c r="X24" s="37">
        <f t="shared" si="8"/>
        <v>19</v>
      </c>
      <c r="Y24" s="36">
        <f t="shared" si="9"/>
        <v>0.632138</v>
      </c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0.00140916999999999</v>
      </c>
      <c r="L25" s="39">
        <v>1.32337607747164E-5</v>
      </c>
      <c r="M25" s="38">
        <f t="shared" si="1"/>
        <v>1409.17</v>
      </c>
      <c r="N25" s="38"/>
      <c r="O25" s="38">
        <v>1417.605943338</v>
      </c>
      <c r="P25" s="38"/>
      <c r="Q25" s="40">
        <f t="shared" si="2"/>
        <v>0.005986462484</v>
      </c>
      <c r="R25" s="41" t="str">
        <f t="shared" si="3"/>
        <v>#DIV/0!</v>
      </c>
      <c r="S25" s="37"/>
      <c r="T25" s="42">
        <f t="shared" si="4"/>
        <v>868.9461676</v>
      </c>
      <c r="U25" s="42">
        <f t="shared" si="11"/>
        <v>178.5422875</v>
      </c>
      <c r="V25" s="38">
        <f t="shared" si="6"/>
        <v>0.994049162</v>
      </c>
      <c r="W25" s="37">
        <f t="shared" si="7"/>
        <v>1</v>
      </c>
      <c r="X25" s="37">
        <f t="shared" si="8"/>
        <v>20</v>
      </c>
      <c r="Y25" s="12">
        <f t="shared" si="9"/>
        <v>1.40917</v>
      </c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0.00280321999999999</v>
      </c>
      <c r="L26" s="39">
        <v>2.34398348668641E-5</v>
      </c>
      <c r="M26" s="38">
        <f t="shared" si="1"/>
        <v>2803.22</v>
      </c>
      <c r="N26" s="38"/>
      <c r="O26" s="38">
        <v>2810.639246282</v>
      </c>
      <c r="P26" s="38"/>
      <c r="Q26" s="40">
        <f t="shared" si="2"/>
        <v>0.002646687125</v>
      </c>
      <c r="R26" s="41" t="str">
        <f t="shared" si="3"/>
        <v>#DIV/0!</v>
      </c>
      <c r="S26" s="37"/>
      <c r="T26" s="42">
        <f t="shared" si="4"/>
        <v>1728.568786</v>
      </c>
      <c r="U26" s="42">
        <f t="shared" si="11"/>
        <v>355.1688662</v>
      </c>
      <c r="V26" s="38">
        <f t="shared" si="6"/>
        <v>0.9973602993</v>
      </c>
      <c r="W26" s="37">
        <f t="shared" si="7"/>
        <v>1</v>
      </c>
      <c r="X26" s="37">
        <f t="shared" si="8"/>
        <v>21</v>
      </c>
      <c r="Y26" s="12">
        <f t="shared" si="9"/>
        <v>2.80322</v>
      </c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1.84645999999999E-6</v>
      </c>
      <c r="L27" s="46">
        <v>1.6378367106977E-8</v>
      </c>
      <c r="M27" s="45">
        <f t="shared" si="1"/>
        <v>1.84646</v>
      </c>
      <c r="N27" s="45"/>
      <c r="O27" s="45">
        <v>2.183501649</v>
      </c>
      <c r="P27" s="45"/>
      <c r="Q27" s="47">
        <f t="shared" si="2"/>
        <v>0.1825339563</v>
      </c>
      <c r="R27" s="48" t="str">
        <f t="shared" si="3"/>
        <v>#DIV/0!</v>
      </c>
      <c r="S27" s="44"/>
      <c r="T27" s="49">
        <f t="shared" si="4"/>
        <v>1.138595301</v>
      </c>
      <c r="U27" s="49">
        <f t="shared" ref="U27:U33" si="12">K27/$K$28</f>
        <v>0.07772015927</v>
      </c>
      <c r="V27" s="45">
        <f t="shared" si="6"/>
        <v>0.8456416787</v>
      </c>
      <c r="W27" s="44">
        <f t="shared" si="7"/>
        <v>0</v>
      </c>
      <c r="X27" s="44">
        <f t="shared" si="8"/>
        <v>22</v>
      </c>
      <c r="Y27" s="20">
        <f t="shared" si="9"/>
        <v>0.00184646</v>
      </c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2.37577999999999E-5</v>
      </c>
      <c r="L28" s="46">
        <v>2.53546879692928E-7</v>
      </c>
      <c r="M28" s="45">
        <f t="shared" si="1"/>
        <v>23.7578</v>
      </c>
      <c r="N28" s="45"/>
      <c r="O28" s="45">
        <v>25.952000013</v>
      </c>
      <c r="P28" s="45"/>
      <c r="Q28" s="47">
        <f t="shared" si="2"/>
        <v>0.09235703697</v>
      </c>
      <c r="R28" s="48" t="str">
        <f t="shared" si="3"/>
        <v>#DIV/0!</v>
      </c>
      <c r="S28" s="44"/>
      <c r="T28" s="49">
        <f t="shared" si="4"/>
        <v>14.64993525</v>
      </c>
      <c r="U28" s="49">
        <f t="shared" si="12"/>
        <v>1</v>
      </c>
      <c r="V28" s="45">
        <f t="shared" si="6"/>
        <v>0.9154516025</v>
      </c>
      <c r="W28" s="44">
        <f t="shared" si="7"/>
        <v>1</v>
      </c>
      <c r="X28" s="44">
        <f t="shared" si="8"/>
        <v>23</v>
      </c>
      <c r="Y28" s="21">
        <f t="shared" si="9"/>
        <v>0.0237578</v>
      </c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1.96783999999999E-4</v>
      </c>
      <c r="L29" s="46">
        <v>2.08557915314677E-6</v>
      </c>
      <c r="M29" s="45">
        <f t="shared" si="1"/>
        <v>196.784</v>
      </c>
      <c r="N29" s="45"/>
      <c r="O29" s="45">
        <v>213.280835288</v>
      </c>
      <c r="P29" s="45"/>
      <c r="Q29" s="47">
        <f t="shared" si="2"/>
        <v>0.08383219819</v>
      </c>
      <c r="R29" s="48" t="str">
        <f t="shared" si="3"/>
        <v>#DIV/0!</v>
      </c>
      <c r="S29" s="44"/>
      <c r="T29" s="49">
        <f t="shared" si="4"/>
        <v>121.3442684</v>
      </c>
      <c r="U29" s="49">
        <f t="shared" si="12"/>
        <v>8.282921819</v>
      </c>
      <c r="V29" s="45">
        <f t="shared" si="6"/>
        <v>0.9226520504</v>
      </c>
      <c r="W29" s="44">
        <f t="shared" si="7"/>
        <v>1</v>
      </c>
      <c r="X29" s="44">
        <f t="shared" si="8"/>
        <v>24</v>
      </c>
      <c r="Y29" s="36">
        <f t="shared" si="9"/>
        <v>0.196784</v>
      </c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7.48902999999999E-4</v>
      </c>
      <c r="L30" s="46">
        <v>6.84469056195303E-6</v>
      </c>
      <c r="M30" s="45">
        <f t="shared" si="1"/>
        <v>748.903</v>
      </c>
      <c r="N30" s="45"/>
      <c r="O30" s="45">
        <v>754.942887787</v>
      </c>
      <c r="P30" s="45"/>
      <c r="Q30" s="47">
        <f t="shared" si="2"/>
        <v>0.008064980094</v>
      </c>
      <c r="R30" s="48" t="str">
        <f t="shared" si="3"/>
        <v>#DIV/0!</v>
      </c>
      <c r="S30" s="44"/>
      <c r="T30" s="49">
        <f t="shared" si="4"/>
        <v>461.8011963</v>
      </c>
      <c r="U30" s="49">
        <f t="shared" si="12"/>
        <v>31.52240527</v>
      </c>
      <c r="V30" s="45">
        <f t="shared" si="6"/>
        <v>0.9919995434</v>
      </c>
      <c r="W30" s="44">
        <f t="shared" si="7"/>
        <v>1</v>
      </c>
      <c r="X30" s="44">
        <f t="shared" si="8"/>
        <v>25</v>
      </c>
      <c r="Y30" s="36">
        <f t="shared" si="9"/>
        <v>0.748903</v>
      </c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0.00199493</v>
      </c>
      <c r="L31" s="46">
        <v>1.82835439616607E-5</v>
      </c>
      <c r="M31" s="45">
        <f t="shared" si="1"/>
        <v>1994.93</v>
      </c>
      <c r="N31" s="45"/>
      <c r="O31" s="45">
        <v>2002.764285115</v>
      </c>
      <c r="P31" s="45"/>
      <c r="Q31" s="47">
        <f t="shared" si="2"/>
        <v>0.00392709775</v>
      </c>
      <c r="R31" s="48" t="str">
        <f t="shared" si="3"/>
        <v>#DIV/0!</v>
      </c>
      <c r="S31" s="44"/>
      <c r="T31" s="49">
        <f t="shared" si="4"/>
        <v>1230.147376</v>
      </c>
      <c r="U31" s="49">
        <f t="shared" si="12"/>
        <v>83.96947529</v>
      </c>
      <c r="V31" s="45">
        <f t="shared" si="6"/>
        <v>0.996088264</v>
      </c>
      <c r="W31" s="44">
        <f t="shared" si="7"/>
        <v>1</v>
      </c>
      <c r="X31" s="44">
        <f t="shared" si="8"/>
        <v>26</v>
      </c>
      <c r="Y31" s="12">
        <f t="shared" si="9"/>
        <v>1.99493</v>
      </c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0.00451527</v>
      </c>
      <c r="L32" s="46">
        <v>4.23033429918113E-5</v>
      </c>
      <c r="M32" s="45">
        <f t="shared" si="1"/>
        <v>4515.27</v>
      </c>
      <c r="N32" s="45"/>
      <c r="O32" s="45">
        <v>4480.33483305</v>
      </c>
      <c r="P32" s="45"/>
      <c r="Q32" s="47">
        <f t="shared" si="2"/>
        <v>-0.00773711582</v>
      </c>
      <c r="R32" s="48" t="str">
        <f t="shared" si="3"/>
        <v>#DIV/0!</v>
      </c>
      <c r="S32" s="44"/>
      <c r="T32" s="49">
        <f t="shared" si="4"/>
        <v>2784.281926</v>
      </c>
      <c r="U32" s="49">
        <f t="shared" si="12"/>
        <v>190.0542138</v>
      </c>
      <c r="V32" s="45">
        <f t="shared" si="6"/>
        <v>1.007797446</v>
      </c>
      <c r="W32" s="44">
        <f t="shared" si="7"/>
        <v>1</v>
      </c>
      <c r="X32" s="44">
        <f t="shared" si="8"/>
        <v>27</v>
      </c>
      <c r="Y32" s="12">
        <f t="shared" si="9"/>
        <v>4.51527</v>
      </c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0.00914162</v>
      </c>
      <c r="L33" s="46">
        <v>8.29443990473939E-5</v>
      </c>
      <c r="M33" s="45">
        <f t="shared" si="1"/>
        <v>9141.62</v>
      </c>
      <c r="N33" s="45"/>
      <c r="O33" s="45">
        <v>8883.008010613</v>
      </c>
      <c r="P33" s="45"/>
      <c r="Q33" s="47">
        <f t="shared" si="2"/>
        <v>-0.02828951426</v>
      </c>
      <c r="R33" s="48" t="str">
        <f t="shared" si="3"/>
        <v>#DIV/0!</v>
      </c>
      <c r="S33" s="44"/>
      <c r="T33" s="49">
        <f t="shared" si="4"/>
        <v>5637.059875</v>
      </c>
      <c r="U33" s="49">
        <f t="shared" si="12"/>
        <v>384.7839446</v>
      </c>
      <c r="V33" s="45">
        <f t="shared" si="6"/>
        <v>1.02911311</v>
      </c>
      <c r="W33" s="44">
        <f t="shared" si="7"/>
        <v>1</v>
      </c>
      <c r="X33" s="44">
        <f t="shared" si="8"/>
        <v>28</v>
      </c>
      <c r="Y33" s="12">
        <f t="shared" si="9"/>
        <v>9.14162</v>
      </c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4.5943E-6</v>
      </c>
      <c r="L34" s="53">
        <v>4.02217339107587E-8</v>
      </c>
      <c r="M34" s="52">
        <f t="shared" si="1"/>
        <v>4.5943</v>
      </c>
      <c r="N34" s="52"/>
      <c r="O34" s="52">
        <v>5.330814574</v>
      </c>
      <c r="P34" s="52"/>
      <c r="Q34" s="54">
        <f t="shared" si="2"/>
        <v>0.1603105095</v>
      </c>
      <c r="R34" s="55" t="str">
        <f t="shared" si="3"/>
        <v>#DIV/0!</v>
      </c>
      <c r="S34" s="51"/>
      <c r="T34" s="56">
        <f t="shared" si="4"/>
        <v>2.833014738</v>
      </c>
      <c r="U34" s="56">
        <f t="shared" ref="U34:U40" si="13">K34/$K$35</f>
        <v>0.07399741976</v>
      </c>
      <c r="V34" s="52">
        <f t="shared" si="6"/>
        <v>0.8618382681</v>
      </c>
      <c r="W34" s="51">
        <f t="shared" si="7"/>
        <v>0</v>
      </c>
      <c r="X34" s="51">
        <f t="shared" si="8"/>
        <v>29</v>
      </c>
      <c r="Y34" s="20">
        <f t="shared" si="9"/>
        <v>0.0045943</v>
      </c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6.20873E-5</v>
      </c>
      <c r="L35" s="53">
        <v>6.81902944899511E-7</v>
      </c>
      <c r="M35" s="52">
        <f t="shared" si="1"/>
        <v>62.0873</v>
      </c>
      <c r="N35" s="52"/>
      <c r="O35" s="52">
        <v>63.359374671</v>
      </c>
      <c r="P35" s="52"/>
      <c r="Q35" s="54">
        <f t="shared" si="2"/>
        <v>0.0204884843</v>
      </c>
      <c r="R35" s="55" t="str">
        <f t="shared" si="3"/>
        <v>#DIV/0!</v>
      </c>
      <c r="S35" s="51"/>
      <c r="T35" s="56">
        <f t="shared" si="4"/>
        <v>38.28531788</v>
      </c>
      <c r="U35" s="56">
        <f t="shared" si="13"/>
        <v>1</v>
      </c>
      <c r="V35" s="52">
        <f t="shared" si="6"/>
        <v>0.9799228658</v>
      </c>
      <c r="W35" s="51">
        <f t="shared" si="7"/>
        <v>1</v>
      </c>
      <c r="X35" s="51">
        <f t="shared" si="8"/>
        <v>30</v>
      </c>
      <c r="Y35" s="21">
        <f t="shared" si="9"/>
        <v>0.0620873</v>
      </c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5.15021E-4</v>
      </c>
      <c r="L36" s="53">
        <v>4.8130776184907E-6</v>
      </c>
      <c r="M36" s="52">
        <f t="shared" si="1"/>
        <v>515.021</v>
      </c>
      <c r="N36" s="52"/>
      <c r="O36" s="52">
        <v>520.705165022</v>
      </c>
      <c r="P36" s="52"/>
      <c r="Q36" s="54">
        <f t="shared" si="2"/>
        <v>0.01103676359</v>
      </c>
      <c r="R36" s="55" t="str">
        <f t="shared" si="3"/>
        <v>#DIV/0!</v>
      </c>
      <c r="S36" s="51"/>
      <c r="T36" s="56">
        <f t="shared" si="4"/>
        <v>317.5809336</v>
      </c>
      <c r="U36" s="56">
        <f t="shared" si="13"/>
        <v>8.295110272</v>
      </c>
      <c r="V36" s="52">
        <f t="shared" si="6"/>
        <v>0.9890837168</v>
      </c>
      <c r="W36" s="51">
        <f t="shared" si="7"/>
        <v>1</v>
      </c>
      <c r="X36" s="51">
        <f t="shared" si="8"/>
        <v>31</v>
      </c>
      <c r="Y36" s="36">
        <f t="shared" si="9"/>
        <v>0.515021</v>
      </c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0.00183883</v>
      </c>
      <c r="L37" s="53">
        <v>1.80979685226399E-5</v>
      </c>
      <c r="M37" s="52">
        <f t="shared" si="1"/>
        <v>1838.83</v>
      </c>
      <c r="N37" s="52"/>
      <c r="O37" s="52">
        <v>1843.122284088</v>
      </c>
      <c r="P37" s="52"/>
      <c r="Q37" s="54">
        <f t="shared" si="2"/>
        <v>0.002334247368</v>
      </c>
      <c r="R37" s="55" t="str">
        <f t="shared" si="3"/>
        <v>#DIV/0!</v>
      </c>
      <c r="S37" s="51"/>
      <c r="T37" s="56">
        <f t="shared" si="4"/>
        <v>1133.890362</v>
      </c>
      <c r="U37" s="56">
        <f t="shared" si="13"/>
        <v>29.61684596</v>
      </c>
      <c r="V37" s="52">
        <f t="shared" si="6"/>
        <v>0.9976711887</v>
      </c>
      <c r="W37" s="51">
        <f t="shared" si="7"/>
        <v>1</v>
      </c>
      <c r="X37" s="51">
        <f t="shared" si="8"/>
        <v>32</v>
      </c>
      <c r="Y37" s="12">
        <f t="shared" si="9"/>
        <v>1.83883</v>
      </c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0.00494951</v>
      </c>
      <c r="L38" s="53">
        <v>4.37987811739463E-5</v>
      </c>
      <c r="M38" s="52">
        <f t="shared" si="1"/>
        <v>4949.51</v>
      </c>
      <c r="N38" s="52"/>
      <c r="O38" s="52">
        <v>4889.561241228</v>
      </c>
      <c r="P38" s="52"/>
      <c r="Q38" s="54">
        <f t="shared" si="2"/>
        <v>-0.01211205933</v>
      </c>
      <c r="R38" s="55" t="str">
        <f t="shared" si="3"/>
        <v>#DIV/0!</v>
      </c>
      <c r="S38" s="51"/>
      <c r="T38" s="56">
        <f t="shared" si="4"/>
        <v>3052.050318</v>
      </c>
      <c r="U38" s="56">
        <f t="shared" si="13"/>
        <v>79.71855758</v>
      </c>
      <c r="V38" s="52">
        <f t="shared" si="6"/>
        <v>1.01226056</v>
      </c>
      <c r="W38" s="51">
        <f t="shared" si="7"/>
        <v>1</v>
      </c>
      <c r="X38" s="51">
        <f t="shared" si="8"/>
        <v>33</v>
      </c>
      <c r="Y38" s="12">
        <f t="shared" si="9"/>
        <v>4.94951</v>
      </c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0.0113758</v>
      </c>
      <c r="L39" s="53">
        <v>1.0753604047016E-4</v>
      </c>
      <c r="M39" s="52">
        <f t="shared" si="1"/>
        <v>11375.8</v>
      </c>
      <c r="N39" s="52"/>
      <c r="O39" s="52">
        <v>10938.317456826</v>
      </c>
      <c r="P39" s="52"/>
      <c r="Q39" s="54">
        <f t="shared" si="2"/>
        <v>-0.03845729911</v>
      </c>
      <c r="R39" s="55" t="str">
        <f t="shared" si="3"/>
        <v>#DIV/0!</v>
      </c>
      <c r="S39" s="51"/>
      <c r="T39" s="56">
        <f t="shared" si="4"/>
        <v>7014.737621</v>
      </c>
      <c r="U39" s="56">
        <f t="shared" si="13"/>
        <v>183.2226558</v>
      </c>
      <c r="V39" s="52">
        <f t="shared" si="6"/>
        <v>1.039995415</v>
      </c>
      <c r="W39" s="51">
        <f t="shared" si="7"/>
        <v>1</v>
      </c>
      <c r="X39" s="51">
        <f t="shared" si="8"/>
        <v>34</v>
      </c>
      <c r="Y39" s="13">
        <f t="shared" si="9"/>
        <v>11.3758</v>
      </c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0.0234460999999999</v>
      </c>
      <c r="L40" s="53">
        <v>2.40546074882576E-4</v>
      </c>
      <c r="M40" s="52">
        <f t="shared" si="1"/>
        <v>23446.1</v>
      </c>
      <c r="N40" s="52"/>
      <c r="O40" s="52">
        <v>21687.031237106</v>
      </c>
      <c r="P40" s="52"/>
      <c r="Q40" s="54">
        <f t="shared" si="2"/>
        <v>-0.07502607098</v>
      </c>
      <c r="R40" s="55" t="str">
        <f t="shared" si="3"/>
        <v>#DIV/0!</v>
      </c>
      <c r="S40" s="51"/>
      <c r="T40" s="56">
        <f t="shared" si="4"/>
        <v>14457.72954</v>
      </c>
      <c r="U40" s="56">
        <f t="shared" si="13"/>
        <v>377.6311742</v>
      </c>
      <c r="V40" s="52">
        <f t="shared" si="6"/>
        <v>1.081111552</v>
      </c>
      <c r="W40" s="51">
        <f t="shared" si="7"/>
        <v>1</v>
      </c>
      <c r="X40" s="51">
        <f t="shared" si="8"/>
        <v>35</v>
      </c>
      <c r="Y40" s="13">
        <f t="shared" si="9"/>
        <v>23.4461</v>
      </c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9.32918E-6</v>
      </c>
      <c r="L41" s="60">
        <v>7.28300054714379E-8</v>
      </c>
      <c r="M41" s="59">
        <f t="shared" si="1"/>
        <v>9.32918</v>
      </c>
      <c r="N41" s="59"/>
      <c r="O41" s="59">
        <v>11.0539771</v>
      </c>
      <c r="P41" s="59"/>
      <c r="Q41" s="61">
        <f t="shared" si="2"/>
        <v>0.1848819618</v>
      </c>
      <c r="R41" s="62" t="str">
        <f t="shared" si="3"/>
        <v>#DIV/0!</v>
      </c>
      <c r="S41" s="58"/>
      <c r="T41" s="63">
        <f t="shared" si="4"/>
        <v>5.752716285</v>
      </c>
      <c r="U41" s="63">
        <f t="shared" ref="U41:U47" si="14">K41/$K$42</f>
        <v>0.07257633632</v>
      </c>
      <c r="V41" s="59">
        <f t="shared" si="6"/>
        <v>0.8439659243</v>
      </c>
      <c r="W41" s="58">
        <f t="shared" si="7"/>
        <v>0</v>
      </c>
      <c r="X41" s="58">
        <f t="shared" si="8"/>
        <v>36</v>
      </c>
      <c r="Y41" s="20">
        <f t="shared" si="9"/>
        <v>0.00932918</v>
      </c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1.28542999999999E-4</v>
      </c>
      <c r="L42" s="60">
        <v>1.39741861583377E-6</v>
      </c>
      <c r="M42" s="59">
        <f t="shared" si="1"/>
        <v>128.543</v>
      </c>
      <c r="N42" s="59"/>
      <c r="O42" s="59">
        <v>131.381999676</v>
      </c>
      <c r="P42" s="59"/>
      <c r="Q42" s="61">
        <f t="shared" si="2"/>
        <v>0.02208599205</v>
      </c>
      <c r="R42" s="62" t="str">
        <f t="shared" si="3"/>
        <v>#DIV/0!</v>
      </c>
      <c r="S42" s="58"/>
      <c r="T42" s="63">
        <f t="shared" si="4"/>
        <v>79.26435222</v>
      </c>
      <c r="U42" s="63">
        <f t="shared" si="14"/>
        <v>1</v>
      </c>
      <c r="V42" s="59">
        <f t="shared" si="6"/>
        <v>0.9783912584</v>
      </c>
      <c r="W42" s="58">
        <f t="shared" si="7"/>
        <v>1</v>
      </c>
      <c r="X42" s="58">
        <f t="shared" si="8"/>
        <v>37</v>
      </c>
      <c r="Y42" s="36">
        <f t="shared" si="9"/>
        <v>0.128543</v>
      </c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0.00107503</v>
      </c>
      <c r="L43" s="60">
        <v>9.50114825596454E-6</v>
      </c>
      <c r="M43" s="59">
        <f t="shared" si="1"/>
        <v>1075.03</v>
      </c>
      <c r="N43" s="59"/>
      <c r="O43" s="59">
        <v>1079.734231312</v>
      </c>
      <c r="P43" s="59"/>
      <c r="Q43" s="61">
        <f t="shared" si="2"/>
        <v>0.004375907009</v>
      </c>
      <c r="R43" s="62" t="str">
        <f t="shared" si="3"/>
        <v>#DIV/0!</v>
      </c>
      <c r="S43" s="58"/>
      <c r="T43" s="63">
        <f t="shared" si="4"/>
        <v>662.9031263</v>
      </c>
      <c r="U43" s="63">
        <f t="shared" si="14"/>
        <v>8.363193639</v>
      </c>
      <c r="V43" s="59">
        <f t="shared" si="6"/>
        <v>0.9956431581</v>
      </c>
      <c r="W43" s="58">
        <f t="shared" si="7"/>
        <v>1</v>
      </c>
      <c r="X43" s="58">
        <f t="shared" si="8"/>
        <v>38</v>
      </c>
      <c r="Y43" s="12">
        <f t="shared" si="9"/>
        <v>1.07503</v>
      </c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0.00387282999999999</v>
      </c>
      <c r="L44" s="60">
        <v>3.75160719767629E-5</v>
      </c>
      <c r="M44" s="59">
        <f t="shared" si="1"/>
        <v>3872.83</v>
      </c>
      <c r="N44" s="59"/>
      <c r="O44" s="59">
        <v>3821.898364156</v>
      </c>
      <c r="P44" s="59"/>
      <c r="Q44" s="61">
        <f t="shared" si="2"/>
        <v>-0.01315101253</v>
      </c>
      <c r="R44" s="62" t="str">
        <f t="shared" si="3"/>
        <v>#DIV/0!</v>
      </c>
      <c r="S44" s="58"/>
      <c r="T44" s="63">
        <f t="shared" si="4"/>
        <v>2388.12974</v>
      </c>
      <c r="U44" s="63">
        <f t="shared" si="14"/>
        <v>30.1286729</v>
      </c>
      <c r="V44" s="59">
        <f t="shared" si="6"/>
        <v>1.013326266</v>
      </c>
      <c r="W44" s="58">
        <f t="shared" si="7"/>
        <v>1</v>
      </c>
      <c r="X44" s="58">
        <f t="shared" si="8"/>
        <v>39</v>
      </c>
      <c r="Y44" s="12">
        <f t="shared" si="9"/>
        <v>3.87283</v>
      </c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0.0105891</v>
      </c>
      <c r="L45" s="60">
        <v>9.58754979706029E-5</v>
      </c>
      <c r="M45" s="59">
        <f t="shared" si="1"/>
        <v>10589.1</v>
      </c>
      <c r="N45" s="59"/>
      <c r="O45" s="59">
        <v>10138.994186792</v>
      </c>
      <c r="P45" s="59"/>
      <c r="Q45" s="61">
        <f t="shared" si="2"/>
        <v>-0.0425065221</v>
      </c>
      <c r="R45" s="62" t="str">
        <f t="shared" si="3"/>
        <v>#DIV/0!</v>
      </c>
      <c r="S45" s="58"/>
      <c r="T45" s="63">
        <f t="shared" si="4"/>
        <v>6529.629401</v>
      </c>
      <c r="U45" s="63">
        <f t="shared" si="14"/>
        <v>82.37788133</v>
      </c>
      <c r="V45" s="59">
        <f t="shared" si="6"/>
        <v>1.044393537</v>
      </c>
      <c r="W45" s="58">
        <f t="shared" si="7"/>
        <v>1</v>
      </c>
      <c r="X45" s="58">
        <f t="shared" si="8"/>
        <v>40</v>
      </c>
      <c r="Y45" s="13">
        <f t="shared" si="9"/>
        <v>10.5891</v>
      </c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0.0246624</v>
      </c>
      <c r="L46" s="60">
        <v>2.30879390438585E-4</v>
      </c>
      <c r="M46" s="59">
        <f t="shared" si="1"/>
        <v>24662.4</v>
      </c>
      <c r="N46" s="59"/>
      <c r="O46" s="59">
        <v>22681.695067716</v>
      </c>
      <c r="P46" s="59"/>
      <c r="Q46" s="61">
        <f t="shared" si="2"/>
        <v>-0.08031274054</v>
      </c>
      <c r="R46" s="62" t="str">
        <f t="shared" si="3"/>
        <v>#DIV/0!</v>
      </c>
      <c r="S46" s="58"/>
      <c r="T46" s="63">
        <f t="shared" si="4"/>
        <v>15207.74496</v>
      </c>
      <c r="U46" s="63">
        <f t="shared" si="14"/>
        <v>191.8610893</v>
      </c>
      <c r="V46" s="59">
        <f t="shared" si="6"/>
        <v>1.087326142</v>
      </c>
      <c r="W46" s="58">
        <f t="shared" si="7"/>
        <v>1</v>
      </c>
      <c r="X46" s="58">
        <f t="shared" si="8"/>
        <v>41</v>
      </c>
      <c r="Y46" s="13">
        <f t="shared" si="9"/>
        <v>24.6624</v>
      </c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0.0514559999999999</v>
      </c>
      <c r="L47" s="60">
        <v>5.19154323993561E-4</v>
      </c>
      <c r="M47" s="59">
        <f t="shared" si="1"/>
        <v>51456</v>
      </c>
      <c r="N47" s="59"/>
      <c r="O47" s="59">
        <v>44970.227993679</v>
      </c>
      <c r="P47" s="59"/>
      <c r="Q47" s="61">
        <f t="shared" si="2"/>
        <v>-0.1260450095</v>
      </c>
      <c r="R47" s="62" t="str">
        <f t="shared" si="3"/>
        <v>#DIV/0!</v>
      </c>
      <c r="S47" s="58"/>
      <c r="T47" s="63">
        <f t="shared" si="4"/>
        <v>31729.6664</v>
      </c>
      <c r="U47" s="63">
        <f t="shared" si="14"/>
        <v>400.3018445</v>
      </c>
      <c r="V47" s="59">
        <f t="shared" si="6"/>
        <v>1.144223685</v>
      </c>
      <c r="W47" s="58">
        <f t="shared" si="7"/>
        <v>0</v>
      </c>
      <c r="X47" s="58">
        <f t="shared" si="8"/>
        <v>42</v>
      </c>
      <c r="Y47" s="13">
        <f t="shared" si="9"/>
        <v>51.456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9">
        <v>2.0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3.33786956521739E-9</v>
      </c>
      <c r="L6" s="11">
        <v>2.93486871456207E-11</v>
      </c>
      <c r="M6" s="10">
        <f t="shared" ref="M6:M47" si="1">K6*1000000</f>
        <v>0.003337869565</v>
      </c>
      <c r="N6" s="10"/>
      <c r="O6" s="10">
        <v>0.002560295</v>
      </c>
      <c r="P6" s="10"/>
      <c r="Q6" s="12">
        <f t="shared" ref="Q6:Q47" si="2">(O6-M6)/M6</f>
        <v>-0.2329553477</v>
      </c>
      <c r="R6" s="13" t="str">
        <f t="shared" ref="R6:R47" si="3">(O6-M6)/sqrt(N6*N6+P6*P6)</f>
        <v>#DIV/0!</v>
      </c>
      <c r="S6" s="8"/>
      <c r="T6" s="14">
        <f t="shared" ref="T6:T47" si="4">K6/$K$14</f>
        <v>0.006492457067</v>
      </c>
      <c r="U6" s="14">
        <f t="shared" ref="U6:U12" si="5">K6/$K$7</f>
        <v>0.09599496036</v>
      </c>
      <c r="V6" s="10">
        <f t="shared" ref="V6:V47" si="6">M6/O6</f>
        <v>1.303705067</v>
      </c>
      <c r="W6" s="15">
        <f t="shared" ref="W6:W47" si="7">IF(abs(1/V6-1)&lt;$W$5, 1, 0)</f>
        <v>0</v>
      </c>
      <c r="X6" s="8">
        <f t="shared" ref="X6:X47" si="8">B6</f>
        <v>1</v>
      </c>
      <c r="Y6" s="16">
        <f t="shared" ref="Y6:Y47" si="9">M6*0.001</f>
        <v>0.000003337869565</v>
      </c>
    </row>
    <row r="7">
      <c r="A7" s="8"/>
      <c r="B7" s="8">
        <v>2.0</v>
      </c>
      <c r="C7" s="9">
        <v>2.0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3.47713E-8</v>
      </c>
      <c r="L7" s="11">
        <v>3.45752451293924E-10</v>
      </c>
      <c r="M7" s="10">
        <f t="shared" si="1"/>
        <v>0.0347713</v>
      </c>
      <c r="N7" s="10"/>
      <c r="O7" s="10">
        <v>0.03213125</v>
      </c>
      <c r="P7" s="10"/>
      <c r="Q7" s="12">
        <f t="shared" si="2"/>
        <v>-0.07592612298</v>
      </c>
      <c r="R7" s="13" t="str">
        <f t="shared" si="3"/>
        <v>#DIV/0!</v>
      </c>
      <c r="S7" s="8"/>
      <c r="T7" s="14">
        <f t="shared" si="4"/>
        <v>0.06763331161</v>
      </c>
      <c r="U7" s="14">
        <f t="shared" si="5"/>
        <v>1</v>
      </c>
      <c r="V7" s="10">
        <f t="shared" si="6"/>
        <v>1.082164559</v>
      </c>
      <c r="W7" s="8">
        <f t="shared" si="7"/>
        <v>1</v>
      </c>
      <c r="X7" s="8">
        <f t="shared" si="8"/>
        <v>2</v>
      </c>
      <c r="Y7" s="17">
        <f t="shared" si="9"/>
        <v>0.0000347713</v>
      </c>
    </row>
    <row r="8">
      <c r="A8" s="8"/>
      <c r="B8" s="8">
        <v>3.0</v>
      </c>
      <c r="C8" s="9">
        <v>2.0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2.78701E-7</v>
      </c>
      <c r="L8" s="11">
        <v>2.71190771125114E-9</v>
      </c>
      <c r="M8" s="10">
        <f t="shared" si="1"/>
        <v>0.278701</v>
      </c>
      <c r="N8" s="10"/>
      <c r="O8" s="10">
        <v>0.264458535</v>
      </c>
      <c r="P8" s="10"/>
      <c r="Q8" s="12">
        <f t="shared" si="2"/>
        <v>-0.05110302798</v>
      </c>
      <c r="R8" s="13" t="str">
        <f t="shared" si="3"/>
        <v>#DIV/0!</v>
      </c>
      <c r="S8" s="8"/>
      <c r="T8" s="14">
        <f t="shared" si="4"/>
        <v>0.5420985577</v>
      </c>
      <c r="U8" s="14">
        <f t="shared" si="5"/>
        <v>8.015259711</v>
      </c>
      <c r="V8" s="10">
        <f t="shared" si="6"/>
        <v>1.053855191</v>
      </c>
      <c r="W8" s="8">
        <f t="shared" si="7"/>
        <v>1</v>
      </c>
      <c r="X8" s="8">
        <f t="shared" si="8"/>
        <v>3</v>
      </c>
      <c r="Y8" s="19">
        <f t="shared" si="9"/>
        <v>0.000278701</v>
      </c>
    </row>
    <row r="9">
      <c r="A9" s="8"/>
      <c r="B9" s="8">
        <v>4.0</v>
      </c>
      <c r="C9" s="9">
        <v>2.0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9.67452E-7</v>
      </c>
      <c r="L9" s="11">
        <v>8.68847466009954E-9</v>
      </c>
      <c r="M9" s="10">
        <f t="shared" si="1"/>
        <v>0.967452</v>
      </c>
      <c r="N9" s="10"/>
      <c r="O9" s="10">
        <v>0.933081487</v>
      </c>
      <c r="P9" s="10"/>
      <c r="Q9" s="12">
        <f t="shared" si="2"/>
        <v>-0.03552684061</v>
      </c>
      <c r="R9" s="13" t="str">
        <f t="shared" si="3"/>
        <v>#DIV/0!</v>
      </c>
      <c r="S9" s="8"/>
      <c r="T9" s="14">
        <f t="shared" si="4"/>
        <v>1.881781314</v>
      </c>
      <c r="U9" s="14">
        <f t="shared" si="5"/>
        <v>27.82329105</v>
      </c>
      <c r="V9" s="10">
        <f t="shared" si="6"/>
        <v>1.036835489</v>
      </c>
      <c r="W9" s="8">
        <f t="shared" si="7"/>
        <v>1</v>
      </c>
      <c r="X9" s="8">
        <f t="shared" si="8"/>
        <v>4</v>
      </c>
      <c r="Y9" s="19">
        <f t="shared" si="9"/>
        <v>0.000967452</v>
      </c>
    </row>
    <row r="10">
      <c r="A10" s="8"/>
      <c r="B10" s="8">
        <v>5.0</v>
      </c>
      <c r="C10" s="9">
        <v>2.0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2.53314E-6</v>
      </c>
      <c r="L10" s="11">
        <v>2.51014185280675E-8</v>
      </c>
      <c r="M10" s="10">
        <f t="shared" si="1"/>
        <v>2.53314</v>
      </c>
      <c r="N10" s="10"/>
      <c r="O10" s="10">
        <v>2.468200657</v>
      </c>
      <c r="P10" s="10"/>
      <c r="Q10" s="12">
        <f t="shared" si="2"/>
        <v>-0.02563590761</v>
      </c>
      <c r="R10" s="13" t="str">
        <f t="shared" si="3"/>
        <v>#DIV/0!</v>
      </c>
      <c r="S10" s="8"/>
      <c r="T10" s="14">
        <f t="shared" si="4"/>
        <v>4.927185552</v>
      </c>
      <c r="U10" s="14">
        <f t="shared" si="5"/>
        <v>72.85146083</v>
      </c>
      <c r="V10" s="10">
        <f t="shared" si="6"/>
        <v>1.026310399</v>
      </c>
      <c r="W10" s="8">
        <f t="shared" si="7"/>
        <v>1</v>
      </c>
      <c r="X10" s="8">
        <f t="shared" si="8"/>
        <v>5</v>
      </c>
      <c r="Y10" s="20">
        <f t="shared" si="9"/>
        <v>0.00253314</v>
      </c>
    </row>
    <row r="11">
      <c r="A11" s="8"/>
      <c r="B11" s="8">
        <v>6.0</v>
      </c>
      <c r="C11" s="9">
        <v>2.0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5.60771E-6</v>
      </c>
      <c r="L11" s="11">
        <v>4.97103316294215E-8</v>
      </c>
      <c r="M11" s="10">
        <f t="shared" si="1"/>
        <v>5.60771</v>
      </c>
      <c r="N11" s="10"/>
      <c r="O11" s="10">
        <v>5.510007864</v>
      </c>
      <c r="P11" s="10"/>
      <c r="Q11" s="12">
        <f t="shared" si="2"/>
        <v>-0.01742282251</v>
      </c>
      <c r="R11" s="13" t="str">
        <f t="shared" si="3"/>
        <v>#DIV/0!</v>
      </c>
      <c r="S11" s="8"/>
      <c r="T11" s="14">
        <f t="shared" si="4"/>
        <v>10.90750124</v>
      </c>
      <c r="U11" s="14">
        <f t="shared" si="5"/>
        <v>161.2740967</v>
      </c>
      <c r="V11" s="10">
        <f t="shared" si="6"/>
        <v>1.01773176</v>
      </c>
      <c r="W11" s="8">
        <f t="shared" si="7"/>
        <v>1</v>
      </c>
      <c r="X11" s="8">
        <f t="shared" si="8"/>
        <v>6</v>
      </c>
      <c r="Y11" s="20">
        <f t="shared" si="9"/>
        <v>0.00560771</v>
      </c>
    </row>
    <row r="12">
      <c r="A12" s="8"/>
      <c r="B12" s="8">
        <v>7.0</v>
      </c>
      <c r="C12" s="9">
        <v>2.0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1.10480999999999E-5</v>
      </c>
      <c r="L12" s="11">
        <v>1.04954968698701E-7</v>
      </c>
      <c r="M12" s="10">
        <f t="shared" si="1"/>
        <v>11.0481</v>
      </c>
      <c r="N12" s="10"/>
      <c r="O12" s="10">
        <v>10.908686151</v>
      </c>
      <c r="P12" s="10"/>
      <c r="Q12" s="12">
        <f t="shared" si="2"/>
        <v>-0.01261880767</v>
      </c>
      <c r="R12" s="13" t="str">
        <f t="shared" si="3"/>
        <v>#DIV/0!</v>
      </c>
      <c r="S12" s="8"/>
      <c r="T12" s="14">
        <f t="shared" si="4"/>
        <v>21.48955</v>
      </c>
      <c r="U12" s="14">
        <f t="shared" si="5"/>
        <v>317.736179</v>
      </c>
      <c r="V12" s="10">
        <f t="shared" si="6"/>
        <v>1.012780077</v>
      </c>
      <c r="W12" s="8">
        <f t="shared" si="7"/>
        <v>1</v>
      </c>
      <c r="X12" s="8">
        <f t="shared" si="8"/>
        <v>7</v>
      </c>
      <c r="Y12" s="21">
        <f t="shared" si="9"/>
        <v>0.0110481</v>
      </c>
    </row>
    <row r="13">
      <c r="A13" s="22"/>
      <c r="B13" s="22">
        <v>8.0</v>
      </c>
      <c r="C13" s="25">
        <v>2.0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4.09787999999999E-8</v>
      </c>
      <c r="L13" s="24">
        <v>4.03007080670683E-10</v>
      </c>
      <c r="M13" s="23">
        <f t="shared" si="1"/>
        <v>0.0409788</v>
      </c>
      <c r="N13" s="23"/>
      <c r="O13" s="23">
        <v>0.040964722</v>
      </c>
      <c r="P13" s="23"/>
      <c r="Q13" s="26">
        <f t="shared" si="2"/>
        <v>-0.0003435434908</v>
      </c>
      <c r="R13" s="27" t="str">
        <f t="shared" si="3"/>
        <v>#DIV/0!</v>
      </c>
      <c r="S13" s="22"/>
      <c r="T13" s="28">
        <f t="shared" si="4"/>
        <v>0.07970745845</v>
      </c>
      <c r="U13" s="28">
        <f t="shared" ref="U13:U19" si="10">K13/$K$14</f>
        <v>0.07970745845</v>
      </c>
      <c r="V13" s="23">
        <f t="shared" si="6"/>
        <v>1.000343662</v>
      </c>
      <c r="W13" s="22">
        <f t="shared" si="7"/>
        <v>1</v>
      </c>
      <c r="X13" s="22">
        <f t="shared" si="8"/>
        <v>8</v>
      </c>
      <c r="Y13" s="17">
        <f t="shared" si="9"/>
        <v>0.0000409788</v>
      </c>
    </row>
    <row r="14">
      <c r="A14" s="29" t="s">
        <v>21</v>
      </c>
      <c r="B14" s="29">
        <v>9.0</v>
      </c>
      <c r="C14" s="33">
        <v>2.0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5.14115E-7</v>
      </c>
      <c r="L14" s="31">
        <v>5.33335937493642E-9</v>
      </c>
      <c r="M14" s="30">
        <f t="shared" si="1"/>
        <v>0.514115</v>
      </c>
      <c r="N14" s="30"/>
      <c r="O14" s="30">
        <v>0.5141</v>
      </c>
      <c r="P14" s="30"/>
      <c r="Q14" s="32">
        <f t="shared" si="2"/>
        <v>-0.00002917635159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1.000029177</v>
      </c>
      <c r="W14" s="29">
        <f t="shared" si="7"/>
        <v>1</v>
      </c>
      <c r="X14" s="22">
        <f t="shared" si="8"/>
        <v>9</v>
      </c>
      <c r="Y14" s="19">
        <f t="shared" si="9"/>
        <v>0.000514115</v>
      </c>
    </row>
    <row r="15">
      <c r="A15" s="22"/>
      <c r="B15" s="22">
        <v>10.0</v>
      </c>
      <c r="C15" s="25">
        <v>2.0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4.22676999999999E-6</v>
      </c>
      <c r="L15" s="24">
        <v>3.88773920956848E-8</v>
      </c>
      <c r="M15" s="23">
        <f t="shared" si="1"/>
        <v>4.22677</v>
      </c>
      <c r="N15" s="23"/>
      <c r="O15" s="23">
        <v>4.231336556</v>
      </c>
      <c r="P15" s="23"/>
      <c r="Q15" s="26">
        <f t="shared" si="2"/>
        <v>0.001080389044</v>
      </c>
      <c r="R15" s="27" t="str">
        <f t="shared" si="3"/>
        <v>#DIV/0!</v>
      </c>
      <c r="S15" s="22"/>
      <c r="T15" s="28">
        <f t="shared" si="4"/>
        <v>8.221448509</v>
      </c>
      <c r="U15" s="28">
        <f t="shared" si="10"/>
        <v>8.221448509</v>
      </c>
      <c r="V15" s="23">
        <f t="shared" si="6"/>
        <v>0.9989207769</v>
      </c>
      <c r="W15" s="22">
        <f t="shared" si="7"/>
        <v>1</v>
      </c>
      <c r="X15" s="22">
        <f t="shared" si="8"/>
        <v>10</v>
      </c>
      <c r="Y15" s="20">
        <f t="shared" si="9"/>
        <v>0.00422677</v>
      </c>
    </row>
    <row r="16">
      <c r="A16" s="22"/>
      <c r="B16" s="22">
        <v>11.0</v>
      </c>
      <c r="C16" s="25">
        <v>2.0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1.49114999999999E-5</v>
      </c>
      <c r="L16" s="24">
        <v>1.3579080018227E-7</v>
      </c>
      <c r="M16" s="23">
        <f t="shared" si="1"/>
        <v>14.9115</v>
      </c>
      <c r="N16" s="23"/>
      <c r="O16" s="23">
        <v>14.92930381</v>
      </c>
      <c r="P16" s="23"/>
      <c r="Q16" s="26">
        <f t="shared" si="2"/>
        <v>0.001193965061</v>
      </c>
      <c r="R16" s="27" t="str">
        <f t="shared" si="3"/>
        <v>#DIV/0!</v>
      </c>
      <c r="S16" s="22"/>
      <c r="T16" s="28">
        <f t="shared" si="4"/>
        <v>29.00421112</v>
      </c>
      <c r="U16" s="28">
        <f t="shared" si="10"/>
        <v>29.00421112</v>
      </c>
      <c r="V16" s="23">
        <f t="shared" si="6"/>
        <v>0.9988074588</v>
      </c>
      <c r="W16" s="22">
        <f t="shared" si="7"/>
        <v>1</v>
      </c>
      <c r="X16" s="22">
        <f t="shared" si="8"/>
        <v>11</v>
      </c>
      <c r="Y16" s="21">
        <f t="shared" si="9"/>
        <v>0.0149115</v>
      </c>
    </row>
    <row r="17">
      <c r="A17" s="22"/>
      <c r="B17" s="22">
        <v>12.0</v>
      </c>
      <c r="C17" s="25">
        <v>2.0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3.93904E-5</v>
      </c>
      <c r="L17" s="24">
        <v>3.73765766871243E-7</v>
      </c>
      <c r="M17" s="23">
        <f t="shared" si="1"/>
        <v>39.3904</v>
      </c>
      <c r="N17" s="23"/>
      <c r="O17" s="23">
        <v>39.491210502</v>
      </c>
      <c r="P17" s="23"/>
      <c r="Q17" s="26">
        <f t="shared" si="2"/>
        <v>0.00255926576</v>
      </c>
      <c r="R17" s="27" t="str">
        <f t="shared" si="3"/>
        <v>#DIV/0!</v>
      </c>
      <c r="S17" s="22"/>
      <c r="T17" s="28">
        <f t="shared" si="4"/>
        <v>76.61787732</v>
      </c>
      <c r="U17" s="28">
        <f t="shared" si="10"/>
        <v>76.61787732</v>
      </c>
      <c r="V17" s="23">
        <f t="shared" si="6"/>
        <v>0.9974472674</v>
      </c>
      <c r="W17" s="22">
        <f t="shared" si="7"/>
        <v>1</v>
      </c>
      <c r="X17" s="22">
        <f t="shared" si="8"/>
        <v>12</v>
      </c>
      <c r="Y17" s="21">
        <f t="shared" si="9"/>
        <v>0.0393904</v>
      </c>
    </row>
    <row r="18">
      <c r="A18" s="22"/>
      <c r="B18" s="22">
        <v>13.0</v>
      </c>
      <c r="C18" s="25">
        <v>2.0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8.49078E-5</v>
      </c>
      <c r="L18" s="24">
        <v>8.5341332484928E-7</v>
      </c>
      <c r="M18" s="23">
        <f t="shared" si="1"/>
        <v>84.9078</v>
      </c>
      <c r="N18" s="23"/>
      <c r="O18" s="23">
        <v>88.160125761</v>
      </c>
      <c r="P18" s="23"/>
      <c r="Q18" s="26">
        <f t="shared" si="2"/>
        <v>0.03830420481</v>
      </c>
      <c r="R18" s="27" t="str">
        <f t="shared" si="3"/>
        <v>#DIV/0!</v>
      </c>
      <c r="S18" s="22"/>
      <c r="T18" s="28">
        <f t="shared" si="4"/>
        <v>165.1533217</v>
      </c>
      <c r="U18" s="28">
        <f t="shared" si="10"/>
        <v>165.1533217</v>
      </c>
      <c r="V18" s="23">
        <f t="shared" si="6"/>
        <v>0.9631088802</v>
      </c>
      <c r="W18" s="22">
        <f t="shared" si="7"/>
        <v>1</v>
      </c>
      <c r="X18" s="22">
        <f t="shared" si="8"/>
        <v>13</v>
      </c>
      <c r="Y18" s="21">
        <f t="shared" si="9"/>
        <v>0.0849078</v>
      </c>
    </row>
    <row r="19">
      <c r="A19" s="22"/>
      <c r="B19" s="22">
        <v>14.0</v>
      </c>
      <c r="C19" s="25">
        <v>2.0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1.67089999999999E-4</v>
      </c>
      <c r="L19" s="24">
        <v>1.4414849246103E-6</v>
      </c>
      <c r="M19" s="23">
        <f t="shared" si="1"/>
        <v>167.09</v>
      </c>
      <c r="N19" s="23"/>
      <c r="O19" s="23">
        <v>174.538978515</v>
      </c>
      <c r="P19" s="23"/>
      <c r="Q19" s="26">
        <f t="shared" si="2"/>
        <v>0.04458063627</v>
      </c>
      <c r="R19" s="27" t="str">
        <f t="shared" si="3"/>
        <v>#DIV/0!</v>
      </c>
      <c r="S19" s="22"/>
      <c r="T19" s="28">
        <f t="shared" si="4"/>
        <v>325.0051059</v>
      </c>
      <c r="U19" s="28">
        <f t="shared" si="10"/>
        <v>325.0051059</v>
      </c>
      <c r="V19" s="23">
        <f t="shared" si="6"/>
        <v>0.9573219771</v>
      </c>
      <c r="W19" s="22">
        <f t="shared" si="7"/>
        <v>1</v>
      </c>
      <c r="X19" s="22">
        <f t="shared" si="8"/>
        <v>14</v>
      </c>
      <c r="Y19" s="36">
        <f t="shared" si="9"/>
        <v>0.16709</v>
      </c>
    </row>
    <row r="20">
      <c r="A20" s="37"/>
      <c r="B20" s="37">
        <v>15.0</v>
      </c>
      <c r="C20" s="43">
        <v>2.0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1.96057999999999E-7</v>
      </c>
      <c r="L20" s="39">
        <v>1.76544726355788E-9</v>
      </c>
      <c r="M20" s="38">
        <f t="shared" si="1"/>
        <v>0.196058</v>
      </c>
      <c r="N20" s="38"/>
      <c r="O20" s="38">
        <v>0.207383905</v>
      </c>
      <c r="P20" s="38"/>
      <c r="Q20" s="40">
        <f t="shared" si="2"/>
        <v>0.05776813494</v>
      </c>
      <c r="R20" s="41" t="str">
        <f t="shared" si="3"/>
        <v>#DIV/0!</v>
      </c>
      <c r="S20" s="37"/>
      <c r="T20" s="42">
        <f t="shared" si="4"/>
        <v>0.3813504761</v>
      </c>
      <c r="U20" s="42">
        <f t="shared" ref="U20:U26" si="11">K20/$K$21</f>
        <v>0.07638137313</v>
      </c>
      <c r="V20" s="38">
        <f t="shared" si="6"/>
        <v>0.9453867695</v>
      </c>
      <c r="W20" s="37">
        <f t="shared" si="7"/>
        <v>1</v>
      </c>
      <c r="X20" s="37">
        <f t="shared" si="8"/>
        <v>15</v>
      </c>
      <c r="Y20" s="19">
        <f t="shared" si="9"/>
        <v>0.000196058</v>
      </c>
    </row>
    <row r="21">
      <c r="A21" s="37"/>
      <c r="B21" s="37">
        <v>16.0</v>
      </c>
      <c r="C21" s="43">
        <v>2.0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2.56682999999999E-6</v>
      </c>
      <c r="L21" s="39">
        <v>2.80176910201574E-8</v>
      </c>
      <c r="M21" s="38">
        <f t="shared" si="1"/>
        <v>2.56683</v>
      </c>
      <c r="N21" s="38"/>
      <c r="O21" s="38">
        <v>2.602631248</v>
      </c>
      <c r="P21" s="38"/>
      <c r="Q21" s="40">
        <f t="shared" si="2"/>
        <v>0.0139476506</v>
      </c>
      <c r="R21" s="41" t="str">
        <f t="shared" si="3"/>
        <v>#DIV/0!</v>
      </c>
      <c r="S21" s="37"/>
      <c r="T21" s="42">
        <f t="shared" si="4"/>
        <v>4.992715638</v>
      </c>
      <c r="U21" s="42">
        <f t="shared" si="11"/>
        <v>1</v>
      </c>
      <c r="V21" s="38">
        <f t="shared" si="6"/>
        <v>0.9862442103</v>
      </c>
      <c r="W21" s="37">
        <f t="shared" si="7"/>
        <v>1</v>
      </c>
      <c r="X21" s="37">
        <f t="shared" si="8"/>
        <v>16</v>
      </c>
      <c r="Y21" s="20">
        <f t="shared" si="9"/>
        <v>0.00256683</v>
      </c>
    </row>
    <row r="22">
      <c r="A22" s="37"/>
      <c r="B22" s="37">
        <v>17.0</v>
      </c>
      <c r="C22" s="43">
        <v>2.0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2.10935E-5</v>
      </c>
      <c r="L22" s="39">
        <v>2.05457729929732E-7</v>
      </c>
      <c r="M22" s="38">
        <f t="shared" si="1"/>
        <v>21.0935</v>
      </c>
      <c r="N22" s="38"/>
      <c r="O22" s="38">
        <v>21.421141332</v>
      </c>
      <c r="P22" s="38"/>
      <c r="Q22" s="40">
        <f t="shared" si="2"/>
        <v>0.0155328102</v>
      </c>
      <c r="R22" s="41" t="str">
        <f t="shared" si="3"/>
        <v>#DIV/0!</v>
      </c>
      <c r="S22" s="37"/>
      <c r="T22" s="42">
        <f t="shared" si="4"/>
        <v>41.02875816</v>
      </c>
      <c r="U22" s="42">
        <f t="shared" si="11"/>
        <v>8.217723807</v>
      </c>
      <c r="V22" s="38">
        <f t="shared" si="6"/>
        <v>0.9847047677</v>
      </c>
      <c r="W22" s="37">
        <f t="shared" si="7"/>
        <v>1</v>
      </c>
      <c r="X22" s="37">
        <f t="shared" si="8"/>
        <v>17</v>
      </c>
      <c r="Y22" s="21">
        <f t="shared" si="9"/>
        <v>0.0210935</v>
      </c>
    </row>
    <row r="23">
      <c r="A23" s="37"/>
      <c r="B23" s="37">
        <v>18.0</v>
      </c>
      <c r="C23" s="43">
        <v>2.0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7.17893999999999E-5</v>
      </c>
      <c r="L23" s="39">
        <v>7.18817519446087E-7</v>
      </c>
      <c r="M23" s="38">
        <f t="shared" si="1"/>
        <v>71.7894</v>
      </c>
      <c r="N23" s="38"/>
      <c r="O23" s="38">
        <v>75.579600536</v>
      </c>
      <c r="P23" s="38"/>
      <c r="Q23" s="40">
        <f t="shared" si="2"/>
        <v>0.05279610271</v>
      </c>
      <c r="R23" s="41" t="str">
        <f t="shared" si="3"/>
        <v>#DIV/0!</v>
      </c>
      <c r="S23" s="37"/>
      <c r="T23" s="42">
        <f t="shared" si="4"/>
        <v>139.6368517</v>
      </c>
      <c r="U23" s="42">
        <f t="shared" si="11"/>
        <v>27.96811631</v>
      </c>
      <c r="V23" s="38">
        <f t="shared" si="6"/>
        <v>0.9498515405</v>
      </c>
      <c r="W23" s="37">
        <f t="shared" si="7"/>
        <v>1</v>
      </c>
      <c r="X23" s="37">
        <f t="shared" si="8"/>
        <v>18</v>
      </c>
      <c r="Y23" s="21">
        <f t="shared" si="9"/>
        <v>0.0717894</v>
      </c>
    </row>
    <row r="24">
      <c r="A24" s="37"/>
      <c r="B24" s="37">
        <v>19.0</v>
      </c>
      <c r="C24" s="43">
        <v>2.0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2.01773999999999E-4</v>
      </c>
      <c r="L24" s="39">
        <v>1.86848504506628E-6</v>
      </c>
      <c r="M24" s="38">
        <f t="shared" si="1"/>
        <v>201.774</v>
      </c>
      <c r="N24" s="38"/>
      <c r="O24" s="38">
        <v>199.924253459</v>
      </c>
      <c r="P24" s="38"/>
      <c r="Q24" s="40">
        <f t="shared" si="2"/>
        <v>-0.00916741771</v>
      </c>
      <c r="R24" s="41" t="str">
        <f t="shared" si="3"/>
        <v>#DIV/0!</v>
      </c>
      <c r="S24" s="37"/>
      <c r="T24" s="42">
        <f t="shared" si="4"/>
        <v>392.4686111</v>
      </c>
      <c r="U24" s="42">
        <f t="shared" si="11"/>
        <v>78.60824441</v>
      </c>
      <c r="V24" s="38">
        <f t="shared" si="6"/>
        <v>1.009252237</v>
      </c>
      <c r="W24" s="37">
        <f t="shared" si="7"/>
        <v>1</v>
      </c>
      <c r="X24" s="37">
        <f t="shared" si="8"/>
        <v>19</v>
      </c>
      <c r="Y24" s="36">
        <f t="shared" si="9"/>
        <v>0.201774</v>
      </c>
    </row>
    <row r="25">
      <c r="A25" s="37"/>
      <c r="B25" s="37">
        <v>20.0</v>
      </c>
      <c r="C25" s="43">
        <v>2.0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4.53320999999999E-4</v>
      </c>
      <c r="L25" s="39">
        <v>4.24693103691632E-6</v>
      </c>
      <c r="M25" s="38">
        <f t="shared" si="1"/>
        <v>453.321</v>
      </c>
      <c r="N25" s="38"/>
      <c r="O25" s="38">
        <v>446.310637162</v>
      </c>
      <c r="P25" s="38"/>
      <c r="Q25" s="40">
        <f t="shared" si="2"/>
        <v>-0.0154644564</v>
      </c>
      <c r="R25" s="41" t="str">
        <f t="shared" si="3"/>
        <v>#DIV/0!</v>
      </c>
      <c r="S25" s="37"/>
      <c r="T25" s="42">
        <f t="shared" si="4"/>
        <v>881.7501921</v>
      </c>
      <c r="U25" s="42">
        <f t="shared" si="11"/>
        <v>176.6073328</v>
      </c>
      <c r="V25" s="38">
        <f t="shared" si="6"/>
        <v>1.015707362</v>
      </c>
      <c r="W25" s="37">
        <f t="shared" si="7"/>
        <v>1</v>
      </c>
      <c r="X25" s="37">
        <f t="shared" si="8"/>
        <v>20</v>
      </c>
      <c r="Y25" s="36">
        <f t="shared" si="9"/>
        <v>0.453321</v>
      </c>
    </row>
    <row r="26">
      <c r="A26" s="37"/>
      <c r="B26" s="37">
        <v>21.0</v>
      </c>
      <c r="C26" s="43">
        <v>2.0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9.04085E-4</v>
      </c>
      <c r="L26" s="39">
        <v>8.56213622688151E-6</v>
      </c>
      <c r="M26" s="38">
        <f t="shared" si="1"/>
        <v>904.085</v>
      </c>
      <c r="N26" s="38"/>
      <c r="O26" s="38">
        <v>883.603578454</v>
      </c>
      <c r="P26" s="38"/>
      <c r="Q26" s="40">
        <f t="shared" si="2"/>
        <v>-0.02265430966</v>
      </c>
      <c r="R26" s="41" t="str">
        <f t="shared" si="3"/>
        <v>#DIV/0!</v>
      </c>
      <c r="S26" s="37"/>
      <c r="T26" s="42">
        <f t="shared" si="4"/>
        <v>1758.526789</v>
      </c>
      <c r="U26" s="42">
        <f t="shared" si="11"/>
        <v>352.2184952</v>
      </c>
      <c r="V26" s="38">
        <f t="shared" si="6"/>
        <v>1.023179423</v>
      </c>
      <c r="W26" s="37">
        <f t="shared" si="7"/>
        <v>1</v>
      </c>
      <c r="X26" s="37">
        <f t="shared" si="8"/>
        <v>21</v>
      </c>
      <c r="Y26" s="36">
        <f t="shared" si="9"/>
        <v>0.904085</v>
      </c>
    </row>
    <row r="27">
      <c r="A27" s="44"/>
      <c r="B27" s="44">
        <v>22.0</v>
      </c>
      <c r="C27" s="50">
        <v>2.0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5.95029E-7</v>
      </c>
      <c r="L27" s="46">
        <v>5.96244636593627E-9</v>
      </c>
      <c r="M27" s="45">
        <f t="shared" si="1"/>
        <v>0.595029</v>
      </c>
      <c r="N27" s="45"/>
      <c r="O27" s="45">
        <v>0.65543555</v>
      </c>
      <c r="P27" s="45"/>
      <c r="Q27" s="47">
        <f t="shared" si="2"/>
        <v>0.1015186655</v>
      </c>
      <c r="R27" s="48" t="str">
        <f t="shared" si="3"/>
        <v>#DIV/0!</v>
      </c>
      <c r="S27" s="44"/>
      <c r="T27" s="49">
        <f t="shared" si="4"/>
        <v>1.157385021</v>
      </c>
      <c r="U27" s="49">
        <f t="shared" ref="U27:U33" si="12">K27/$K$28</f>
        <v>0.0766037731</v>
      </c>
      <c r="V27" s="45">
        <f t="shared" si="6"/>
        <v>0.9078375441</v>
      </c>
      <c r="W27" s="44">
        <f t="shared" si="7"/>
        <v>0</v>
      </c>
      <c r="X27" s="44">
        <f t="shared" si="8"/>
        <v>22</v>
      </c>
      <c r="Y27" s="19">
        <f t="shared" si="9"/>
        <v>0.000595029</v>
      </c>
    </row>
    <row r="28">
      <c r="A28" s="44"/>
      <c r="B28" s="44">
        <v>23.0</v>
      </c>
      <c r="C28" s="50">
        <v>2.0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7.76762E-6</v>
      </c>
      <c r="L28" s="46">
        <v>7.35745042577093E-8</v>
      </c>
      <c r="M28" s="45">
        <f t="shared" si="1"/>
        <v>7.76762</v>
      </c>
      <c r="N28" s="45"/>
      <c r="O28" s="45">
        <v>8.225599998</v>
      </c>
      <c r="P28" s="45"/>
      <c r="Q28" s="47">
        <f t="shared" si="2"/>
        <v>0.05896014455</v>
      </c>
      <c r="R28" s="48" t="str">
        <f t="shared" si="3"/>
        <v>#DIV/0!</v>
      </c>
      <c r="S28" s="44"/>
      <c r="T28" s="49">
        <f t="shared" si="4"/>
        <v>15.10872081</v>
      </c>
      <c r="U28" s="49">
        <f t="shared" si="12"/>
        <v>1</v>
      </c>
      <c r="V28" s="45">
        <f t="shared" si="6"/>
        <v>0.9443226028</v>
      </c>
      <c r="W28" s="44">
        <f t="shared" si="7"/>
        <v>1</v>
      </c>
      <c r="X28" s="44">
        <f t="shared" si="8"/>
        <v>23</v>
      </c>
      <c r="Y28" s="20">
        <f t="shared" si="9"/>
        <v>0.00776762</v>
      </c>
    </row>
    <row r="29">
      <c r="A29" s="44"/>
      <c r="B29" s="44">
        <v>24.0</v>
      </c>
      <c r="C29" s="50">
        <v>2.0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6.42416E-5</v>
      </c>
      <c r="L29" s="46">
        <v>5.73420923541821E-7</v>
      </c>
      <c r="M29" s="45">
        <f t="shared" si="1"/>
        <v>64.2416</v>
      </c>
      <c r="N29" s="45"/>
      <c r="O29" s="45">
        <v>67.701385005</v>
      </c>
      <c r="P29" s="45"/>
      <c r="Q29" s="47">
        <f t="shared" si="2"/>
        <v>0.05385583493</v>
      </c>
      <c r="R29" s="48" t="str">
        <f t="shared" si="3"/>
        <v>#DIV/0!</v>
      </c>
      <c r="S29" s="44"/>
      <c r="T29" s="49">
        <f t="shared" si="4"/>
        <v>124.9557006</v>
      </c>
      <c r="U29" s="49">
        <f t="shared" si="12"/>
        <v>8.270435474</v>
      </c>
      <c r="V29" s="45">
        <f t="shared" si="6"/>
        <v>0.9488963925</v>
      </c>
      <c r="W29" s="44">
        <f t="shared" si="7"/>
        <v>1</v>
      </c>
      <c r="X29" s="44">
        <f t="shared" si="8"/>
        <v>24</v>
      </c>
      <c r="Y29" s="21">
        <f t="shared" si="9"/>
        <v>0.0642416</v>
      </c>
    </row>
    <row r="30">
      <c r="A30" s="44"/>
      <c r="B30" s="44">
        <v>25.0</v>
      </c>
      <c r="C30" s="50">
        <v>2.0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2.41543E-4</v>
      </c>
      <c r="L30" s="46">
        <v>2.39689424468457E-6</v>
      </c>
      <c r="M30" s="45">
        <f t="shared" si="1"/>
        <v>241.543</v>
      </c>
      <c r="N30" s="45"/>
      <c r="O30" s="45">
        <v>238.868860867</v>
      </c>
      <c r="P30" s="45"/>
      <c r="Q30" s="47">
        <f t="shared" si="2"/>
        <v>-0.01107106864</v>
      </c>
      <c r="R30" s="48" t="str">
        <f t="shared" si="3"/>
        <v>#DIV/0!</v>
      </c>
      <c r="S30" s="44"/>
      <c r="T30" s="49">
        <f t="shared" si="4"/>
        <v>469.8228995</v>
      </c>
      <c r="U30" s="49">
        <f t="shared" si="12"/>
        <v>31.09614013</v>
      </c>
      <c r="V30" s="45">
        <f t="shared" si="6"/>
        <v>1.011195009</v>
      </c>
      <c r="W30" s="44">
        <f t="shared" si="7"/>
        <v>1</v>
      </c>
      <c r="X30" s="44">
        <f t="shared" si="8"/>
        <v>25</v>
      </c>
      <c r="Y30" s="36">
        <f t="shared" si="9"/>
        <v>0.241543</v>
      </c>
    </row>
    <row r="31">
      <c r="A31" s="44"/>
      <c r="B31" s="44">
        <v>26.0</v>
      </c>
      <c r="C31" s="50">
        <v>2.0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6.43207E-4</v>
      </c>
      <c r="L31" s="46">
        <v>5.80500054376666E-6</v>
      </c>
      <c r="M31" s="45">
        <f t="shared" si="1"/>
        <v>643.207</v>
      </c>
      <c r="N31" s="45"/>
      <c r="O31" s="45">
        <v>631.859369198</v>
      </c>
      <c r="P31" s="45"/>
      <c r="Q31" s="47">
        <f t="shared" si="2"/>
        <v>-0.01764226882</v>
      </c>
      <c r="R31" s="48" t="str">
        <f t="shared" si="3"/>
        <v>#DIV/0!</v>
      </c>
      <c r="S31" s="44"/>
      <c r="T31" s="49">
        <f t="shared" si="4"/>
        <v>1251.095572</v>
      </c>
      <c r="U31" s="49">
        <f t="shared" si="12"/>
        <v>82.80618774</v>
      </c>
      <c r="V31" s="45">
        <f t="shared" si="6"/>
        <v>1.017959108</v>
      </c>
      <c r="W31" s="44">
        <f t="shared" si="7"/>
        <v>1</v>
      </c>
      <c r="X31" s="44">
        <f t="shared" si="8"/>
        <v>26</v>
      </c>
      <c r="Y31" s="36">
        <f t="shared" si="9"/>
        <v>0.643207</v>
      </c>
    </row>
    <row r="32">
      <c r="A32" s="44"/>
      <c r="B32" s="44">
        <v>27.0</v>
      </c>
      <c r="C32" s="50">
        <v>2.0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0.00145858</v>
      </c>
      <c r="L32" s="46">
        <v>1.32094089515195E-5</v>
      </c>
      <c r="M32" s="45">
        <f t="shared" si="1"/>
        <v>1458.58</v>
      </c>
      <c r="N32" s="45"/>
      <c r="O32" s="45">
        <v>1410.562012121</v>
      </c>
      <c r="P32" s="45"/>
      <c r="Q32" s="47">
        <f t="shared" si="2"/>
        <v>-0.0329210519</v>
      </c>
      <c r="R32" s="48" t="str">
        <f t="shared" si="3"/>
        <v>#DIV/0!</v>
      </c>
      <c r="S32" s="44"/>
      <c r="T32" s="49">
        <f t="shared" si="4"/>
        <v>2837.069527</v>
      </c>
      <c r="U32" s="49">
        <f t="shared" si="12"/>
        <v>187.776951</v>
      </c>
      <c r="V32" s="45">
        <f t="shared" si="6"/>
        <v>1.034041742</v>
      </c>
      <c r="W32" s="44">
        <f t="shared" si="7"/>
        <v>1</v>
      </c>
      <c r="X32" s="44">
        <f t="shared" si="8"/>
        <v>27</v>
      </c>
      <c r="Y32" s="12">
        <f t="shared" si="9"/>
        <v>1.45858</v>
      </c>
    </row>
    <row r="33">
      <c r="A33" s="44"/>
      <c r="B33" s="44">
        <v>28.0</v>
      </c>
      <c r="C33" s="50">
        <v>2.0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0.0029486</v>
      </c>
      <c r="L33" s="46">
        <v>2.69488853988884E-5</v>
      </c>
      <c r="M33" s="45">
        <f t="shared" si="1"/>
        <v>2948.6</v>
      </c>
      <c r="N33" s="45"/>
      <c r="O33" s="45">
        <v>2792.623654433</v>
      </c>
      <c r="P33" s="45"/>
      <c r="Q33" s="47">
        <f t="shared" si="2"/>
        <v>-0.05289844183</v>
      </c>
      <c r="R33" s="48" t="str">
        <f t="shared" si="3"/>
        <v>#DIV/0!</v>
      </c>
      <c r="S33" s="44"/>
      <c r="T33" s="49">
        <f t="shared" si="4"/>
        <v>5735.292687</v>
      </c>
      <c r="U33" s="49">
        <f t="shared" si="12"/>
        <v>379.6014738</v>
      </c>
      <c r="V33" s="45">
        <f t="shared" si="6"/>
        <v>1.055852977</v>
      </c>
      <c r="W33" s="44">
        <f t="shared" si="7"/>
        <v>1</v>
      </c>
      <c r="X33" s="44">
        <f t="shared" si="8"/>
        <v>28</v>
      </c>
      <c r="Y33" s="12">
        <f t="shared" si="9"/>
        <v>2.9486</v>
      </c>
    </row>
    <row r="34">
      <c r="A34" s="51"/>
      <c r="B34" s="51">
        <v>29.0</v>
      </c>
      <c r="C34" s="57">
        <v>2.0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1.48028E-6</v>
      </c>
      <c r="L34" s="53">
        <v>1.50400676981068E-8</v>
      </c>
      <c r="M34" s="52">
        <f t="shared" si="1"/>
        <v>1.48028</v>
      </c>
      <c r="N34" s="52"/>
      <c r="O34" s="52">
        <v>1.600184449</v>
      </c>
      <c r="P34" s="52"/>
      <c r="Q34" s="54">
        <f t="shared" si="2"/>
        <v>0.08100119504</v>
      </c>
      <c r="R34" s="55" t="str">
        <f t="shared" si="3"/>
        <v>#DIV/0!</v>
      </c>
      <c r="S34" s="51"/>
      <c r="T34" s="56">
        <f t="shared" si="4"/>
        <v>2.879277983</v>
      </c>
      <c r="U34" s="56">
        <f t="shared" ref="U34:U40" si="13">K34/$K$35</f>
        <v>0.07396555256</v>
      </c>
      <c r="V34" s="52">
        <f t="shared" si="6"/>
        <v>0.9250683575</v>
      </c>
      <c r="W34" s="51">
        <f t="shared" si="7"/>
        <v>1</v>
      </c>
      <c r="X34" s="51">
        <f t="shared" si="8"/>
        <v>29</v>
      </c>
      <c r="Y34" s="20">
        <f t="shared" si="9"/>
        <v>0.00148028</v>
      </c>
    </row>
    <row r="35">
      <c r="A35" s="51"/>
      <c r="B35" s="51">
        <v>30.0</v>
      </c>
      <c r="C35" s="57">
        <v>2.0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2.00131E-5</v>
      </c>
      <c r="L35" s="53">
        <v>2.15967145836602E-7</v>
      </c>
      <c r="M35" s="52">
        <f t="shared" si="1"/>
        <v>20.0131</v>
      </c>
      <c r="N35" s="52"/>
      <c r="O35" s="52">
        <v>20.082031233</v>
      </c>
      <c r="P35" s="52"/>
      <c r="Q35" s="54">
        <f t="shared" si="2"/>
        <v>0.00344430563</v>
      </c>
      <c r="R35" s="55" t="str">
        <f t="shared" si="3"/>
        <v>#DIV/0!</v>
      </c>
      <c r="S35" s="51"/>
      <c r="T35" s="56">
        <f t="shared" si="4"/>
        <v>38.92728281</v>
      </c>
      <c r="U35" s="56">
        <f t="shared" si="13"/>
        <v>1</v>
      </c>
      <c r="V35" s="52">
        <f t="shared" si="6"/>
        <v>0.9965675169</v>
      </c>
      <c r="W35" s="51">
        <f t="shared" si="7"/>
        <v>1</v>
      </c>
      <c r="X35" s="51">
        <f t="shared" si="8"/>
        <v>30</v>
      </c>
      <c r="Y35" s="21">
        <f t="shared" si="9"/>
        <v>0.0200131</v>
      </c>
    </row>
    <row r="36">
      <c r="A36" s="51"/>
      <c r="B36" s="51">
        <v>31.0</v>
      </c>
      <c r="C36" s="57">
        <v>2.0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1.66563999999999E-4</v>
      </c>
      <c r="L36" s="53">
        <v>1.50665325818651E-6</v>
      </c>
      <c r="M36" s="52">
        <f t="shared" si="1"/>
        <v>166.564</v>
      </c>
      <c r="N36" s="52"/>
      <c r="O36" s="52">
        <v>165.286584216</v>
      </c>
      <c r="P36" s="52"/>
      <c r="Q36" s="54">
        <f t="shared" si="2"/>
        <v>-0.007669218943</v>
      </c>
      <c r="R36" s="55" t="str">
        <f t="shared" si="3"/>
        <v>#DIV/0!</v>
      </c>
      <c r="S36" s="51"/>
      <c r="T36" s="56">
        <f t="shared" si="4"/>
        <v>323.9819885</v>
      </c>
      <c r="U36" s="56">
        <f t="shared" si="13"/>
        <v>8.3227486</v>
      </c>
      <c r="V36" s="52">
        <f t="shared" si="6"/>
        <v>1.00772849</v>
      </c>
      <c r="W36" s="51">
        <f t="shared" si="7"/>
        <v>1</v>
      </c>
      <c r="X36" s="51">
        <f t="shared" si="8"/>
        <v>31</v>
      </c>
      <c r="Y36" s="36">
        <f t="shared" si="9"/>
        <v>0.166564</v>
      </c>
    </row>
    <row r="37">
      <c r="A37" s="51"/>
      <c r="B37" s="51">
        <v>32.0</v>
      </c>
      <c r="C37" s="57">
        <v>2.0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5.94581E-4</v>
      </c>
      <c r="L37" s="53">
        <v>6.18952675203374E-6</v>
      </c>
      <c r="M37" s="52">
        <f t="shared" si="1"/>
        <v>594.581</v>
      </c>
      <c r="N37" s="52"/>
      <c r="O37" s="52">
        <v>583.175929928</v>
      </c>
      <c r="P37" s="52"/>
      <c r="Q37" s="54">
        <f t="shared" si="2"/>
        <v>-0.01918169278</v>
      </c>
      <c r="R37" s="55" t="str">
        <f t="shared" si="3"/>
        <v>#DIV/0!</v>
      </c>
      <c r="S37" s="51"/>
      <c r="T37" s="56">
        <f t="shared" si="4"/>
        <v>1156.51362</v>
      </c>
      <c r="U37" s="56">
        <f t="shared" si="13"/>
        <v>29.70959022</v>
      </c>
      <c r="V37" s="52">
        <f t="shared" si="6"/>
        <v>1.019556826</v>
      </c>
      <c r="W37" s="51">
        <f t="shared" si="7"/>
        <v>1</v>
      </c>
      <c r="X37" s="51">
        <f t="shared" si="8"/>
        <v>32</v>
      </c>
      <c r="Y37" s="36">
        <f t="shared" si="9"/>
        <v>0.594581</v>
      </c>
    </row>
    <row r="38">
      <c r="A38" s="51"/>
      <c r="B38" s="51">
        <v>33.0</v>
      </c>
      <c r="C38" s="57">
        <v>2.0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0.00160218</v>
      </c>
      <c r="L38" s="53">
        <v>1.44567484503803E-5</v>
      </c>
      <c r="M38" s="52">
        <f t="shared" si="1"/>
        <v>1602.18</v>
      </c>
      <c r="N38" s="52"/>
      <c r="O38" s="52">
        <v>1542.625412488</v>
      </c>
      <c r="P38" s="52"/>
      <c r="Q38" s="54">
        <f t="shared" si="2"/>
        <v>-0.03717097175</v>
      </c>
      <c r="R38" s="55" t="str">
        <f t="shared" si="3"/>
        <v>#DIV/0!</v>
      </c>
      <c r="S38" s="51"/>
      <c r="T38" s="56">
        <f t="shared" si="4"/>
        <v>3116.384467</v>
      </c>
      <c r="U38" s="56">
        <f t="shared" si="13"/>
        <v>80.05656295</v>
      </c>
      <c r="V38" s="52">
        <f t="shared" si="6"/>
        <v>1.038605994</v>
      </c>
      <c r="W38" s="51">
        <f t="shared" si="7"/>
        <v>1</v>
      </c>
      <c r="X38" s="51">
        <f t="shared" si="8"/>
        <v>33</v>
      </c>
      <c r="Y38" s="12">
        <f t="shared" si="9"/>
        <v>1.60218</v>
      </c>
    </row>
    <row r="39">
      <c r="A39" s="51"/>
      <c r="B39" s="51">
        <v>34.0</v>
      </c>
      <c r="C39" s="57">
        <v>2.0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0.00368492999999999</v>
      </c>
      <c r="L39" s="53">
        <v>3.42097673452799E-5</v>
      </c>
      <c r="M39" s="52">
        <f t="shared" si="1"/>
        <v>3684.93</v>
      </c>
      <c r="N39" s="52"/>
      <c r="O39" s="52">
        <v>3443.75491207</v>
      </c>
      <c r="P39" s="52"/>
      <c r="Q39" s="54">
        <f t="shared" si="2"/>
        <v>-0.06544902832</v>
      </c>
      <c r="R39" s="55" t="str">
        <f t="shared" si="3"/>
        <v>#DIV/0!</v>
      </c>
      <c r="S39" s="51"/>
      <c r="T39" s="56">
        <f t="shared" si="4"/>
        <v>7167.520885</v>
      </c>
      <c r="U39" s="56">
        <f t="shared" si="13"/>
        <v>184.1258975</v>
      </c>
      <c r="V39" s="52">
        <f t="shared" si="6"/>
        <v>1.070032594</v>
      </c>
      <c r="W39" s="51">
        <f t="shared" si="7"/>
        <v>1</v>
      </c>
      <c r="X39" s="51">
        <f t="shared" si="8"/>
        <v>34</v>
      </c>
      <c r="Y39" s="12">
        <f t="shared" si="9"/>
        <v>3.68493</v>
      </c>
    </row>
    <row r="40">
      <c r="A40" s="51"/>
      <c r="B40" s="51">
        <v>35.0</v>
      </c>
      <c r="C40" s="57">
        <v>2.0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0.00760606999999999</v>
      </c>
      <c r="L40" s="53">
        <v>7.61499391485195E-5</v>
      </c>
      <c r="M40" s="52">
        <f t="shared" si="1"/>
        <v>7606.07</v>
      </c>
      <c r="N40" s="52"/>
      <c r="O40" s="52">
        <v>6817.928837322</v>
      </c>
      <c r="P40" s="52"/>
      <c r="Q40" s="54">
        <f t="shared" si="2"/>
        <v>-0.1036200249</v>
      </c>
      <c r="R40" s="55" t="str">
        <f t="shared" si="3"/>
        <v>#DIV/0!</v>
      </c>
      <c r="S40" s="51"/>
      <c r="T40" s="56">
        <f t="shared" si="4"/>
        <v>14794.4915</v>
      </c>
      <c r="U40" s="56">
        <f t="shared" si="13"/>
        <v>380.0545643</v>
      </c>
      <c r="V40" s="52">
        <f t="shared" si="6"/>
        <v>1.115598326</v>
      </c>
      <c r="W40" s="51">
        <f t="shared" si="7"/>
        <v>0</v>
      </c>
      <c r="X40" s="51">
        <f t="shared" si="8"/>
        <v>35</v>
      </c>
      <c r="Y40" s="12">
        <f t="shared" si="9"/>
        <v>7.60607</v>
      </c>
    </row>
    <row r="41">
      <c r="A41" s="58"/>
      <c r="B41" s="58">
        <v>36.0</v>
      </c>
      <c r="C41" s="64">
        <v>2.0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3.03262999999999E-6</v>
      </c>
      <c r="L41" s="60">
        <v>2.95852321200283E-8</v>
      </c>
      <c r="M41" s="59">
        <f t="shared" si="1"/>
        <v>3.03263</v>
      </c>
      <c r="N41" s="59"/>
      <c r="O41" s="59">
        <v>3.318142473</v>
      </c>
      <c r="P41" s="59"/>
      <c r="Q41" s="61">
        <f t="shared" si="2"/>
        <v>0.09414682075</v>
      </c>
      <c r="R41" s="62" t="str">
        <f t="shared" si="3"/>
        <v>#DIV/0!</v>
      </c>
      <c r="S41" s="58"/>
      <c r="T41" s="63">
        <f t="shared" si="4"/>
        <v>5.898738609</v>
      </c>
      <c r="U41" s="63">
        <f t="shared" ref="U41:U47" si="14">K41/$K$42</f>
        <v>0.07274831721</v>
      </c>
      <c r="V41" s="59">
        <f t="shared" si="6"/>
        <v>0.9139541248</v>
      </c>
      <c r="W41" s="58">
        <f t="shared" si="7"/>
        <v>1</v>
      </c>
      <c r="X41" s="58">
        <f t="shared" si="8"/>
        <v>36</v>
      </c>
      <c r="Y41" s="20">
        <f t="shared" si="9"/>
        <v>0.00303263</v>
      </c>
    </row>
    <row r="42">
      <c r="A42" s="58"/>
      <c r="B42" s="58">
        <v>37.0</v>
      </c>
      <c r="C42" s="64">
        <v>2.0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4.16866E-5</v>
      </c>
      <c r="L42" s="60">
        <v>4.26560640235335E-7</v>
      </c>
      <c r="M42" s="59">
        <f t="shared" si="1"/>
        <v>41.6866</v>
      </c>
      <c r="N42" s="59"/>
      <c r="O42" s="59">
        <v>41.642099991</v>
      </c>
      <c r="P42" s="59"/>
      <c r="Q42" s="61">
        <f t="shared" si="2"/>
        <v>-0.001067489529</v>
      </c>
      <c r="R42" s="62" t="str">
        <f t="shared" si="3"/>
        <v>#DIV/0!</v>
      </c>
      <c r="S42" s="58"/>
      <c r="T42" s="63">
        <f t="shared" si="4"/>
        <v>81.08419323</v>
      </c>
      <c r="U42" s="63">
        <f t="shared" si="14"/>
        <v>1</v>
      </c>
      <c r="V42" s="59">
        <f t="shared" si="6"/>
        <v>1.00106863</v>
      </c>
      <c r="W42" s="58">
        <f t="shared" si="7"/>
        <v>1</v>
      </c>
      <c r="X42" s="58">
        <f t="shared" si="8"/>
        <v>37</v>
      </c>
      <c r="Y42" s="21">
        <f t="shared" si="9"/>
        <v>0.0416866</v>
      </c>
    </row>
    <row r="43">
      <c r="A43" s="58"/>
      <c r="B43" s="58">
        <v>38.0</v>
      </c>
      <c r="C43" s="64">
        <v>2.0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3.48498999999999E-4</v>
      </c>
      <c r="L43" s="60">
        <v>3.51913944370529E-6</v>
      </c>
      <c r="M43" s="59">
        <f t="shared" si="1"/>
        <v>348.499</v>
      </c>
      <c r="N43" s="59"/>
      <c r="O43" s="59">
        <v>342.738261451</v>
      </c>
      <c r="P43" s="59"/>
      <c r="Q43" s="61">
        <f t="shared" si="2"/>
        <v>-0.0165301437</v>
      </c>
      <c r="R43" s="62" t="str">
        <f t="shared" si="3"/>
        <v>#DIV/0!</v>
      </c>
      <c r="S43" s="58"/>
      <c r="T43" s="63">
        <f t="shared" si="4"/>
        <v>677.861957</v>
      </c>
      <c r="U43" s="63">
        <f t="shared" si="14"/>
        <v>8.359976587</v>
      </c>
      <c r="V43" s="59">
        <f t="shared" si="6"/>
        <v>1.016807982</v>
      </c>
      <c r="W43" s="58">
        <f t="shared" si="7"/>
        <v>1</v>
      </c>
      <c r="X43" s="58">
        <f t="shared" si="8"/>
        <v>38</v>
      </c>
      <c r="Y43" s="36">
        <f t="shared" si="9"/>
        <v>0.348499</v>
      </c>
    </row>
    <row r="44">
      <c r="A44" s="58"/>
      <c r="B44" s="58">
        <v>39.0</v>
      </c>
      <c r="C44" s="64">
        <v>2.0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0.00125703999999999</v>
      </c>
      <c r="L44" s="60">
        <v>1.18209880118269E-5</v>
      </c>
      <c r="M44" s="59">
        <f t="shared" si="1"/>
        <v>1257.04</v>
      </c>
      <c r="N44" s="59"/>
      <c r="O44" s="59">
        <v>1209.27360777</v>
      </c>
      <c r="P44" s="59"/>
      <c r="Q44" s="61">
        <f t="shared" si="2"/>
        <v>-0.03799910284</v>
      </c>
      <c r="R44" s="62" t="str">
        <f t="shared" si="3"/>
        <v>#DIV/0!</v>
      </c>
      <c r="S44" s="58"/>
      <c r="T44" s="63">
        <f t="shared" si="4"/>
        <v>2445.056067</v>
      </c>
      <c r="U44" s="63">
        <f t="shared" si="14"/>
        <v>30.15453407</v>
      </c>
      <c r="V44" s="59">
        <f t="shared" si="6"/>
        <v>1.03950007</v>
      </c>
      <c r="W44" s="58">
        <f t="shared" si="7"/>
        <v>1</v>
      </c>
      <c r="X44" s="58">
        <f t="shared" si="8"/>
        <v>39</v>
      </c>
      <c r="Y44" s="12">
        <f t="shared" si="9"/>
        <v>1.25704</v>
      </c>
    </row>
    <row r="45">
      <c r="A45" s="58"/>
      <c r="B45" s="58">
        <v>40.0</v>
      </c>
      <c r="C45" s="64">
        <v>2.0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0.00343529999999999</v>
      </c>
      <c r="L45" s="60">
        <v>3.49734386948354E-5</v>
      </c>
      <c r="M45" s="59">
        <f t="shared" si="1"/>
        <v>3435.3</v>
      </c>
      <c r="N45" s="59"/>
      <c r="O45" s="59">
        <v>3198.788054503</v>
      </c>
      <c r="P45" s="59"/>
      <c r="Q45" s="61">
        <f t="shared" si="2"/>
        <v>-0.06884753748</v>
      </c>
      <c r="R45" s="62" t="str">
        <f t="shared" si="3"/>
        <v>#DIV/0!</v>
      </c>
      <c r="S45" s="58"/>
      <c r="T45" s="63">
        <f t="shared" si="4"/>
        <v>6681.968042</v>
      </c>
      <c r="U45" s="63">
        <f t="shared" si="14"/>
        <v>82.40777612</v>
      </c>
      <c r="V45" s="59">
        <f t="shared" si="6"/>
        <v>1.073937986</v>
      </c>
      <c r="W45" s="58">
        <f t="shared" si="7"/>
        <v>1</v>
      </c>
      <c r="X45" s="58">
        <f t="shared" si="8"/>
        <v>40</v>
      </c>
      <c r="Y45" s="12">
        <f t="shared" si="9"/>
        <v>3.4353</v>
      </c>
    </row>
    <row r="46">
      <c r="A46" s="58"/>
      <c r="B46" s="58">
        <v>41.0</v>
      </c>
      <c r="C46" s="64">
        <v>2.0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0.00803241414141414</v>
      </c>
      <c r="L46" s="60">
        <v>7.37653491603971E-5</v>
      </c>
      <c r="M46" s="59">
        <f t="shared" si="1"/>
        <v>8032.414141</v>
      </c>
      <c r="N46" s="59"/>
      <c r="O46" s="59">
        <v>7140.970189891</v>
      </c>
      <c r="P46" s="59"/>
      <c r="Q46" s="61">
        <f t="shared" si="2"/>
        <v>-0.1109808254</v>
      </c>
      <c r="R46" s="62" t="str">
        <f t="shared" si="3"/>
        <v>#DIV/0!</v>
      </c>
      <c r="S46" s="58"/>
      <c r="T46" s="63">
        <f t="shared" si="4"/>
        <v>15623.76928</v>
      </c>
      <c r="U46" s="63">
        <f t="shared" si="14"/>
        <v>192.6857585</v>
      </c>
      <c r="V46" s="59">
        <f t="shared" si="6"/>
        <v>1.124835131</v>
      </c>
      <c r="W46" s="58">
        <f t="shared" si="7"/>
        <v>0</v>
      </c>
      <c r="X46" s="58">
        <f t="shared" si="8"/>
        <v>41</v>
      </c>
      <c r="Y46" s="12">
        <f t="shared" si="9"/>
        <v>8.032414141</v>
      </c>
    </row>
    <row r="47">
      <c r="A47" s="58"/>
      <c r="B47" s="58">
        <v>42.0</v>
      </c>
      <c r="C47" s="64">
        <v>2.0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0.0167642</v>
      </c>
      <c r="L47" s="60">
        <v>1.60913930190313E-4</v>
      </c>
      <c r="M47" s="59">
        <f t="shared" si="1"/>
        <v>16764.2</v>
      </c>
      <c r="N47" s="59"/>
      <c r="O47" s="59">
        <v>14137.657250497</v>
      </c>
      <c r="P47" s="59"/>
      <c r="Q47" s="61">
        <f t="shared" si="2"/>
        <v>-0.1566756988</v>
      </c>
      <c r="R47" s="62" t="str">
        <f t="shared" si="3"/>
        <v>#DIV/0!</v>
      </c>
      <c r="S47" s="58"/>
      <c r="T47" s="63">
        <f t="shared" si="4"/>
        <v>32607.87956</v>
      </c>
      <c r="U47" s="63">
        <f t="shared" si="14"/>
        <v>402.1484122</v>
      </c>
      <c r="V47" s="59">
        <f t="shared" si="6"/>
        <v>1.185783451</v>
      </c>
      <c r="W47" s="58">
        <f t="shared" si="7"/>
        <v>0</v>
      </c>
      <c r="X47" s="58">
        <f t="shared" si="8"/>
        <v>42</v>
      </c>
      <c r="Y47" s="13">
        <f t="shared" si="9"/>
        <v>16.7642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9">
        <v>2.5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1.1660505050505E-9</v>
      </c>
      <c r="L6" s="11">
        <v>1.1892695183259E-11</v>
      </c>
      <c r="M6" s="10">
        <f t="shared" ref="M6:M47" si="1">K6*1000000</f>
        <v>0.001166050505</v>
      </c>
      <c r="N6" s="10"/>
      <c r="O6" s="10">
        <v>0.001021439</v>
      </c>
      <c r="P6" s="10"/>
      <c r="Q6" s="12">
        <f t="shared" ref="Q6:Q47" si="2">(O6-M6)/M6</f>
        <v>-0.1240182174</v>
      </c>
      <c r="R6" s="13" t="str">
        <f t="shared" ref="R6:R47" si="3">(O6-M6)/sqrt(N6*N6+P6*P6)</f>
        <v>#DIV/0!</v>
      </c>
      <c r="S6" s="8"/>
      <c r="T6" s="14">
        <f t="shared" ref="T6:T47" si="4">K6/$K$14</f>
        <v>0.005490914038</v>
      </c>
      <c r="U6" s="14">
        <f t="shared" ref="U6:U12" si="5">K6/$K$7</f>
        <v>0.08563448328</v>
      </c>
      <c r="V6" s="10">
        <f t="shared" ref="V6:V47" si="6">M6/O6</f>
        <v>1.141576252</v>
      </c>
      <c r="W6" s="15">
        <f t="shared" ref="W6:W47" si="7">IF(abs(1/V6-1)&lt;$W$5, 1, 0)</f>
        <v>0</v>
      </c>
      <c r="X6" s="8">
        <f t="shared" ref="X6:X47" si="8">B6</f>
        <v>1</v>
      </c>
      <c r="Y6" s="16">
        <f t="shared" ref="Y6:Y47" si="9">M6*0.001</f>
        <v>0.000001166050505</v>
      </c>
    </row>
    <row r="7">
      <c r="A7" s="8"/>
      <c r="B7" s="8">
        <v>2.0</v>
      </c>
      <c r="C7" s="9">
        <v>2.5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1.36166E-8</v>
      </c>
      <c r="L7" s="11">
        <v>1.47929958856455E-10</v>
      </c>
      <c r="M7" s="10">
        <f t="shared" si="1"/>
        <v>0.0136166</v>
      </c>
      <c r="N7" s="10"/>
      <c r="O7" s="10">
        <v>0.013275</v>
      </c>
      <c r="P7" s="10"/>
      <c r="Q7" s="12">
        <f t="shared" si="2"/>
        <v>-0.02508702613</v>
      </c>
      <c r="R7" s="13" t="str">
        <f t="shared" si="3"/>
        <v>#DIV/0!</v>
      </c>
      <c r="S7" s="8"/>
      <c r="T7" s="14">
        <f t="shared" si="4"/>
        <v>0.06412036165</v>
      </c>
      <c r="U7" s="14">
        <f t="shared" si="5"/>
        <v>1</v>
      </c>
      <c r="V7" s="10">
        <f t="shared" si="6"/>
        <v>1.02573258</v>
      </c>
      <c r="W7" s="8">
        <f t="shared" si="7"/>
        <v>1</v>
      </c>
      <c r="X7" s="8">
        <f t="shared" si="8"/>
        <v>2</v>
      </c>
      <c r="Y7" s="17">
        <f t="shared" si="9"/>
        <v>0.0000136166</v>
      </c>
    </row>
    <row r="8">
      <c r="A8" s="8"/>
      <c r="B8" s="8">
        <v>3.0</v>
      </c>
      <c r="C8" s="9">
        <v>2.5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1.11486E-7</v>
      </c>
      <c r="L8" s="11">
        <v>1.09360122364764E-9</v>
      </c>
      <c r="M8" s="10">
        <f t="shared" si="1"/>
        <v>0.111486</v>
      </c>
      <c r="N8" s="10"/>
      <c r="O8" s="10">
        <v>0.109723555</v>
      </c>
      <c r="P8" s="10"/>
      <c r="Q8" s="12">
        <f t="shared" si="2"/>
        <v>-0.01580866656</v>
      </c>
      <c r="R8" s="13" t="str">
        <f t="shared" si="3"/>
        <v>#DIV/0!</v>
      </c>
      <c r="S8" s="8"/>
      <c r="T8" s="14">
        <f t="shared" si="4"/>
        <v>0.524985873</v>
      </c>
      <c r="U8" s="14">
        <f t="shared" si="5"/>
        <v>8.187506426</v>
      </c>
      <c r="V8" s="10">
        <f t="shared" si="6"/>
        <v>1.016062595</v>
      </c>
      <c r="W8" s="8">
        <f t="shared" si="7"/>
        <v>1</v>
      </c>
      <c r="X8" s="8">
        <f t="shared" si="8"/>
        <v>3</v>
      </c>
      <c r="Y8" s="19">
        <f t="shared" si="9"/>
        <v>0.000111486</v>
      </c>
    </row>
    <row r="9">
      <c r="A9" s="8"/>
      <c r="B9" s="8">
        <v>4.0</v>
      </c>
      <c r="C9" s="9">
        <v>2.5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3.91506E-7</v>
      </c>
      <c r="L9" s="11">
        <v>3.94727421613621E-9</v>
      </c>
      <c r="M9" s="10">
        <f t="shared" si="1"/>
        <v>0.391506</v>
      </c>
      <c r="N9" s="10"/>
      <c r="O9" s="10">
        <v>0.388055308</v>
      </c>
      <c r="P9" s="10"/>
      <c r="Q9" s="12">
        <f t="shared" si="2"/>
        <v>-0.008813893018</v>
      </c>
      <c r="R9" s="13" t="str">
        <f t="shared" si="3"/>
        <v>#DIV/0!</v>
      </c>
      <c r="S9" s="8"/>
      <c r="T9" s="14">
        <f t="shared" si="4"/>
        <v>1.843595781</v>
      </c>
      <c r="U9" s="14">
        <f t="shared" si="5"/>
        <v>28.75211139</v>
      </c>
      <c r="V9" s="10">
        <f t="shared" si="6"/>
        <v>1.008892269</v>
      </c>
      <c r="W9" s="8">
        <f t="shared" si="7"/>
        <v>1</v>
      </c>
      <c r="X9" s="8">
        <f t="shared" si="8"/>
        <v>4</v>
      </c>
      <c r="Y9" s="19">
        <f t="shared" si="9"/>
        <v>0.000391506</v>
      </c>
    </row>
    <row r="10">
      <c r="A10" s="8"/>
      <c r="B10" s="8">
        <v>5.0</v>
      </c>
      <c r="C10" s="9">
        <v>2.5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1.0349E-6</v>
      </c>
      <c r="L10" s="11">
        <v>1.0150881934118E-8</v>
      </c>
      <c r="M10" s="10">
        <f t="shared" si="1"/>
        <v>1.0349</v>
      </c>
      <c r="N10" s="10"/>
      <c r="O10" s="10">
        <v>1.028353572</v>
      </c>
      <c r="P10" s="10"/>
      <c r="Q10" s="12">
        <f t="shared" si="2"/>
        <v>-0.006325662383</v>
      </c>
      <c r="R10" s="13" t="str">
        <f t="shared" si="3"/>
        <v>#DIV/0!</v>
      </c>
      <c r="S10" s="8"/>
      <c r="T10" s="14">
        <f t="shared" si="4"/>
        <v>4.87332831</v>
      </c>
      <c r="U10" s="14">
        <f t="shared" si="5"/>
        <v>76.00282009</v>
      </c>
      <c r="V10" s="10">
        <f t="shared" si="6"/>
        <v>1.006365931</v>
      </c>
      <c r="W10" s="8">
        <f t="shared" si="7"/>
        <v>1</v>
      </c>
      <c r="X10" s="8">
        <f t="shared" si="8"/>
        <v>5</v>
      </c>
      <c r="Y10" s="20">
        <f t="shared" si="9"/>
        <v>0.0010349</v>
      </c>
    </row>
    <row r="11">
      <c r="A11" s="8"/>
      <c r="B11" s="8">
        <v>6.0</v>
      </c>
      <c r="C11" s="9">
        <v>2.5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2.31058E-6</v>
      </c>
      <c r="L11" s="11">
        <v>1.96351468010552E-8</v>
      </c>
      <c r="M11" s="10">
        <f t="shared" si="1"/>
        <v>2.31058</v>
      </c>
      <c r="N11" s="10"/>
      <c r="O11" s="10">
        <v>2.298621387</v>
      </c>
      <c r="P11" s="10"/>
      <c r="Q11" s="12">
        <f t="shared" si="2"/>
        <v>-0.005175589246</v>
      </c>
      <c r="R11" s="13" t="str">
        <f t="shared" si="3"/>
        <v>#DIV/0!</v>
      </c>
      <c r="S11" s="8"/>
      <c r="T11" s="14">
        <f t="shared" si="4"/>
        <v>10.88048597</v>
      </c>
      <c r="U11" s="14">
        <f t="shared" si="5"/>
        <v>169.6884685</v>
      </c>
      <c r="V11" s="10">
        <f t="shared" si="6"/>
        <v>1.005202515</v>
      </c>
      <c r="W11" s="8">
        <f t="shared" si="7"/>
        <v>1</v>
      </c>
      <c r="X11" s="8">
        <f t="shared" si="8"/>
        <v>6</v>
      </c>
      <c r="Y11" s="20">
        <f t="shared" si="9"/>
        <v>0.00231058</v>
      </c>
    </row>
    <row r="12">
      <c r="A12" s="8"/>
      <c r="B12" s="8">
        <v>7.0</v>
      </c>
      <c r="C12" s="9">
        <v>2.5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4.55278999999999E-6</v>
      </c>
      <c r="L12" s="11">
        <v>4.84637311019615E-8</v>
      </c>
      <c r="M12" s="10">
        <f t="shared" si="1"/>
        <v>4.55279</v>
      </c>
      <c r="N12" s="10"/>
      <c r="O12" s="10">
        <v>4.554781531</v>
      </c>
      <c r="P12" s="10"/>
      <c r="Q12" s="12">
        <f t="shared" si="2"/>
        <v>0.000437430894</v>
      </c>
      <c r="R12" s="13" t="str">
        <f t="shared" si="3"/>
        <v>#DIV/0!</v>
      </c>
      <c r="S12" s="8"/>
      <c r="T12" s="14">
        <f t="shared" si="4"/>
        <v>21.43901865</v>
      </c>
      <c r="U12" s="14">
        <f t="shared" si="5"/>
        <v>334.3558598</v>
      </c>
      <c r="V12" s="10">
        <f t="shared" si="6"/>
        <v>0.9995627604</v>
      </c>
      <c r="W12" s="8">
        <f t="shared" si="7"/>
        <v>1</v>
      </c>
      <c r="X12" s="8">
        <f t="shared" si="8"/>
        <v>7</v>
      </c>
      <c r="Y12" s="20">
        <f t="shared" si="9"/>
        <v>0.00455279</v>
      </c>
    </row>
    <row r="13">
      <c r="A13" s="22"/>
      <c r="B13" s="22">
        <v>8.0</v>
      </c>
      <c r="C13" s="25">
        <v>2.5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1.63407999999999E-8</v>
      </c>
      <c r="L13" s="24">
        <v>1.49886691210461E-10</v>
      </c>
      <c r="M13" s="23">
        <f t="shared" si="1"/>
        <v>0.0163408</v>
      </c>
      <c r="N13" s="23"/>
      <c r="O13" s="23">
        <v>0.016343023</v>
      </c>
      <c r="P13" s="23"/>
      <c r="Q13" s="26">
        <f t="shared" si="2"/>
        <v>0.0001360398512</v>
      </c>
      <c r="R13" s="27" t="str">
        <f t="shared" si="3"/>
        <v>#DIV/0!</v>
      </c>
      <c r="S13" s="22"/>
      <c r="T13" s="28">
        <f t="shared" si="4"/>
        <v>0.07694857789</v>
      </c>
      <c r="U13" s="28">
        <f t="shared" ref="U13:U19" si="10">K13/$K$14</f>
        <v>0.07694857789</v>
      </c>
      <c r="V13" s="23">
        <f t="shared" si="6"/>
        <v>0.9998639787</v>
      </c>
      <c r="W13" s="22">
        <f t="shared" si="7"/>
        <v>1</v>
      </c>
      <c r="X13" s="22">
        <f t="shared" si="8"/>
        <v>8</v>
      </c>
      <c r="Y13" s="17">
        <f t="shared" si="9"/>
        <v>0.0000163408</v>
      </c>
    </row>
    <row r="14">
      <c r="A14" s="29" t="s">
        <v>21</v>
      </c>
      <c r="B14" s="29">
        <v>9.0</v>
      </c>
      <c r="C14" s="33">
        <v>2.5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2.12359999999999E-7</v>
      </c>
      <c r="L14" s="31">
        <v>2.20178990548117E-9</v>
      </c>
      <c r="M14" s="30">
        <f t="shared" si="1"/>
        <v>0.21236</v>
      </c>
      <c r="N14" s="30"/>
      <c r="O14" s="30">
        <v>0.2124</v>
      </c>
      <c r="P14" s="30"/>
      <c r="Q14" s="32">
        <f t="shared" si="2"/>
        <v>0.0001883593897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0.9998116761</v>
      </c>
      <c r="W14" s="29">
        <f t="shared" si="7"/>
        <v>1</v>
      </c>
      <c r="X14" s="22">
        <f t="shared" si="8"/>
        <v>9</v>
      </c>
      <c r="Y14" s="19">
        <f t="shared" si="9"/>
        <v>0.00021236</v>
      </c>
    </row>
    <row r="15">
      <c r="A15" s="22"/>
      <c r="B15" s="22">
        <v>10.0</v>
      </c>
      <c r="C15" s="25">
        <v>2.5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1.7551E-6</v>
      </c>
      <c r="L15" s="24">
        <v>1.64264507069629E-8</v>
      </c>
      <c r="M15" s="23">
        <f t="shared" si="1"/>
        <v>1.7551</v>
      </c>
      <c r="N15" s="23"/>
      <c r="O15" s="23">
        <v>1.755576881</v>
      </c>
      <c r="P15" s="23"/>
      <c r="Q15" s="26">
        <f t="shared" si="2"/>
        <v>0.0002717115834</v>
      </c>
      <c r="R15" s="27" t="str">
        <f t="shared" si="3"/>
        <v>#DIV/0!</v>
      </c>
      <c r="S15" s="22"/>
      <c r="T15" s="28">
        <f t="shared" si="4"/>
        <v>8.264739122</v>
      </c>
      <c r="U15" s="28">
        <f t="shared" si="10"/>
        <v>8.264739122</v>
      </c>
      <c r="V15" s="23">
        <f t="shared" si="6"/>
        <v>0.9997283622</v>
      </c>
      <c r="W15" s="22">
        <f t="shared" si="7"/>
        <v>1</v>
      </c>
      <c r="X15" s="22">
        <f t="shared" si="8"/>
        <v>10</v>
      </c>
      <c r="Y15" s="20">
        <f t="shared" si="9"/>
        <v>0.0017551</v>
      </c>
    </row>
    <row r="16">
      <c r="A16" s="22"/>
      <c r="B16" s="22">
        <v>11.0</v>
      </c>
      <c r="C16" s="25">
        <v>2.5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6.20935E-6</v>
      </c>
      <c r="L16" s="24">
        <v>6.13338891608543E-8</v>
      </c>
      <c r="M16" s="23">
        <f t="shared" si="1"/>
        <v>6.20935</v>
      </c>
      <c r="N16" s="23"/>
      <c r="O16" s="23">
        <v>6.208884937</v>
      </c>
      <c r="P16" s="23"/>
      <c r="Q16" s="26">
        <f t="shared" si="2"/>
        <v>-0.00007489721146</v>
      </c>
      <c r="R16" s="27" t="str">
        <f t="shared" si="3"/>
        <v>#DIV/0!</v>
      </c>
      <c r="S16" s="22"/>
      <c r="T16" s="28">
        <f t="shared" si="4"/>
        <v>29.23973441</v>
      </c>
      <c r="U16" s="28">
        <f t="shared" si="10"/>
        <v>29.23973441</v>
      </c>
      <c r="V16" s="23">
        <f t="shared" si="6"/>
        <v>1.000074903</v>
      </c>
      <c r="W16" s="22">
        <f t="shared" si="7"/>
        <v>1</v>
      </c>
      <c r="X16" s="22">
        <f t="shared" si="8"/>
        <v>11</v>
      </c>
      <c r="Y16" s="20">
        <f t="shared" si="9"/>
        <v>0.00620935</v>
      </c>
    </row>
    <row r="17">
      <c r="A17" s="22"/>
      <c r="B17" s="22">
        <v>12.0</v>
      </c>
      <c r="C17" s="25">
        <v>2.5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1.63569E-5</v>
      </c>
      <c r="L17" s="24">
        <v>1.37155040193589E-7</v>
      </c>
      <c r="M17" s="23">
        <f t="shared" si="1"/>
        <v>16.3569</v>
      </c>
      <c r="N17" s="23"/>
      <c r="O17" s="23">
        <v>16.453657184</v>
      </c>
      <c r="P17" s="23"/>
      <c r="Q17" s="26">
        <f t="shared" si="2"/>
        <v>0.005915374185</v>
      </c>
      <c r="R17" s="27" t="str">
        <f t="shared" si="3"/>
        <v>#DIV/0!</v>
      </c>
      <c r="S17" s="22"/>
      <c r="T17" s="28">
        <f t="shared" si="4"/>
        <v>77.02439254</v>
      </c>
      <c r="U17" s="28">
        <f t="shared" si="10"/>
        <v>77.02439254</v>
      </c>
      <c r="V17" s="23">
        <f t="shared" si="6"/>
        <v>0.9941194117</v>
      </c>
      <c r="W17" s="22">
        <f t="shared" si="7"/>
        <v>1</v>
      </c>
      <c r="X17" s="22">
        <f t="shared" si="8"/>
        <v>12</v>
      </c>
      <c r="Y17" s="21">
        <f t="shared" si="9"/>
        <v>0.0163569</v>
      </c>
    </row>
    <row r="18">
      <c r="A18" s="22"/>
      <c r="B18" s="22">
        <v>13.0</v>
      </c>
      <c r="C18" s="25">
        <v>2.5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3.53996E-5</v>
      </c>
      <c r="L18" s="24">
        <v>3.45425868028192E-7</v>
      </c>
      <c r="M18" s="23">
        <f t="shared" si="1"/>
        <v>35.3996</v>
      </c>
      <c r="N18" s="23"/>
      <c r="O18" s="23">
        <v>36.777942171</v>
      </c>
      <c r="P18" s="23"/>
      <c r="Q18" s="26">
        <f t="shared" si="2"/>
        <v>0.03893665948</v>
      </c>
      <c r="R18" s="27" t="str">
        <f t="shared" si="3"/>
        <v>#DIV/0!</v>
      </c>
      <c r="S18" s="22"/>
      <c r="T18" s="28">
        <f t="shared" si="4"/>
        <v>166.6961763</v>
      </c>
      <c r="U18" s="28">
        <f t="shared" si="10"/>
        <v>166.6961763</v>
      </c>
      <c r="V18" s="23">
        <f t="shared" si="6"/>
        <v>0.9625225858</v>
      </c>
      <c r="W18" s="22">
        <f t="shared" si="7"/>
        <v>1</v>
      </c>
      <c r="X18" s="22">
        <f t="shared" si="8"/>
        <v>13</v>
      </c>
      <c r="Y18" s="21">
        <f t="shared" si="9"/>
        <v>0.0353996</v>
      </c>
    </row>
    <row r="19">
      <c r="A19" s="22"/>
      <c r="B19" s="22">
        <v>14.0</v>
      </c>
      <c r="C19" s="25">
        <v>2.5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6.93885E-5</v>
      </c>
      <c r="L19" s="24">
        <v>6.19045167327811E-7</v>
      </c>
      <c r="M19" s="23">
        <f t="shared" si="1"/>
        <v>69.3885</v>
      </c>
      <c r="N19" s="23"/>
      <c r="O19" s="23">
        <v>72.876504513</v>
      </c>
      <c r="P19" s="23"/>
      <c r="Q19" s="26">
        <f t="shared" si="2"/>
        <v>0.0502677607</v>
      </c>
      <c r="R19" s="27" t="str">
        <f t="shared" si="3"/>
        <v>#DIV/0!</v>
      </c>
      <c r="S19" s="22"/>
      <c r="T19" s="28">
        <f t="shared" si="4"/>
        <v>326.7493878</v>
      </c>
      <c r="U19" s="28">
        <f t="shared" si="10"/>
        <v>326.7493878</v>
      </c>
      <c r="V19" s="23">
        <f t="shared" si="6"/>
        <v>0.9521381475</v>
      </c>
      <c r="W19" s="22">
        <f t="shared" si="7"/>
        <v>1</v>
      </c>
      <c r="X19" s="22">
        <f t="shared" si="8"/>
        <v>14</v>
      </c>
      <c r="Y19" s="21">
        <f t="shared" si="9"/>
        <v>0.0693885</v>
      </c>
    </row>
    <row r="20">
      <c r="A20" s="37"/>
      <c r="B20" s="37">
        <v>15.0</v>
      </c>
      <c r="C20" s="43">
        <v>2.5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8.04139999999999E-8</v>
      </c>
      <c r="L20" s="39">
        <v>7.941681373003E-10</v>
      </c>
      <c r="M20" s="38">
        <f t="shared" si="1"/>
        <v>0.080414</v>
      </c>
      <c r="N20" s="38"/>
      <c r="O20" s="38">
        <v>0.082736556</v>
      </c>
      <c r="P20" s="38"/>
      <c r="Q20" s="40">
        <f t="shared" si="2"/>
        <v>0.02888248315</v>
      </c>
      <c r="R20" s="41" t="str">
        <f t="shared" si="3"/>
        <v>#DIV/0!</v>
      </c>
      <c r="S20" s="37"/>
      <c r="T20" s="42">
        <f t="shared" si="4"/>
        <v>0.3786682991</v>
      </c>
      <c r="U20" s="42">
        <f t="shared" ref="U20:U26" si="11">K20/$K$21</f>
        <v>0.07522638827</v>
      </c>
      <c r="V20" s="38">
        <f t="shared" si="6"/>
        <v>0.9719282973</v>
      </c>
      <c r="W20" s="37">
        <f t="shared" si="7"/>
        <v>1</v>
      </c>
      <c r="X20" s="37">
        <f t="shared" si="8"/>
        <v>15</v>
      </c>
      <c r="Y20" s="17">
        <f t="shared" si="9"/>
        <v>0.000080414</v>
      </c>
    </row>
    <row r="21">
      <c r="A21" s="37"/>
      <c r="B21" s="37">
        <v>16.0</v>
      </c>
      <c r="C21" s="43">
        <v>2.5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1.06896E-6</v>
      </c>
      <c r="L21" s="39">
        <v>1.08487489387188E-8</v>
      </c>
      <c r="M21" s="38">
        <f t="shared" si="1"/>
        <v>1.06896</v>
      </c>
      <c r="N21" s="38"/>
      <c r="O21" s="38">
        <v>1.075275001</v>
      </c>
      <c r="P21" s="38"/>
      <c r="Q21" s="40">
        <f t="shared" si="2"/>
        <v>0.005907612072</v>
      </c>
      <c r="R21" s="41" t="str">
        <f t="shared" si="3"/>
        <v>#DIV/0!</v>
      </c>
      <c r="S21" s="37"/>
      <c r="T21" s="42">
        <f t="shared" si="4"/>
        <v>5.033716331</v>
      </c>
      <c r="U21" s="42">
        <f t="shared" si="11"/>
        <v>1</v>
      </c>
      <c r="V21" s="38">
        <f t="shared" si="6"/>
        <v>0.9941270828</v>
      </c>
      <c r="W21" s="37">
        <f t="shared" si="7"/>
        <v>1</v>
      </c>
      <c r="X21" s="37">
        <f t="shared" si="8"/>
        <v>16</v>
      </c>
      <c r="Y21" s="20">
        <f t="shared" si="9"/>
        <v>0.00106896</v>
      </c>
    </row>
    <row r="22">
      <c r="A22" s="37"/>
      <c r="B22" s="37">
        <v>17.0</v>
      </c>
      <c r="C22" s="43">
        <v>2.5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8.80227999999999E-6</v>
      </c>
      <c r="L22" s="39">
        <v>7.74252431886932E-8</v>
      </c>
      <c r="M22" s="38">
        <f t="shared" si="1"/>
        <v>8.80228</v>
      </c>
      <c r="N22" s="38"/>
      <c r="O22" s="38">
        <v>8.887607952</v>
      </c>
      <c r="P22" s="38"/>
      <c r="Q22" s="40">
        <f t="shared" si="2"/>
        <v>0.009693846594</v>
      </c>
      <c r="R22" s="41" t="str">
        <f t="shared" si="3"/>
        <v>#DIV/0!</v>
      </c>
      <c r="S22" s="37"/>
      <c r="T22" s="42">
        <f t="shared" si="4"/>
        <v>41.44980222</v>
      </c>
      <c r="U22" s="42">
        <f t="shared" si="11"/>
        <v>8.234433468</v>
      </c>
      <c r="V22" s="38">
        <f t="shared" si="6"/>
        <v>0.9903992219</v>
      </c>
      <c r="W22" s="37">
        <f t="shared" si="7"/>
        <v>1</v>
      </c>
      <c r="X22" s="37">
        <f t="shared" si="8"/>
        <v>17</v>
      </c>
      <c r="Y22" s="20">
        <f t="shared" si="9"/>
        <v>0.00880228</v>
      </c>
    </row>
    <row r="23">
      <c r="A23" s="37"/>
      <c r="B23" s="37">
        <v>18.0</v>
      </c>
      <c r="C23" s="43">
        <v>2.5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2.99383999999999E-5</v>
      </c>
      <c r="L23" s="39">
        <v>2.93593961350389E-7</v>
      </c>
      <c r="M23" s="38">
        <f t="shared" si="1"/>
        <v>29.9384</v>
      </c>
      <c r="N23" s="38"/>
      <c r="O23" s="38">
        <v>31.432479974</v>
      </c>
      <c r="P23" s="38"/>
      <c r="Q23" s="40">
        <f t="shared" si="2"/>
        <v>0.04990513768</v>
      </c>
      <c r="R23" s="41" t="str">
        <f t="shared" si="3"/>
        <v>#DIV/0!</v>
      </c>
      <c r="S23" s="37"/>
      <c r="T23" s="42">
        <f t="shared" si="4"/>
        <v>140.9794688</v>
      </c>
      <c r="U23" s="42">
        <f t="shared" si="11"/>
        <v>28.00703488</v>
      </c>
      <c r="V23" s="38">
        <f t="shared" si="6"/>
        <v>0.9524670031</v>
      </c>
      <c r="W23" s="37">
        <f t="shared" si="7"/>
        <v>1</v>
      </c>
      <c r="X23" s="37">
        <f t="shared" si="8"/>
        <v>18</v>
      </c>
      <c r="Y23" s="21">
        <f t="shared" si="9"/>
        <v>0.0299384</v>
      </c>
    </row>
    <row r="24">
      <c r="A24" s="37"/>
      <c r="B24" s="37">
        <v>19.0</v>
      </c>
      <c r="C24" s="43">
        <v>2.5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8.36721999999999E-5</v>
      </c>
      <c r="L24" s="39">
        <v>8.55248301118252E-7</v>
      </c>
      <c r="M24" s="38">
        <f t="shared" si="1"/>
        <v>83.6722</v>
      </c>
      <c r="N24" s="38"/>
      <c r="O24" s="38">
        <v>83.29663931</v>
      </c>
      <c r="P24" s="38"/>
      <c r="Q24" s="40">
        <f t="shared" si="2"/>
        <v>-0.00448847634</v>
      </c>
      <c r="R24" s="41" t="str">
        <f t="shared" si="3"/>
        <v>#DIV/0!</v>
      </c>
      <c r="S24" s="37"/>
      <c r="T24" s="42">
        <f t="shared" si="4"/>
        <v>394.0111132</v>
      </c>
      <c r="U24" s="42">
        <f t="shared" si="11"/>
        <v>78.27439755</v>
      </c>
      <c r="V24" s="38">
        <f t="shared" si="6"/>
        <v>1.004508714</v>
      </c>
      <c r="W24" s="37">
        <f t="shared" si="7"/>
        <v>1</v>
      </c>
      <c r="X24" s="37">
        <f t="shared" si="8"/>
        <v>19</v>
      </c>
      <c r="Y24" s="21">
        <f t="shared" si="9"/>
        <v>0.0836722</v>
      </c>
    </row>
    <row r="25">
      <c r="A25" s="37"/>
      <c r="B25" s="37">
        <v>20.0</v>
      </c>
      <c r="C25" s="43">
        <v>2.5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1.87892E-4</v>
      </c>
      <c r="L25" s="39">
        <v>1.80765376143002E-6</v>
      </c>
      <c r="M25" s="38">
        <f t="shared" si="1"/>
        <v>187.892</v>
      </c>
      <c r="N25" s="38"/>
      <c r="O25" s="38">
        <v>186.188332343</v>
      </c>
      <c r="P25" s="38"/>
      <c r="Q25" s="40">
        <f t="shared" si="2"/>
        <v>-0.009067270863</v>
      </c>
      <c r="R25" s="41" t="str">
        <f t="shared" si="3"/>
        <v>#DIV/0!</v>
      </c>
      <c r="S25" s="37"/>
      <c r="T25" s="42">
        <f t="shared" si="4"/>
        <v>884.7805613</v>
      </c>
      <c r="U25" s="42">
        <f t="shared" si="11"/>
        <v>175.7708427</v>
      </c>
      <c r="V25" s="38">
        <f t="shared" si="6"/>
        <v>1.009150239</v>
      </c>
      <c r="W25" s="37">
        <f t="shared" si="7"/>
        <v>1</v>
      </c>
      <c r="X25" s="37">
        <f t="shared" si="8"/>
        <v>20</v>
      </c>
      <c r="Y25" s="36">
        <f t="shared" si="9"/>
        <v>0.187892</v>
      </c>
    </row>
    <row r="26">
      <c r="A26" s="37"/>
      <c r="B26" s="37">
        <v>21.0</v>
      </c>
      <c r="C26" s="43">
        <v>2.5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3.74536999999999E-4</v>
      </c>
      <c r="L26" s="39">
        <v>3.23521204400839E-6</v>
      </c>
      <c r="M26" s="38">
        <f t="shared" si="1"/>
        <v>374.537</v>
      </c>
      <c r="N26" s="38"/>
      <c r="O26" s="38">
        <v>368.937304324</v>
      </c>
      <c r="P26" s="38"/>
      <c r="Q26" s="40">
        <f t="shared" si="2"/>
        <v>-0.01495098128</v>
      </c>
      <c r="R26" s="41" t="str">
        <f t="shared" si="3"/>
        <v>#DIV/0!</v>
      </c>
      <c r="S26" s="37"/>
      <c r="T26" s="42">
        <f t="shared" si="4"/>
        <v>1763.689019</v>
      </c>
      <c r="U26" s="42">
        <f t="shared" si="11"/>
        <v>350.375131</v>
      </c>
      <c r="V26" s="38">
        <f t="shared" si="6"/>
        <v>1.015177906</v>
      </c>
      <c r="W26" s="37">
        <f t="shared" si="7"/>
        <v>1</v>
      </c>
      <c r="X26" s="37">
        <f t="shared" si="8"/>
        <v>21</v>
      </c>
      <c r="Y26" s="36">
        <f t="shared" si="9"/>
        <v>0.374537</v>
      </c>
    </row>
    <row r="27">
      <c r="A27" s="44"/>
      <c r="B27" s="44">
        <v>22.0</v>
      </c>
      <c r="C27" s="50">
        <v>2.5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2.46518367346938E-7</v>
      </c>
      <c r="L27" s="46">
        <v>2.08491622313211E-9</v>
      </c>
      <c r="M27" s="45">
        <f t="shared" si="1"/>
        <v>0.2465183673</v>
      </c>
      <c r="N27" s="45"/>
      <c r="O27" s="45">
        <v>0.261488375</v>
      </c>
      <c r="P27" s="45"/>
      <c r="Q27" s="47">
        <f t="shared" si="2"/>
        <v>0.06072572934</v>
      </c>
      <c r="R27" s="48" t="str">
        <f t="shared" si="3"/>
        <v>#DIV/0!</v>
      </c>
      <c r="S27" s="44"/>
      <c r="T27" s="49">
        <f t="shared" si="4"/>
        <v>1.160851231</v>
      </c>
      <c r="U27" s="49">
        <f t="shared" ref="U27:U33" si="12">K27/$K$28</f>
        <v>0.07625607988</v>
      </c>
      <c r="V27" s="45">
        <f t="shared" si="6"/>
        <v>0.9427507718</v>
      </c>
      <c r="W27" s="44">
        <f t="shared" si="7"/>
        <v>1</v>
      </c>
      <c r="X27" s="44">
        <f t="shared" si="8"/>
        <v>22</v>
      </c>
      <c r="Y27" s="19">
        <f t="shared" si="9"/>
        <v>0.0002465183673</v>
      </c>
    </row>
    <row r="28">
      <c r="A28" s="44"/>
      <c r="B28" s="44">
        <v>23.0</v>
      </c>
      <c r="C28" s="50">
        <v>2.5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3.23277E-6</v>
      </c>
      <c r="L28" s="46">
        <v>3.10746429479637E-8</v>
      </c>
      <c r="M28" s="45">
        <f t="shared" si="1"/>
        <v>3.23277</v>
      </c>
      <c r="N28" s="45"/>
      <c r="O28" s="45">
        <v>3.398399995</v>
      </c>
      <c r="P28" s="45"/>
      <c r="Q28" s="47">
        <f t="shared" si="2"/>
        <v>0.05123469811</v>
      </c>
      <c r="R28" s="48" t="str">
        <f t="shared" si="3"/>
        <v>#DIV/0!</v>
      </c>
      <c r="S28" s="44"/>
      <c r="T28" s="49">
        <f t="shared" si="4"/>
        <v>15.22306461</v>
      </c>
      <c r="U28" s="49">
        <f t="shared" si="12"/>
        <v>1</v>
      </c>
      <c r="V28" s="45">
        <f t="shared" si="6"/>
        <v>0.9512623602</v>
      </c>
      <c r="W28" s="44">
        <f t="shared" si="7"/>
        <v>1</v>
      </c>
      <c r="X28" s="44">
        <f t="shared" si="8"/>
        <v>23</v>
      </c>
      <c r="Y28" s="20">
        <f t="shared" si="9"/>
        <v>0.00323277</v>
      </c>
    </row>
    <row r="29">
      <c r="A29" s="44"/>
      <c r="B29" s="44">
        <v>24.0</v>
      </c>
      <c r="C29" s="50">
        <v>2.5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2.68166999999999E-5</v>
      </c>
      <c r="L29" s="46">
        <v>2.67344044975455E-7</v>
      </c>
      <c r="M29" s="45">
        <f t="shared" si="1"/>
        <v>26.8167</v>
      </c>
      <c r="N29" s="45"/>
      <c r="O29" s="45">
        <v>28.089230105</v>
      </c>
      <c r="P29" s="45"/>
      <c r="Q29" s="47">
        <f t="shared" si="2"/>
        <v>0.04745289708</v>
      </c>
      <c r="R29" s="48" t="str">
        <f t="shared" si="3"/>
        <v>#DIV/0!</v>
      </c>
      <c r="S29" s="44"/>
      <c r="T29" s="49">
        <f t="shared" si="4"/>
        <v>126.2794312</v>
      </c>
      <c r="U29" s="49">
        <f t="shared" si="12"/>
        <v>8.295270001</v>
      </c>
      <c r="V29" s="45">
        <f t="shared" si="6"/>
        <v>0.9546968678</v>
      </c>
      <c r="W29" s="44">
        <f t="shared" si="7"/>
        <v>1</v>
      </c>
      <c r="X29" s="44">
        <f t="shared" si="8"/>
        <v>24</v>
      </c>
      <c r="Y29" s="21">
        <f t="shared" si="9"/>
        <v>0.0268167</v>
      </c>
    </row>
    <row r="30">
      <c r="A30" s="44"/>
      <c r="B30" s="44">
        <v>25.0</v>
      </c>
      <c r="C30" s="50">
        <v>2.5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1.001308E-4</v>
      </c>
      <c r="L30" s="46">
        <v>9.54566568309059E-7</v>
      </c>
      <c r="M30" s="45">
        <f t="shared" si="1"/>
        <v>100.1308</v>
      </c>
      <c r="N30" s="45"/>
      <c r="O30" s="45">
        <v>99.342158841</v>
      </c>
      <c r="P30" s="45"/>
      <c r="Q30" s="47">
        <f t="shared" si="2"/>
        <v>-0.007876109639</v>
      </c>
      <c r="R30" s="48" t="str">
        <f t="shared" si="3"/>
        <v>#DIV/0!</v>
      </c>
      <c r="S30" s="44"/>
      <c r="T30" s="49">
        <f t="shared" si="4"/>
        <v>471.5144095</v>
      </c>
      <c r="U30" s="49">
        <f t="shared" si="12"/>
        <v>30.97368511</v>
      </c>
      <c r="V30" s="45">
        <f t="shared" si="6"/>
        <v>1.007938635</v>
      </c>
      <c r="W30" s="44">
        <f t="shared" si="7"/>
        <v>1</v>
      </c>
      <c r="X30" s="44">
        <f t="shared" si="8"/>
        <v>25</v>
      </c>
      <c r="Y30" s="36">
        <f t="shared" si="9"/>
        <v>0.1001308</v>
      </c>
    </row>
    <row r="31">
      <c r="A31" s="44"/>
      <c r="B31" s="44">
        <v>26.0</v>
      </c>
      <c r="C31" s="50">
        <v>2.5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2.66770999999999E-4</v>
      </c>
      <c r="L31" s="46">
        <v>2.70503813524529E-6</v>
      </c>
      <c r="M31" s="45">
        <f t="shared" si="1"/>
        <v>266.771</v>
      </c>
      <c r="N31" s="45"/>
      <c r="O31" s="45">
        <v>263.258514412</v>
      </c>
      <c r="P31" s="45"/>
      <c r="Q31" s="47">
        <f t="shared" si="2"/>
        <v>-0.0131666695</v>
      </c>
      <c r="R31" s="48" t="str">
        <f t="shared" si="3"/>
        <v>#DIV/0!</v>
      </c>
      <c r="S31" s="44"/>
      <c r="T31" s="49">
        <f t="shared" si="4"/>
        <v>1256.220569</v>
      </c>
      <c r="U31" s="49">
        <f t="shared" si="12"/>
        <v>82.52087219</v>
      </c>
      <c r="V31" s="45">
        <f t="shared" si="6"/>
        <v>1.013342344</v>
      </c>
      <c r="W31" s="44">
        <f t="shared" si="7"/>
        <v>1</v>
      </c>
      <c r="X31" s="44">
        <f t="shared" si="8"/>
        <v>26</v>
      </c>
      <c r="Y31" s="36">
        <f t="shared" si="9"/>
        <v>0.266771</v>
      </c>
    </row>
    <row r="32">
      <c r="A32" s="44"/>
      <c r="B32" s="44">
        <v>27.0</v>
      </c>
      <c r="C32" s="50">
        <v>2.5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6.05073E-4</v>
      </c>
      <c r="L32" s="46">
        <v>5.6913163519683E-6</v>
      </c>
      <c r="M32" s="45">
        <f t="shared" si="1"/>
        <v>605.073</v>
      </c>
      <c r="N32" s="45"/>
      <c r="O32" s="45">
        <v>588.447074766</v>
      </c>
      <c r="P32" s="45"/>
      <c r="Q32" s="47">
        <f t="shared" si="2"/>
        <v>-0.02747755268</v>
      </c>
      <c r="R32" s="48" t="str">
        <f t="shared" si="3"/>
        <v>#DIV/0!</v>
      </c>
      <c r="S32" s="44"/>
      <c r="T32" s="49">
        <f t="shared" si="4"/>
        <v>2849.279525</v>
      </c>
      <c r="U32" s="49">
        <f t="shared" si="12"/>
        <v>187.1685892</v>
      </c>
      <c r="V32" s="45">
        <f t="shared" si="6"/>
        <v>1.028253901</v>
      </c>
      <c r="W32" s="44">
        <f t="shared" si="7"/>
        <v>1</v>
      </c>
      <c r="X32" s="44">
        <f t="shared" si="8"/>
        <v>27</v>
      </c>
      <c r="Y32" s="36">
        <f t="shared" si="9"/>
        <v>0.605073</v>
      </c>
    </row>
    <row r="33">
      <c r="A33" s="44"/>
      <c r="B33" s="44">
        <v>28.0</v>
      </c>
      <c r="C33" s="50">
        <v>2.5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0.00122358999999999</v>
      </c>
      <c r="L33" s="46">
        <v>9.91080932185366E-6</v>
      </c>
      <c r="M33" s="45">
        <f t="shared" si="1"/>
        <v>1223.59</v>
      </c>
      <c r="N33" s="45"/>
      <c r="O33" s="45">
        <v>1166.024072023</v>
      </c>
      <c r="P33" s="45"/>
      <c r="Q33" s="47">
        <f t="shared" si="2"/>
        <v>-0.04704674603</v>
      </c>
      <c r="R33" s="48" t="str">
        <f t="shared" si="3"/>
        <v>#DIV/0!</v>
      </c>
      <c r="S33" s="44"/>
      <c r="T33" s="49">
        <f t="shared" si="4"/>
        <v>5761.866642</v>
      </c>
      <c r="U33" s="49">
        <f t="shared" si="12"/>
        <v>378.495841</v>
      </c>
      <c r="V33" s="45">
        <f t="shared" si="6"/>
        <v>1.049369416</v>
      </c>
      <c r="W33" s="44">
        <f t="shared" si="7"/>
        <v>1</v>
      </c>
      <c r="X33" s="44">
        <f t="shared" si="8"/>
        <v>28</v>
      </c>
      <c r="Y33" s="12">
        <f t="shared" si="9"/>
        <v>1.22359</v>
      </c>
    </row>
    <row r="34">
      <c r="A34" s="51"/>
      <c r="B34" s="51">
        <v>29.0</v>
      </c>
      <c r="C34" s="57">
        <v>2.5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6.13620999999999E-7</v>
      </c>
      <c r="L34" s="53">
        <v>6.33957101120102E-9</v>
      </c>
      <c r="M34" s="52">
        <f t="shared" si="1"/>
        <v>0.613621</v>
      </c>
      <c r="N34" s="52"/>
      <c r="O34" s="52">
        <v>0.638399354</v>
      </c>
      <c r="P34" s="52"/>
      <c r="Q34" s="54">
        <f t="shared" si="2"/>
        <v>0.04038055086</v>
      </c>
      <c r="R34" s="55" t="str">
        <f t="shared" si="3"/>
        <v>#DIV/0!</v>
      </c>
      <c r="S34" s="51"/>
      <c r="T34" s="56">
        <f t="shared" si="4"/>
        <v>2.889531927</v>
      </c>
      <c r="U34" s="56">
        <f t="shared" ref="U34:U40" si="13">K34/$K$35</f>
        <v>0.07366681553</v>
      </c>
      <c r="V34" s="52">
        <f t="shared" si="6"/>
        <v>0.9611867496</v>
      </c>
      <c r="W34" s="51">
        <f t="shared" si="7"/>
        <v>1</v>
      </c>
      <c r="X34" s="51">
        <f t="shared" si="8"/>
        <v>29</v>
      </c>
      <c r="Y34" s="19">
        <f t="shared" si="9"/>
        <v>0.000613621</v>
      </c>
    </row>
    <row r="35">
      <c r="A35" s="51"/>
      <c r="B35" s="51">
        <v>30.0</v>
      </c>
      <c r="C35" s="57">
        <v>2.5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8.32968E-6</v>
      </c>
      <c r="L35" s="53">
        <v>8.96329079178969E-8</v>
      </c>
      <c r="M35" s="52">
        <f t="shared" si="1"/>
        <v>8.32968</v>
      </c>
      <c r="N35" s="52"/>
      <c r="O35" s="52">
        <v>8.296875011</v>
      </c>
      <c r="P35" s="52"/>
      <c r="Q35" s="54">
        <f t="shared" si="2"/>
        <v>-0.003938325242</v>
      </c>
      <c r="R35" s="55" t="str">
        <f t="shared" si="3"/>
        <v>#DIV/0!</v>
      </c>
      <c r="S35" s="51"/>
      <c r="T35" s="56">
        <f t="shared" si="4"/>
        <v>39.22433603</v>
      </c>
      <c r="U35" s="56">
        <f t="shared" si="13"/>
        <v>1</v>
      </c>
      <c r="V35" s="52">
        <f t="shared" si="6"/>
        <v>1.003953897</v>
      </c>
      <c r="W35" s="51">
        <f t="shared" si="7"/>
        <v>1</v>
      </c>
      <c r="X35" s="51">
        <f t="shared" si="8"/>
        <v>30</v>
      </c>
      <c r="Y35" s="20">
        <f t="shared" si="9"/>
        <v>0.00832968</v>
      </c>
    </row>
    <row r="36">
      <c r="A36" s="51"/>
      <c r="B36" s="51">
        <v>31.0</v>
      </c>
      <c r="C36" s="57">
        <v>2.5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6.91517E-5</v>
      </c>
      <c r="L36" s="53">
        <v>7.75144242034729E-7</v>
      </c>
      <c r="M36" s="52">
        <f t="shared" si="1"/>
        <v>69.1517</v>
      </c>
      <c r="N36" s="52"/>
      <c r="O36" s="52">
        <v>68.57722203</v>
      </c>
      <c r="P36" s="52"/>
      <c r="Q36" s="54">
        <f t="shared" si="2"/>
        <v>-0.008307503214</v>
      </c>
      <c r="R36" s="55" t="str">
        <f t="shared" si="3"/>
        <v>#DIV/0!</v>
      </c>
      <c r="S36" s="51"/>
      <c r="T36" s="56">
        <f t="shared" si="4"/>
        <v>325.6343002</v>
      </c>
      <c r="U36" s="56">
        <f t="shared" si="13"/>
        <v>8.301843528</v>
      </c>
      <c r="V36" s="52">
        <f t="shared" si="6"/>
        <v>1.008377096</v>
      </c>
      <c r="W36" s="51">
        <f t="shared" si="7"/>
        <v>1</v>
      </c>
      <c r="X36" s="51">
        <f t="shared" si="8"/>
        <v>31</v>
      </c>
      <c r="Y36" s="21">
        <f t="shared" si="9"/>
        <v>0.0691517</v>
      </c>
    </row>
    <row r="37">
      <c r="A37" s="51"/>
      <c r="B37" s="51">
        <v>32.0</v>
      </c>
      <c r="C37" s="57">
        <v>2.5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2.46275E-4</v>
      </c>
      <c r="L37" s="53">
        <v>2.60164574953251E-6</v>
      </c>
      <c r="M37" s="52">
        <f t="shared" si="1"/>
        <v>246.275</v>
      </c>
      <c r="N37" s="52"/>
      <c r="O37" s="52">
        <v>242.534567812</v>
      </c>
      <c r="P37" s="52"/>
      <c r="Q37" s="54">
        <f t="shared" si="2"/>
        <v>-0.01518803041</v>
      </c>
      <c r="R37" s="55" t="str">
        <f t="shared" si="3"/>
        <v>#DIV/0!</v>
      </c>
      <c r="S37" s="51"/>
      <c r="T37" s="56">
        <f t="shared" si="4"/>
        <v>1159.705218</v>
      </c>
      <c r="U37" s="56">
        <f t="shared" si="13"/>
        <v>29.56596172</v>
      </c>
      <c r="V37" s="52">
        <f t="shared" si="6"/>
        <v>1.015422264</v>
      </c>
      <c r="W37" s="51">
        <f t="shared" si="7"/>
        <v>1</v>
      </c>
      <c r="X37" s="51">
        <f t="shared" si="8"/>
        <v>32</v>
      </c>
      <c r="Y37" s="36">
        <f t="shared" si="9"/>
        <v>0.246275</v>
      </c>
    </row>
    <row r="38">
      <c r="A38" s="51"/>
      <c r="B38" s="51">
        <v>33.0</v>
      </c>
      <c r="C38" s="57">
        <v>2.5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6.65531E-4</v>
      </c>
      <c r="L38" s="53">
        <v>7.21345116970911E-6</v>
      </c>
      <c r="M38" s="52">
        <f t="shared" si="1"/>
        <v>665.531</v>
      </c>
      <c r="N38" s="52"/>
      <c r="O38" s="52">
        <v>642.720981948</v>
      </c>
      <c r="P38" s="52"/>
      <c r="Q38" s="54">
        <f t="shared" si="2"/>
        <v>-0.03427341184</v>
      </c>
      <c r="R38" s="55" t="str">
        <f t="shared" si="3"/>
        <v>#DIV/0!</v>
      </c>
      <c r="S38" s="51"/>
      <c r="T38" s="56">
        <f t="shared" si="4"/>
        <v>3133.975325</v>
      </c>
      <c r="U38" s="56">
        <f t="shared" si="13"/>
        <v>79.89874761</v>
      </c>
      <c r="V38" s="52">
        <f t="shared" si="6"/>
        <v>1.035489767</v>
      </c>
      <c r="W38" s="51">
        <f t="shared" si="7"/>
        <v>1</v>
      </c>
      <c r="X38" s="51">
        <f t="shared" si="8"/>
        <v>33</v>
      </c>
      <c r="Y38" s="36">
        <f t="shared" si="9"/>
        <v>0.665531</v>
      </c>
    </row>
    <row r="39">
      <c r="A39" s="51"/>
      <c r="B39" s="51">
        <v>34.0</v>
      </c>
      <c r="C39" s="57">
        <v>2.5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0.00153277999999999</v>
      </c>
      <c r="L39" s="53">
        <v>1.59301378816786E-5</v>
      </c>
      <c r="M39" s="52">
        <f t="shared" si="1"/>
        <v>1532.78</v>
      </c>
      <c r="N39" s="52"/>
      <c r="O39" s="52">
        <v>1436.638368091</v>
      </c>
      <c r="P39" s="52"/>
      <c r="Q39" s="54">
        <f t="shared" si="2"/>
        <v>-0.06272369936</v>
      </c>
      <c r="R39" s="55" t="str">
        <f t="shared" si="3"/>
        <v>#DIV/0!</v>
      </c>
      <c r="S39" s="51"/>
      <c r="T39" s="56">
        <f t="shared" si="4"/>
        <v>7217.837634</v>
      </c>
      <c r="U39" s="56">
        <f t="shared" si="13"/>
        <v>184.0142719</v>
      </c>
      <c r="V39" s="52">
        <f t="shared" si="6"/>
        <v>1.066921248</v>
      </c>
      <c r="W39" s="51">
        <f t="shared" si="7"/>
        <v>1</v>
      </c>
      <c r="X39" s="51">
        <f t="shared" si="8"/>
        <v>34</v>
      </c>
      <c r="Y39" s="12">
        <f t="shared" si="9"/>
        <v>1.53278</v>
      </c>
    </row>
    <row r="40">
      <c r="A40" s="51"/>
      <c r="B40" s="51">
        <v>35.0</v>
      </c>
      <c r="C40" s="57">
        <v>2.5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0.00315705</v>
      </c>
      <c r="L40" s="53">
        <v>2.99070529839002E-5</v>
      </c>
      <c r="M40" s="52">
        <f t="shared" si="1"/>
        <v>3157.05</v>
      </c>
      <c r="N40" s="52"/>
      <c r="O40" s="52">
        <v>2846.738465316</v>
      </c>
      <c r="P40" s="52"/>
      <c r="Q40" s="54">
        <f t="shared" si="2"/>
        <v>-0.09829161232</v>
      </c>
      <c r="R40" s="55" t="str">
        <f t="shared" si="3"/>
        <v>#DIV/0!</v>
      </c>
      <c r="S40" s="51"/>
      <c r="T40" s="56">
        <f t="shared" si="4"/>
        <v>14866.50028</v>
      </c>
      <c r="U40" s="56">
        <f t="shared" si="13"/>
        <v>379.0121589</v>
      </c>
      <c r="V40" s="52">
        <f t="shared" si="6"/>
        <v>1.109005986</v>
      </c>
      <c r="W40" s="51">
        <f t="shared" si="7"/>
        <v>1</v>
      </c>
      <c r="X40" s="51">
        <f t="shared" si="8"/>
        <v>35</v>
      </c>
      <c r="Y40" s="12">
        <f t="shared" si="9"/>
        <v>3.15705</v>
      </c>
    </row>
    <row r="41">
      <c r="A41" s="58"/>
      <c r="B41" s="58">
        <v>36.0</v>
      </c>
      <c r="C41" s="64">
        <v>2.5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1.26280999999999E-6</v>
      </c>
      <c r="L41" s="60">
        <v>1.06502667486867E-8</v>
      </c>
      <c r="M41" s="59">
        <f t="shared" si="1"/>
        <v>1.26281</v>
      </c>
      <c r="N41" s="59"/>
      <c r="O41" s="59">
        <v>1.323784901</v>
      </c>
      <c r="P41" s="59"/>
      <c r="Q41" s="61">
        <f t="shared" si="2"/>
        <v>0.04828509514</v>
      </c>
      <c r="R41" s="62" t="str">
        <f t="shared" si="3"/>
        <v>#DIV/0!</v>
      </c>
      <c r="S41" s="58"/>
      <c r="T41" s="63">
        <f t="shared" si="4"/>
        <v>5.946553023</v>
      </c>
      <c r="U41" s="63">
        <f t="shared" ref="U41:U47" si="14">K41/$K$42</f>
        <v>0.07300492554</v>
      </c>
      <c r="V41" s="59">
        <f t="shared" si="6"/>
        <v>0.9539389663</v>
      </c>
      <c r="W41" s="58">
        <f t="shared" si="7"/>
        <v>1</v>
      </c>
      <c r="X41" s="58">
        <f t="shared" si="8"/>
        <v>36</v>
      </c>
      <c r="Y41" s="20">
        <f t="shared" si="9"/>
        <v>0.00126281</v>
      </c>
    </row>
    <row r="42">
      <c r="A42" s="58"/>
      <c r="B42" s="58">
        <v>37.0</v>
      </c>
      <c r="C42" s="64">
        <v>2.5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1.72976E-5</v>
      </c>
      <c r="L42" s="60">
        <v>1.63374268216116E-7</v>
      </c>
      <c r="M42" s="59">
        <f t="shared" si="1"/>
        <v>17.2976</v>
      </c>
      <c r="N42" s="59"/>
      <c r="O42" s="59">
        <v>17.204399967</v>
      </c>
      <c r="P42" s="59"/>
      <c r="Q42" s="61">
        <f t="shared" si="2"/>
        <v>-0.005388032617</v>
      </c>
      <c r="R42" s="62" t="str">
        <f t="shared" si="3"/>
        <v>#DIV/0!</v>
      </c>
      <c r="S42" s="58"/>
      <c r="T42" s="63">
        <f t="shared" si="4"/>
        <v>81.45413449</v>
      </c>
      <c r="U42" s="63">
        <f t="shared" si="14"/>
        <v>1</v>
      </c>
      <c r="V42" s="59">
        <f t="shared" si="6"/>
        <v>1.005417221</v>
      </c>
      <c r="W42" s="58">
        <f t="shared" si="7"/>
        <v>1</v>
      </c>
      <c r="X42" s="58">
        <f t="shared" si="8"/>
        <v>37</v>
      </c>
      <c r="Y42" s="21">
        <f t="shared" si="9"/>
        <v>0.0172976</v>
      </c>
    </row>
    <row r="43">
      <c r="A43" s="58"/>
      <c r="B43" s="58">
        <v>38.0</v>
      </c>
      <c r="C43" s="64">
        <v>2.5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1.44833E-4</v>
      </c>
      <c r="L43" s="60">
        <v>1.32360504042191E-6</v>
      </c>
      <c r="M43" s="59">
        <f t="shared" si="1"/>
        <v>144.833</v>
      </c>
      <c r="N43" s="59"/>
      <c r="O43" s="59">
        <v>142.2017275</v>
      </c>
      <c r="P43" s="59"/>
      <c r="Q43" s="61">
        <f t="shared" si="2"/>
        <v>-0.018167631</v>
      </c>
      <c r="R43" s="62" t="str">
        <f t="shared" si="3"/>
        <v>#DIV/0!</v>
      </c>
      <c r="S43" s="58"/>
      <c r="T43" s="63">
        <f t="shared" si="4"/>
        <v>682.0163873</v>
      </c>
      <c r="U43" s="63">
        <f t="shared" si="14"/>
        <v>8.373011285</v>
      </c>
      <c r="V43" s="59">
        <f t="shared" si="6"/>
        <v>1.018503801</v>
      </c>
      <c r="W43" s="58">
        <f t="shared" si="7"/>
        <v>1</v>
      </c>
      <c r="X43" s="58">
        <f t="shared" si="8"/>
        <v>38</v>
      </c>
      <c r="Y43" s="36">
        <f t="shared" si="9"/>
        <v>0.144833</v>
      </c>
    </row>
    <row r="44">
      <c r="A44" s="58"/>
      <c r="B44" s="58">
        <v>39.0</v>
      </c>
      <c r="C44" s="64">
        <v>2.5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5.21488999999999E-4</v>
      </c>
      <c r="L44" s="60">
        <v>4.99819957483682E-6</v>
      </c>
      <c r="M44" s="59">
        <f t="shared" si="1"/>
        <v>521.489</v>
      </c>
      <c r="N44" s="59"/>
      <c r="O44" s="59">
        <v>502.91967955</v>
      </c>
      <c r="P44" s="59"/>
      <c r="Q44" s="61">
        <f t="shared" si="2"/>
        <v>-0.03560826873</v>
      </c>
      <c r="R44" s="62" t="str">
        <f t="shared" si="3"/>
        <v>#DIV/0!</v>
      </c>
      <c r="S44" s="58"/>
      <c r="T44" s="63">
        <f t="shared" si="4"/>
        <v>2455.683745</v>
      </c>
      <c r="U44" s="63">
        <f t="shared" si="14"/>
        <v>30.14805522</v>
      </c>
      <c r="V44" s="59">
        <f t="shared" si="6"/>
        <v>1.036923034</v>
      </c>
      <c r="W44" s="58">
        <f t="shared" si="7"/>
        <v>1</v>
      </c>
      <c r="X44" s="58">
        <f t="shared" si="8"/>
        <v>39</v>
      </c>
      <c r="Y44" s="36">
        <f t="shared" si="9"/>
        <v>0.521489</v>
      </c>
    </row>
    <row r="45">
      <c r="A45" s="58"/>
      <c r="B45" s="58">
        <v>40.0</v>
      </c>
      <c r="C45" s="64">
        <v>2.5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0.00142719999999999</v>
      </c>
      <c r="L45" s="60">
        <v>1.20176637673152E-5</v>
      </c>
      <c r="M45" s="59">
        <f t="shared" si="1"/>
        <v>1427.2</v>
      </c>
      <c r="N45" s="59"/>
      <c r="O45" s="59">
        <v>1332.746229203</v>
      </c>
      <c r="P45" s="59"/>
      <c r="Q45" s="61">
        <f t="shared" si="2"/>
        <v>-0.06618117348</v>
      </c>
      <c r="R45" s="62" t="str">
        <f t="shared" si="3"/>
        <v>#DIV/0!</v>
      </c>
      <c r="S45" s="58"/>
      <c r="T45" s="63">
        <f t="shared" si="4"/>
        <v>6720.663025</v>
      </c>
      <c r="U45" s="63">
        <f t="shared" si="14"/>
        <v>82.5085561</v>
      </c>
      <c r="V45" s="59">
        <f t="shared" si="6"/>
        <v>1.070871535</v>
      </c>
      <c r="W45" s="58">
        <f t="shared" si="7"/>
        <v>1</v>
      </c>
      <c r="X45" s="58">
        <f t="shared" si="8"/>
        <v>40</v>
      </c>
      <c r="Y45" s="12">
        <f t="shared" si="9"/>
        <v>1.4272</v>
      </c>
    </row>
    <row r="46">
      <c r="A46" s="58"/>
      <c r="B46" s="58">
        <v>41.0</v>
      </c>
      <c r="C46" s="64">
        <v>2.5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0.00333508999999999</v>
      </c>
      <c r="L46" s="60">
        <v>3.4758065701548E-5</v>
      </c>
      <c r="M46" s="59">
        <f t="shared" si="1"/>
        <v>3335.09</v>
      </c>
      <c r="N46" s="59"/>
      <c r="O46" s="59">
        <v>2979.013315149</v>
      </c>
      <c r="P46" s="59"/>
      <c r="Q46" s="61">
        <f t="shared" si="2"/>
        <v>-0.1067667394</v>
      </c>
      <c r="R46" s="62" t="str">
        <f t="shared" si="3"/>
        <v>#DIV/0!</v>
      </c>
      <c r="S46" s="58"/>
      <c r="T46" s="63">
        <f t="shared" si="4"/>
        <v>15704.88793</v>
      </c>
      <c r="U46" s="63">
        <f t="shared" si="14"/>
        <v>192.8065165</v>
      </c>
      <c r="V46" s="59">
        <f t="shared" si="6"/>
        <v>1.119528397</v>
      </c>
      <c r="W46" s="58">
        <f t="shared" si="7"/>
        <v>0</v>
      </c>
      <c r="X46" s="58">
        <f t="shared" si="8"/>
        <v>41</v>
      </c>
      <c r="Y46" s="12">
        <f t="shared" si="9"/>
        <v>3.33509</v>
      </c>
    </row>
    <row r="47">
      <c r="A47" s="58"/>
      <c r="B47" s="58">
        <v>42.0</v>
      </c>
      <c r="C47" s="64">
        <v>2.5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0.00695549</v>
      </c>
      <c r="L47" s="60">
        <v>6.02964888335678E-5</v>
      </c>
      <c r="M47" s="59">
        <f t="shared" si="1"/>
        <v>6955.49</v>
      </c>
      <c r="N47" s="59"/>
      <c r="O47" s="59">
        <v>5902.996871092</v>
      </c>
      <c r="P47" s="59"/>
      <c r="Q47" s="61">
        <f t="shared" si="2"/>
        <v>-0.1513183297</v>
      </c>
      <c r="R47" s="62" t="str">
        <f t="shared" si="3"/>
        <v>#DIV/0!</v>
      </c>
      <c r="S47" s="58"/>
      <c r="T47" s="63">
        <f t="shared" si="4"/>
        <v>32753.29629</v>
      </c>
      <c r="U47" s="63">
        <f t="shared" si="14"/>
        <v>402.1072287</v>
      </c>
      <c r="V47" s="59">
        <f t="shared" si="6"/>
        <v>1.1782981</v>
      </c>
      <c r="W47" s="58">
        <f t="shared" si="7"/>
        <v>0</v>
      </c>
      <c r="X47" s="58">
        <f t="shared" si="8"/>
        <v>42</v>
      </c>
      <c r="Y47" s="12">
        <f t="shared" si="9"/>
        <v>6.95549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9">
        <v>3.0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5.17807216494845E-10</v>
      </c>
      <c r="L6" s="11">
        <v>5.40341804290504E-12</v>
      </c>
      <c r="M6" s="10">
        <f t="shared" ref="M6:M47" si="1">K6*1000000</f>
        <v>0.0005178072165</v>
      </c>
      <c r="N6" s="10"/>
      <c r="O6" s="10">
        <v>4.85622E-4</v>
      </c>
      <c r="P6" s="10"/>
      <c r="Q6" s="12">
        <f t="shared" ref="Q6:Q47" si="2">(O6-M6)/M6</f>
        <v>-0.06215675539</v>
      </c>
      <c r="R6" s="13" t="str">
        <f t="shared" ref="R6:R47" si="3">(O6-M6)/sqrt(N6*N6+P6*P6)</f>
        <v>#DIV/0!</v>
      </c>
      <c r="S6" s="8"/>
      <c r="T6" s="14">
        <f t="shared" ref="T6:T47" si="4">K6/$K$14</f>
        <v>0.005016685396</v>
      </c>
      <c r="U6" s="14">
        <f t="shared" ref="U6:U12" si="5">K6/$K$7</f>
        <v>0.0795203684</v>
      </c>
      <c r="V6" s="10">
        <f t="shared" ref="V6:V47" si="6">M6/O6</f>
        <v>1.066276274</v>
      </c>
      <c r="W6" s="15">
        <f t="shared" ref="W6:W47" si="7">IF(abs(1/V6-1)&lt;$W$5, 1, 0)</f>
        <v>1</v>
      </c>
      <c r="X6" s="8">
        <f t="shared" ref="X6:X47" si="8">B6</f>
        <v>1</v>
      </c>
      <c r="Y6" s="18">
        <f t="shared" ref="Y6:Y47" si="9">M6*0.001</f>
        <v>0.0000005178072165</v>
      </c>
    </row>
    <row r="7">
      <c r="A7" s="8"/>
      <c r="B7" s="8">
        <v>2.0</v>
      </c>
      <c r="C7" s="9">
        <v>3.0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6.51162999999999E-9</v>
      </c>
      <c r="L7" s="11">
        <v>6.12963747342007E-11</v>
      </c>
      <c r="M7" s="10">
        <f t="shared" si="1"/>
        <v>0.00651163</v>
      </c>
      <c r="N7" s="10"/>
      <c r="O7" s="10">
        <v>0.00645</v>
      </c>
      <c r="P7" s="10"/>
      <c r="Q7" s="12">
        <f t="shared" si="2"/>
        <v>-0.009464604101</v>
      </c>
      <c r="R7" s="13" t="str">
        <f t="shared" si="3"/>
        <v>#DIV/0!</v>
      </c>
      <c r="S7" s="8"/>
      <c r="T7" s="14">
        <f t="shared" si="4"/>
        <v>0.06308679772</v>
      </c>
      <c r="U7" s="14">
        <f t="shared" si="5"/>
        <v>1</v>
      </c>
      <c r="V7" s="10">
        <f t="shared" si="6"/>
        <v>1.009555039</v>
      </c>
      <c r="W7" s="8">
        <f t="shared" si="7"/>
        <v>1</v>
      </c>
      <c r="X7" s="8">
        <f t="shared" si="8"/>
        <v>2</v>
      </c>
      <c r="Y7" s="16">
        <f t="shared" si="9"/>
        <v>0.00000651163</v>
      </c>
    </row>
    <row r="8">
      <c r="A8" s="8"/>
      <c r="B8" s="8">
        <v>3.0</v>
      </c>
      <c r="C8" s="9">
        <v>3.0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5.35733999999999E-8</v>
      </c>
      <c r="L8" s="11">
        <v>5.17375310699314E-10</v>
      </c>
      <c r="M8" s="10">
        <f t="shared" si="1"/>
        <v>0.0535734</v>
      </c>
      <c r="N8" s="10"/>
      <c r="O8" s="10">
        <v>0.053244846</v>
      </c>
      <c r="P8" s="10"/>
      <c r="Q8" s="12">
        <f t="shared" si="2"/>
        <v>-0.006132782314</v>
      </c>
      <c r="R8" s="13" t="str">
        <f t="shared" si="3"/>
        <v>#DIV/0!</v>
      </c>
      <c r="S8" s="8"/>
      <c r="T8" s="14">
        <f t="shared" si="4"/>
        <v>0.5190365928</v>
      </c>
      <c r="U8" s="14">
        <f t="shared" si="5"/>
        <v>8.227340927</v>
      </c>
      <c r="V8" s="10">
        <f t="shared" si="6"/>
        <v>1.006170625</v>
      </c>
      <c r="W8" s="8">
        <f t="shared" si="7"/>
        <v>1</v>
      </c>
      <c r="X8" s="8">
        <f t="shared" si="8"/>
        <v>3</v>
      </c>
      <c r="Y8" s="17">
        <f t="shared" si="9"/>
        <v>0.0000535734</v>
      </c>
    </row>
    <row r="9">
      <c r="A9" s="8"/>
      <c r="B9" s="8">
        <v>4.0</v>
      </c>
      <c r="C9" s="9">
        <v>3.0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1.89268E-7</v>
      </c>
      <c r="L9" s="11">
        <v>1.89400329589166E-9</v>
      </c>
      <c r="M9" s="10">
        <f t="shared" si="1"/>
        <v>0.189268</v>
      </c>
      <c r="N9" s="10"/>
      <c r="O9" s="10">
        <v>0.187646266</v>
      </c>
      <c r="P9" s="10"/>
      <c r="Q9" s="12">
        <f t="shared" si="2"/>
        <v>-0.008568453199</v>
      </c>
      <c r="R9" s="13" t="str">
        <f t="shared" si="3"/>
        <v>#DIV/0!</v>
      </c>
      <c r="S9" s="8"/>
      <c r="T9" s="14">
        <f t="shared" si="4"/>
        <v>1.833690187</v>
      </c>
      <c r="U9" s="14">
        <f t="shared" si="5"/>
        <v>29.0661478</v>
      </c>
      <c r="V9" s="10">
        <f t="shared" si="6"/>
        <v>1.008642506</v>
      </c>
      <c r="W9" s="8">
        <f t="shared" si="7"/>
        <v>1</v>
      </c>
      <c r="X9" s="8">
        <f t="shared" si="8"/>
        <v>4</v>
      </c>
      <c r="Y9" s="19">
        <f t="shared" si="9"/>
        <v>0.000189268</v>
      </c>
    </row>
    <row r="10">
      <c r="A10" s="8"/>
      <c r="B10" s="8">
        <v>5.0</v>
      </c>
      <c r="C10" s="9">
        <v>3.0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5.02048999999999E-7</v>
      </c>
      <c r="L10" s="11">
        <v>4.98045665424853E-9</v>
      </c>
      <c r="M10" s="10">
        <f t="shared" si="1"/>
        <v>0.502049</v>
      </c>
      <c r="N10" s="10"/>
      <c r="O10" s="10">
        <v>0.495783912</v>
      </c>
      <c r="P10" s="10"/>
      <c r="Q10" s="12">
        <f t="shared" si="2"/>
        <v>-0.01247903691</v>
      </c>
      <c r="R10" s="13" t="str">
        <f t="shared" si="3"/>
        <v>#DIV/0!</v>
      </c>
      <c r="S10" s="8"/>
      <c r="T10" s="14">
        <f t="shared" si="4"/>
        <v>4.864014649</v>
      </c>
      <c r="U10" s="14">
        <f t="shared" si="5"/>
        <v>77.10035736</v>
      </c>
      <c r="V10" s="10">
        <f t="shared" si="6"/>
        <v>1.012636731</v>
      </c>
      <c r="W10" s="8">
        <f t="shared" si="7"/>
        <v>1</v>
      </c>
      <c r="X10" s="8">
        <f t="shared" si="8"/>
        <v>5</v>
      </c>
      <c r="Y10" s="19">
        <f t="shared" si="9"/>
        <v>0.000502049</v>
      </c>
    </row>
    <row r="11">
      <c r="A11" s="8"/>
      <c r="B11" s="8">
        <v>6.0</v>
      </c>
      <c r="C11" s="9">
        <v>3.0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1.11872E-6</v>
      </c>
      <c r="L11" s="11">
        <v>1.16142371704087E-8</v>
      </c>
      <c r="M11" s="10">
        <f t="shared" si="1"/>
        <v>1.11872</v>
      </c>
      <c r="N11" s="10"/>
      <c r="O11" s="10">
        <v>1.105830289</v>
      </c>
      <c r="P11" s="10"/>
      <c r="Q11" s="12">
        <f t="shared" si="2"/>
        <v>-0.01152183835</v>
      </c>
      <c r="R11" s="13" t="str">
        <f t="shared" si="3"/>
        <v>#DIV/0!</v>
      </c>
      <c r="S11" s="8"/>
      <c r="T11" s="14">
        <f t="shared" si="4"/>
        <v>10.83852466</v>
      </c>
      <c r="U11" s="14">
        <f t="shared" si="5"/>
        <v>171.8033733</v>
      </c>
      <c r="V11" s="10">
        <f t="shared" si="6"/>
        <v>1.011656138</v>
      </c>
      <c r="W11" s="8">
        <f t="shared" si="7"/>
        <v>1</v>
      </c>
      <c r="X11" s="8">
        <f t="shared" si="8"/>
        <v>6</v>
      </c>
      <c r="Y11" s="20">
        <f t="shared" si="9"/>
        <v>0.00111872</v>
      </c>
    </row>
    <row r="12">
      <c r="A12" s="8"/>
      <c r="B12" s="8">
        <v>7.0</v>
      </c>
      <c r="C12" s="9">
        <v>3.0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2.20766E-6</v>
      </c>
      <c r="L12" s="11">
        <v>2.24401426020424E-8</v>
      </c>
      <c r="M12" s="10">
        <f t="shared" si="1"/>
        <v>2.20766</v>
      </c>
      <c r="N12" s="10"/>
      <c r="O12" s="10">
        <v>2.188000764</v>
      </c>
      <c r="P12" s="10"/>
      <c r="Q12" s="12">
        <f t="shared" si="2"/>
        <v>-0.008905010735</v>
      </c>
      <c r="R12" s="13" t="str">
        <f t="shared" si="3"/>
        <v>#DIV/0!</v>
      </c>
      <c r="S12" s="8"/>
      <c r="T12" s="14">
        <f t="shared" si="4"/>
        <v>21.38853096</v>
      </c>
      <c r="U12" s="14">
        <f t="shared" si="5"/>
        <v>339.033391</v>
      </c>
      <c r="V12" s="10">
        <f t="shared" si="6"/>
        <v>1.008985022</v>
      </c>
      <c r="W12" s="8">
        <f t="shared" si="7"/>
        <v>1</v>
      </c>
      <c r="X12" s="8">
        <f t="shared" si="8"/>
        <v>7</v>
      </c>
      <c r="Y12" s="20">
        <f t="shared" si="9"/>
        <v>0.00220766</v>
      </c>
    </row>
    <row r="13">
      <c r="A13" s="22"/>
      <c r="B13" s="22">
        <v>8.0</v>
      </c>
      <c r="C13" s="25">
        <v>3.0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7.80582E-9</v>
      </c>
      <c r="L13" s="24">
        <v>7.78043882328164E-11</v>
      </c>
      <c r="M13" s="23">
        <f t="shared" si="1"/>
        <v>0.00780582</v>
      </c>
      <c r="N13" s="23"/>
      <c r="O13" s="23">
        <v>0.007769948</v>
      </c>
      <c r="P13" s="23"/>
      <c r="Q13" s="26">
        <f t="shared" si="2"/>
        <v>-0.004595545375</v>
      </c>
      <c r="R13" s="27" t="str">
        <f t="shared" si="3"/>
        <v>#DIV/0!</v>
      </c>
      <c r="S13" s="22"/>
      <c r="T13" s="28">
        <f t="shared" si="4"/>
        <v>0.07562533304</v>
      </c>
      <c r="U13" s="28">
        <f t="shared" ref="U13:U19" si="10">K13/$K$14</f>
        <v>0.07562533304</v>
      </c>
      <c r="V13" s="23">
        <f t="shared" si="6"/>
        <v>1.004616762</v>
      </c>
      <c r="W13" s="22">
        <f t="shared" si="7"/>
        <v>1</v>
      </c>
      <c r="X13" s="22">
        <f t="shared" si="8"/>
        <v>8</v>
      </c>
      <c r="Y13" s="16">
        <f t="shared" si="9"/>
        <v>0.00000780582</v>
      </c>
    </row>
    <row r="14">
      <c r="A14" s="29" t="s">
        <v>21</v>
      </c>
      <c r="B14" s="29">
        <v>9.0</v>
      </c>
      <c r="C14" s="33">
        <v>3.0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1.03217E-7</v>
      </c>
      <c r="L14" s="31">
        <v>1.03709530259598E-9</v>
      </c>
      <c r="M14" s="30">
        <f t="shared" si="1"/>
        <v>0.103217</v>
      </c>
      <c r="N14" s="30"/>
      <c r="O14" s="30">
        <v>0.1032</v>
      </c>
      <c r="P14" s="30"/>
      <c r="Q14" s="32">
        <f t="shared" si="2"/>
        <v>-0.0001647015511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1.000164729</v>
      </c>
      <c r="W14" s="29">
        <f t="shared" si="7"/>
        <v>1</v>
      </c>
      <c r="X14" s="22">
        <f t="shared" si="8"/>
        <v>9</v>
      </c>
      <c r="Y14" s="19">
        <f t="shared" si="9"/>
        <v>0.000103217</v>
      </c>
    </row>
    <row r="15">
      <c r="A15" s="22"/>
      <c r="B15" s="22">
        <v>10.0</v>
      </c>
      <c r="C15" s="25">
        <v>3.0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8.53574E-7</v>
      </c>
      <c r="L15" s="24">
        <v>9.40530282405203E-9</v>
      </c>
      <c r="M15" s="23">
        <f t="shared" si="1"/>
        <v>0.853574</v>
      </c>
      <c r="N15" s="23"/>
      <c r="O15" s="23">
        <v>0.851917528</v>
      </c>
      <c r="P15" s="23"/>
      <c r="Q15" s="26">
        <f t="shared" si="2"/>
        <v>-0.001940630806</v>
      </c>
      <c r="R15" s="27" t="str">
        <f t="shared" si="3"/>
        <v>#DIV/0!</v>
      </c>
      <c r="S15" s="22"/>
      <c r="T15" s="28">
        <f t="shared" si="4"/>
        <v>8.269703634</v>
      </c>
      <c r="U15" s="28">
        <f t="shared" si="10"/>
        <v>8.269703634</v>
      </c>
      <c r="V15" s="23">
        <f t="shared" si="6"/>
        <v>1.001944404</v>
      </c>
      <c r="W15" s="22">
        <f t="shared" si="7"/>
        <v>1</v>
      </c>
      <c r="X15" s="22">
        <f t="shared" si="8"/>
        <v>10</v>
      </c>
      <c r="Y15" s="19">
        <f t="shared" si="9"/>
        <v>0.000853574</v>
      </c>
    </row>
    <row r="16">
      <c r="A16" s="22"/>
      <c r="B16" s="22">
        <v>11.0</v>
      </c>
      <c r="C16" s="25">
        <v>3.0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3.01245E-6</v>
      </c>
      <c r="L16" s="24">
        <v>2.67552977855967E-8</v>
      </c>
      <c r="M16" s="23">
        <f t="shared" si="1"/>
        <v>3.01245</v>
      </c>
      <c r="N16" s="23"/>
      <c r="O16" s="23">
        <v>3.002340266</v>
      </c>
      <c r="P16" s="23"/>
      <c r="Q16" s="26">
        <f t="shared" si="2"/>
        <v>-0.003355984</v>
      </c>
      <c r="R16" s="27" t="str">
        <f t="shared" si="3"/>
        <v>#DIV/0!</v>
      </c>
      <c r="S16" s="22"/>
      <c r="T16" s="28">
        <f t="shared" si="4"/>
        <v>29.18559927</v>
      </c>
      <c r="U16" s="28">
        <f t="shared" si="10"/>
        <v>29.18559927</v>
      </c>
      <c r="V16" s="23">
        <f t="shared" si="6"/>
        <v>1.003367285</v>
      </c>
      <c r="W16" s="22">
        <f t="shared" si="7"/>
        <v>1</v>
      </c>
      <c r="X16" s="22">
        <f t="shared" si="8"/>
        <v>11</v>
      </c>
      <c r="Y16" s="20">
        <f t="shared" si="9"/>
        <v>0.00301245</v>
      </c>
    </row>
    <row r="17">
      <c r="A17" s="22"/>
      <c r="B17" s="22">
        <v>12.0</v>
      </c>
      <c r="C17" s="25">
        <v>3.0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7.9683E-6</v>
      </c>
      <c r="L17" s="24">
        <v>7.62727031940343E-8</v>
      </c>
      <c r="M17" s="23">
        <f t="shared" si="1"/>
        <v>7.9683</v>
      </c>
      <c r="N17" s="23"/>
      <c r="O17" s="23">
        <v>7.932542597</v>
      </c>
      <c r="P17" s="23"/>
      <c r="Q17" s="26">
        <f t="shared" si="2"/>
        <v>-0.004487456923</v>
      </c>
      <c r="R17" s="27" t="str">
        <f t="shared" si="3"/>
        <v>#DIV/0!</v>
      </c>
      <c r="S17" s="22"/>
      <c r="T17" s="28">
        <f t="shared" si="4"/>
        <v>77.19949233</v>
      </c>
      <c r="U17" s="28">
        <f t="shared" si="10"/>
        <v>77.19949233</v>
      </c>
      <c r="V17" s="23">
        <f t="shared" si="6"/>
        <v>1.004507685</v>
      </c>
      <c r="W17" s="22">
        <f t="shared" si="7"/>
        <v>1</v>
      </c>
      <c r="X17" s="22">
        <f t="shared" si="8"/>
        <v>12</v>
      </c>
      <c r="Y17" s="20">
        <f t="shared" si="9"/>
        <v>0.0079683</v>
      </c>
    </row>
    <row r="18">
      <c r="A18" s="22"/>
      <c r="B18" s="22">
        <v>13.0</v>
      </c>
      <c r="C18" s="25">
        <v>3.0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1.73082E-5</v>
      </c>
      <c r="L18" s="24">
        <v>1.42477217742899E-7</v>
      </c>
      <c r="M18" s="23">
        <f t="shared" si="1"/>
        <v>17.3082</v>
      </c>
      <c r="N18" s="23"/>
      <c r="O18" s="23">
        <v>17.693284634</v>
      </c>
      <c r="P18" s="23"/>
      <c r="Q18" s="26">
        <f t="shared" si="2"/>
        <v>0.02224868178</v>
      </c>
      <c r="R18" s="27" t="str">
        <f t="shared" si="3"/>
        <v>#DIV/0!</v>
      </c>
      <c r="S18" s="22"/>
      <c r="T18" s="28">
        <f t="shared" si="4"/>
        <v>167.6874933</v>
      </c>
      <c r="U18" s="28">
        <f t="shared" si="10"/>
        <v>167.6874933</v>
      </c>
      <c r="V18" s="23">
        <f t="shared" si="6"/>
        <v>0.9782355486</v>
      </c>
      <c r="W18" s="22">
        <f t="shared" si="7"/>
        <v>1</v>
      </c>
      <c r="X18" s="22">
        <f t="shared" si="8"/>
        <v>13</v>
      </c>
      <c r="Y18" s="21">
        <f t="shared" si="9"/>
        <v>0.0173082</v>
      </c>
    </row>
    <row r="19">
      <c r="A19" s="22"/>
      <c r="B19" s="22">
        <v>14.0</v>
      </c>
      <c r="C19" s="25">
        <v>3.0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3.38587E-5</v>
      </c>
      <c r="L19" s="24">
        <v>3.14792395913961E-7</v>
      </c>
      <c r="M19" s="23">
        <f t="shared" si="1"/>
        <v>33.8587</v>
      </c>
      <c r="N19" s="23"/>
      <c r="O19" s="23">
        <v>35.008012201</v>
      </c>
      <c r="P19" s="23"/>
      <c r="Q19" s="26">
        <f t="shared" si="2"/>
        <v>0.03394436883</v>
      </c>
      <c r="R19" s="27" t="str">
        <f t="shared" si="3"/>
        <v>#DIV/0!</v>
      </c>
      <c r="S19" s="22"/>
      <c r="T19" s="28">
        <f t="shared" si="4"/>
        <v>328.0341417</v>
      </c>
      <c r="U19" s="28">
        <f t="shared" si="10"/>
        <v>328.0341417</v>
      </c>
      <c r="V19" s="23">
        <f t="shared" si="6"/>
        <v>0.967170024</v>
      </c>
      <c r="W19" s="22">
        <f t="shared" si="7"/>
        <v>1</v>
      </c>
      <c r="X19" s="22">
        <f t="shared" si="8"/>
        <v>14</v>
      </c>
      <c r="Y19" s="21">
        <f t="shared" si="9"/>
        <v>0.0338587</v>
      </c>
    </row>
    <row r="20">
      <c r="A20" s="37"/>
      <c r="B20" s="37">
        <v>15.0</v>
      </c>
      <c r="C20" s="43">
        <v>3.0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3.90049999999999E-8</v>
      </c>
      <c r="L20" s="39">
        <v>3.17711195963258E-10</v>
      </c>
      <c r="M20" s="38">
        <f t="shared" si="1"/>
        <v>0.039005</v>
      </c>
      <c r="N20" s="38"/>
      <c r="O20" s="38">
        <v>0.039335362</v>
      </c>
      <c r="P20" s="38"/>
      <c r="Q20" s="40">
        <f t="shared" si="2"/>
        <v>0.008469734649</v>
      </c>
      <c r="R20" s="41" t="str">
        <f t="shared" si="3"/>
        <v>#DIV/0!</v>
      </c>
      <c r="S20" s="37"/>
      <c r="T20" s="42">
        <f t="shared" si="4"/>
        <v>0.3778931765</v>
      </c>
      <c r="U20" s="42">
        <f t="shared" ref="U20:U26" si="11">K20/$K$21</f>
        <v>0.07487455321</v>
      </c>
      <c r="V20" s="38">
        <f t="shared" si="6"/>
        <v>0.9916013993</v>
      </c>
      <c r="W20" s="37">
        <f t="shared" si="7"/>
        <v>1</v>
      </c>
      <c r="X20" s="37">
        <f t="shared" si="8"/>
        <v>15</v>
      </c>
      <c r="Y20" s="17">
        <f t="shared" si="9"/>
        <v>0.000039005</v>
      </c>
    </row>
    <row r="21">
      <c r="A21" s="37"/>
      <c r="B21" s="37">
        <v>16.0</v>
      </c>
      <c r="C21" s="43">
        <v>3.0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5.20938E-7</v>
      </c>
      <c r="L21" s="39">
        <v>5.59887759314582E-9</v>
      </c>
      <c r="M21" s="38">
        <f t="shared" si="1"/>
        <v>0.520938</v>
      </c>
      <c r="N21" s="38"/>
      <c r="O21" s="38">
        <v>0.522449999</v>
      </c>
      <c r="P21" s="38"/>
      <c r="Q21" s="40">
        <f t="shared" si="2"/>
        <v>0.002902454803</v>
      </c>
      <c r="R21" s="41" t="str">
        <f t="shared" si="3"/>
        <v>#DIV/0!</v>
      </c>
      <c r="S21" s="37"/>
      <c r="T21" s="42">
        <f t="shared" si="4"/>
        <v>5.047017449</v>
      </c>
      <c r="U21" s="42">
        <f t="shared" si="11"/>
        <v>1</v>
      </c>
      <c r="V21" s="38">
        <f t="shared" si="6"/>
        <v>0.9971059451</v>
      </c>
      <c r="W21" s="37">
        <f t="shared" si="7"/>
        <v>1</v>
      </c>
      <c r="X21" s="37">
        <f t="shared" si="8"/>
        <v>16</v>
      </c>
      <c r="Y21" s="19">
        <f t="shared" si="9"/>
        <v>0.000520938</v>
      </c>
    </row>
    <row r="22">
      <c r="A22" s="37"/>
      <c r="B22" s="37">
        <v>17.0</v>
      </c>
      <c r="C22" s="43">
        <v>3.0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4.29775999999999E-6</v>
      </c>
      <c r="L22" s="39">
        <v>4.29442015229581E-8</v>
      </c>
      <c r="M22" s="38">
        <f t="shared" si="1"/>
        <v>4.29776</v>
      </c>
      <c r="N22" s="38"/>
      <c r="O22" s="38">
        <v>4.312832492</v>
      </c>
      <c r="P22" s="38"/>
      <c r="Q22" s="40">
        <f t="shared" si="2"/>
        <v>0.00350705763</v>
      </c>
      <c r="R22" s="41" t="str">
        <f t="shared" si="3"/>
        <v>#DIV/0!</v>
      </c>
      <c r="S22" s="37"/>
      <c r="T22" s="42">
        <f t="shared" si="4"/>
        <v>41.63810225</v>
      </c>
      <c r="U22" s="42">
        <f t="shared" si="11"/>
        <v>8.250041272</v>
      </c>
      <c r="V22" s="38">
        <f t="shared" si="6"/>
        <v>0.9965051988</v>
      </c>
      <c r="W22" s="37">
        <f t="shared" si="7"/>
        <v>1</v>
      </c>
      <c r="X22" s="37">
        <f t="shared" si="8"/>
        <v>17</v>
      </c>
      <c r="Y22" s="20">
        <f t="shared" si="9"/>
        <v>0.00429776</v>
      </c>
    </row>
    <row r="23">
      <c r="A23" s="37"/>
      <c r="B23" s="37">
        <v>18.0</v>
      </c>
      <c r="C23" s="43">
        <v>3.0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1.45937E-5</v>
      </c>
      <c r="L23" s="39">
        <v>1.43496418848075E-7</v>
      </c>
      <c r="M23" s="38">
        <f t="shared" si="1"/>
        <v>14.5937</v>
      </c>
      <c r="N23" s="38"/>
      <c r="O23" s="38">
        <v>15.199347587</v>
      </c>
      <c r="P23" s="38"/>
      <c r="Q23" s="40">
        <f t="shared" si="2"/>
        <v>0.04150061924</v>
      </c>
      <c r="R23" s="41" t="str">
        <f t="shared" si="3"/>
        <v>#DIV/0!</v>
      </c>
      <c r="S23" s="37"/>
      <c r="T23" s="42">
        <f t="shared" si="4"/>
        <v>141.388531</v>
      </c>
      <c r="U23" s="42">
        <f t="shared" si="11"/>
        <v>28.01427425</v>
      </c>
      <c r="V23" s="38">
        <f t="shared" si="6"/>
        <v>0.9601530537</v>
      </c>
      <c r="W23" s="37">
        <f t="shared" si="7"/>
        <v>1</v>
      </c>
      <c r="X23" s="37">
        <f t="shared" si="8"/>
        <v>18</v>
      </c>
      <c r="Y23" s="21">
        <f t="shared" si="9"/>
        <v>0.0145937</v>
      </c>
    </row>
    <row r="24">
      <c r="A24" s="37"/>
      <c r="B24" s="37">
        <v>19.0</v>
      </c>
      <c r="C24" s="43">
        <v>3.0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4.06502999999999E-5</v>
      </c>
      <c r="L24" s="39">
        <v>3.85851949940294E-7</v>
      </c>
      <c r="M24" s="38">
        <f t="shared" si="1"/>
        <v>40.6503</v>
      </c>
      <c r="N24" s="38"/>
      <c r="O24" s="38">
        <v>40.158496893</v>
      </c>
      <c r="P24" s="38"/>
      <c r="Q24" s="40">
        <f t="shared" si="2"/>
        <v>-0.01209838813</v>
      </c>
      <c r="R24" s="41" t="str">
        <f t="shared" si="3"/>
        <v>#DIV/0!</v>
      </c>
      <c r="S24" s="37"/>
      <c r="T24" s="42">
        <f t="shared" si="4"/>
        <v>393.8333802</v>
      </c>
      <c r="U24" s="42">
        <f t="shared" si="11"/>
        <v>78.03289451</v>
      </c>
      <c r="V24" s="38">
        <f t="shared" si="6"/>
        <v>1.012246552</v>
      </c>
      <c r="W24" s="37">
        <f t="shared" si="7"/>
        <v>1</v>
      </c>
      <c r="X24" s="37">
        <f t="shared" si="8"/>
        <v>19</v>
      </c>
      <c r="Y24" s="21">
        <f t="shared" si="9"/>
        <v>0.0406503</v>
      </c>
    </row>
    <row r="25">
      <c r="A25" s="37"/>
      <c r="B25" s="37">
        <v>20.0</v>
      </c>
      <c r="C25" s="43">
        <v>3.0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9.11113E-5</v>
      </c>
      <c r="L25" s="39">
        <v>9.49076802886772E-7</v>
      </c>
      <c r="M25" s="38">
        <f t="shared" si="1"/>
        <v>91.1113</v>
      </c>
      <c r="N25" s="38"/>
      <c r="O25" s="38">
        <v>89.572253378</v>
      </c>
      <c r="P25" s="38"/>
      <c r="Q25" s="40">
        <f t="shared" si="2"/>
        <v>-0.0168919401</v>
      </c>
      <c r="R25" s="41" t="str">
        <f t="shared" si="3"/>
        <v>#DIV/0!</v>
      </c>
      <c r="S25" s="37"/>
      <c r="T25" s="42">
        <f t="shared" si="4"/>
        <v>882.7160255</v>
      </c>
      <c r="U25" s="42">
        <f t="shared" si="11"/>
        <v>174.8985484</v>
      </c>
      <c r="V25" s="38">
        <f t="shared" si="6"/>
        <v>1.01718218</v>
      </c>
      <c r="W25" s="37">
        <f t="shared" si="7"/>
        <v>1</v>
      </c>
      <c r="X25" s="37">
        <f t="shared" si="8"/>
        <v>20</v>
      </c>
      <c r="Y25" s="21">
        <f t="shared" si="9"/>
        <v>0.0911113</v>
      </c>
    </row>
    <row r="26">
      <c r="A26" s="37"/>
      <c r="B26" s="37">
        <v>21.0</v>
      </c>
      <c r="C26" s="43">
        <v>3.0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1.82185E-4</v>
      </c>
      <c r="L26" s="39">
        <v>1.52198534616447E-6</v>
      </c>
      <c r="M26" s="38">
        <f t="shared" si="1"/>
        <v>182.185</v>
      </c>
      <c r="N26" s="38"/>
      <c r="O26" s="38">
        <v>177.228061579</v>
      </c>
      <c r="P26" s="38"/>
      <c r="Q26" s="40">
        <f t="shared" si="2"/>
        <v>-0.02720826863</v>
      </c>
      <c r="R26" s="41" t="str">
        <f t="shared" si="3"/>
        <v>#DIV/0!</v>
      </c>
      <c r="S26" s="37"/>
      <c r="T26" s="42">
        <f t="shared" si="4"/>
        <v>1765.06777</v>
      </c>
      <c r="U26" s="42">
        <f t="shared" si="11"/>
        <v>349.7249193</v>
      </c>
      <c r="V26" s="38">
        <f t="shared" si="6"/>
        <v>1.027969264</v>
      </c>
      <c r="W26" s="37">
        <f t="shared" si="7"/>
        <v>1</v>
      </c>
      <c r="X26" s="37">
        <f t="shared" si="8"/>
        <v>21</v>
      </c>
      <c r="Y26" s="36">
        <f t="shared" si="9"/>
        <v>0.182185</v>
      </c>
    </row>
    <row r="27">
      <c r="A27" s="44"/>
      <c r="B27" s="44">
        <v>22.0</v>
      </c>
      <c r="C27" s="50">
        <v>3.0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1.20098E-7</v>
      </c>
      <c r="L27" s="46">
        <v>1.20394805082732E-9</v>
      </c>
      <c r="M27" s="45">
        <f t="shared" si="1"/>
        <v>0.120098</v>
      </c>
      <c r="N27" s="45"/>
      <c r="O27" s="45">
        <v>0.124319168</v>
      </c>
      <c r="P27" s="45"/>
      <c r="Q27" s="47">
        <f t="shared" si="2"/>
        <v>0.03514769605</v>
      </c>
      <c r="R27" s="48" t="str">
        <f t="shared" si="3"/>
        <v>#DIV/0!</v>
      </c>
      <c r="S27" s="44"/>
      <c r="T27" s="49">
        <f t="shared" si="4"/>
        <v>1.16354864</v>
      </c>
      <c r="U27" s="49">
        <f t="shared" ref="U27:U33" si="12">K27/$K$28</f>
        <v>0.07609905081</v>
      </c>
      <c r="V27" s="45">
        <f t="shared" si="6"/>
        <v>0.9660457187</v>
      </c>
      <c r="W27" s="44">
        <f t="shared" si="7"/>
        <v>1</v>
      </c>
      <c r="X27" s="44">
        <f t="shared" si="8"/>
        <v>22</v>
      </c>
      <c r="Y27" s="19">
        <f t="shared" si="9"/>
        <v>0.000120098</v>
      </c>
    </row>
    <row r="28">
      <c r="A28" s="44"/>
      <c r="B28" s="44">
        <v>23.0</v>
      </c>
      <c r="C28" s="50">
        <v>3.0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1.57818E-6</v>
      </c>
      <c r="L28" s="46">
        <v>1.49709348034412E-8</v>
      </c>
      <c r="M28" s="45">
        <f t="shared" si="1"/>
        <v>1.57818</v>
      </c>
      <c r="N28" s="45"/>
      <c r="O28" s="45">
        <v>1.651200002</v>
      </c>
      <c r="P28" s="45"/>
      <c r="Q28" s="47">
        <f t="shared" si="2"/>
        <v>0.04626848775</v>
      </c>
      <c r="R28" s="48" t="str">
        <f t="shared" si="3"/>
        <v>#DIV/0!</v>
      </c>
      <c r="S28" s="44"/>
      <c r="T28" s="49">
        <f t="shared" si="4"/>
        <v>15.28992317</v>
      </c>
      <c r="U28" s="49">
        <f t="shared" si="12"/>
        <v>1</v>
      </c>
      <c r="V28" s="45">
        <f t="shared" si="6"/>
        <v>0.9557776151</v>
      </c>
      <c r="W28" s="44">
        <f t="shared" si="7"/>
        <v>1</v>
      </c>
      <c r="X28" s="44">
        <f t="shared" si="8"/>
        <v>23</v>
      </c>
      <c r="Y28" s="20">
        <f t="shared" si="9"/>
        <v>0.00157818</v>
      </c>
    </row>
    <row r="29">
      <c r="A29" s="44"/>
      <c r="B29" s="44">
        <v>24.0</v>
      </c>
      <c r="C29" s="50">
        <v>3.0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1.30851E-5</v>
      </c>
      <c r="L29" s="46">
        <v>1.51840526390504E-7</v>
      </c>
      <c r="M29" s="45">
        <f t="shared" si="1"/>
        <v>13.0851</v>
      </c>
      <c r="N29" s="45"/>
      <c r="O29" s="45">
        <v>13.630680465</v>
      </c>
      <c r="P29" s="45"/>
      <c r="Q29" s="47">
        <f t="shared" si="2"/>
        <v>0.04169478758</v>
      </c>
      <c r="R29" s="48" t="str">
        <f t="shared" si="3"/>
        <v>#DIV/0!</v>
      </c>
      <c r="S29" s="44"/>
      <c r="T29" s="49">
        <f t="shared" si="4"/>
        <v>126.7727215</v>
      </c>
      <c r="U29" s="49">
        <f t="shared" si="12"/>
        <v>8.291259552</v>
      </c>
      <c r="V29" s="45">
        <f t="shared" si="6"/>
        <v>0.9599740845</v>
      </c>
      <c r="W29" s="44">
        <f t="shared" si="7"/>
        <v>1</v>
      </c>
      <c r="X29" s="44">
        <f t="shared" si="8"/>
        <v>24</v>
      </c>
      <c r="Y29" s="21">
        <f t="shared" si="9"/>
        <v>0.0130851</v>
      </c>
    </row>
    <row r="30">
      <c r="A30" s="44"/>
      <c r="B30" s="44">
        <v>25.0</v>
      </c>
      <c r="C30" s="50">
        <v>3.0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4.87072E-5</v>
      </c>
      <c r="L30" s="46">
        <v>5.27569383631626E-7</v>
      </c>
      <c r="M30" s="45">
        <f t="shared" si="1"/>
        <v>48.7072</v>
      </c>
      <c r="N30" s="45"/>
      <c r="O30" s="45">
        <v>48.037444228</v>
      </c>
      <c r="P30" s="45"/>
      <c r="Q30" s="47">
        <f t="shared" si="2"/>
        <v>-0.01375065231</v>
      </c>
      <c r="R30" s="48" t="str">
        <f t="shared" si="3"/>
        <v>#DIV/0!</v>
      </c>
      <c r="S30" s="44"/>
      <c r="T30" s="49">
        <f t="shared" si="4"/>
        <v>471.8912582</v>
      </c>
      <c r="U30" s="49">
        <f t="shared" si="12"/>
        <v>30.8628927</v>
      </c>
      <c r="V30" s="45">
        <f t="shared" si="6"/>
        <v>1.013942369</v>
      </c>
      <c r="W30" s="44">
        <f t="shared" si="7"/>
        <v>1</v>
      </c>
      <c r="X30" s="44">
        <f t="shared" si="8"/>
        <v>25</v>
      </c>
      <c r="Y30" s="21">
        <f t="shared" si="9"/>
        <v>0.0487072</v>
      </c>
    </row>
    <row r="31">
      <c r="A31" s="44"/>
      <c r="B31" s="44">
        <v>26.0</v>
      </c>
      <c r="C31" s="50">
        <v>3.0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1.29546999999999E-4</v>
      </c>
      <c r="L31" s="46">
        <v>1.18785563521036E-6</v>
      </c>
      <c r="M31" s="45">
        <f t="shared" si="1"/>
        <v>129.547</v>
      </c>
      <c r="N31" s="45"/>
      <c r="O31" s="45">
        <v>126.92068141</v>
      </c>
      <c r="P31" s="45"/>
      <c r="Q31" s="47">
        <f t="shared" si="2"/>
        <v>-0.02027309463</v>
      </c>
      <c r="R31" s="48" t="str">
        <f t="shared" si="3"/>
        <v>#DIV/0!</v>
      </c>
      <c r="S31" s="44"/>
      <c r="T31" s="49">
        <f t="shared" si="4"/>
        <v>1255.093638</v>
      </c>
      <c r="U31" s="49">
        <f t="shared" si="12"/>
        <v>82.08632729</v>
      </c>
      <c r="V31" s="45">
        <f t="shared" si="6"/>
        <v>1.020692598</v>
      </c>
      <c r="W31" s="44">
        <f t="shared" si="7"/>
        <v>1</v>
      </c>
      <c r="X31" s="44">
        <f t="shared" si="8"/>
        <v>26</v>
      </c>
      <c r="Y31" s="36">
        <f t="shared" si="9"/>
        <v>0.129547</v>
      </c>
    </row>
    <row r="32">
      <c r="A32" s="44"/>
      <c r="B32" s="44">
        <v>27.0</v>
      </c>
      <c r="C32" s="50">
        <v>3.0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2.94232E-4</v>
      </c>
      <c r="L32" s="46">
        <v>2.68128116520231E-6</v>
      </c>
      <c r="M32" s="45">
        <f t="shared" si="1"/>
        <v>294.232</v>
      </c>
      <c r="N32" s="45"/>
      <c r="O32" s="45">
        <v>283.092553364</v>
      </c>
      <c r="P32" s="45"/>
      <c r="Q32" s="47">
        <f t="shared" si="2"/>
        <v>-0.03785939883</v>
      </c>
      <c r="R32" s="48" t="str">
        <f t="shared" si="3"/>
        <v>#DIV/0!</v>
      </c>
      <c r="S32" s="44"/>
      <c r="T32" s="49">
        <f t="shared" si="4"/>
        <v>2850.615693</v>
      </c>
      <c r="U32" s="49">
        <f t="shared" si="12"/>
        <v>186.437542</v>
      </c>
      <c r="V32" s="45">
        <f t="shared" si="6"/>
        <v>1.039349133</v>
      </c>
      <c r="W32" s="44">
        <f t="shared" si="7"/>
        <v>1</v>
      </c>
      <c r="X32" s="44">
        <f t="shared" si="8"/>
        <v>27</v>
      </c>
      <c r="Y32" s="36">
        <f t="shared" si="9"/>
        <v>0.294232</v>
      </c>
    </row>
    <row r="33">
      <c r="A33" s="44"/>
      <c r="B33" s="44">
        <v>28.0</v>
      </c>
      <c r="C33" s="50">
        <v>3.0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5.96012E-4</v>
      </c>
      <c r="L33" s="46">
        <v>5.90841344989917E-6</v>
      </c>
      <c r="M33" s="45">
        <f t="shared" si="1"/>
        <v>596.012</v>
      </c>
      <c r="N33" s="45"/>
      <c r="O33" s="45">
        <v>560.128195683</v>
      </c>
      <c r="P33" s="45"/>
      <c r="Q33" s="47">
        <f t="shared" si="2"/>
        <v>-0.06020651315</v>
      </c>
      <c r="R33" s="48" t="str">
        <f t="shared" si="3"/>
        <v>#DIV/0!</v>
      </c>
      <c r="S33" s="44"/>
      <c r="T33" s="49">
        <f t="shared" si="4"/>
        <v>5774.358875</v>
      </c>
      <c r="U33" s="49">
        <f t="shared" si="12"/>
        <v>377.6578084</v>
      </c>
      <c r="V33" s="45">
        <f t="shared" si="6"/>
        <v>1.064063557</v>
      </c>
      <c r="W33" s="44">
        <f t="shared" si="7"/>
        <v>1</v>
      </c>
      <c r="X33" s="44">
        <f t="shared" si="8"/>
        <v>28</v>
      </c>
      <c r="Y33" s="36">
        <f t="shared" si="9"/>
        <v>0.596012</v>
      </c>
    </row>
    <row r="34">
      <c r="A34" s="51"/>
      <c r="B34" s="51">
        <v>29.0</v>
      </c>
      <c r="C34" s="57">
        <v>3.0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2.99187E-7</v>
      </c>
      <c r="L34" s="53">
        <v>2.78541130923534E-9</v>
      </c>
      <c r="M34" s="52">
        <f t="shared" si="1"/>
        <v>0.299187</v>
      </c>
      <c r="N34" s="52"/>
      <c r="O34" s="52">
        <v>0.303513594</v>
      </c>
      <c r="P34" s="52"/>
      <c r="Q34" s="54">
        <f t="shared" si="2"/>
        <v>0.01446116977</v>
      </c>
      <c r="R34" s="55" t="str">
        <f t="shared" si="3"/>
        <v>#DIV/0!</v>
      </c>
      <c r="S34" s="51"/>
      <c r="T34" s="56">
        <f t="shared" si="4"/>
        <v>2.898621351</v>
      </c>
      <c r="U34" s="56">
        <f t="shared" ref="U34:U40" si="13">K34/$K$35</f>
        <v>0.07392626819</v>
      </c>
      <c r="V34" s="52">
        <f t="shared" si="6"/>
        <v>0.9857449746</v>
      </c>
      <c r="W34" s="51">
        <f t="shared" si="7"/>
        <v>1</v>
      </c>
      <c r="X34" s="51">
        <f t="shared" si="8"/>
        <v>29</v>
      </c>
      <c r="Y34" s="19">
        <f t="shared" si="9"/>
        <v>0.000299187</v>
      </c>
    </row>
    <row r="35">
      <c r="A35" s="51"/>
      <c r="B35" s="51">
        <v>30.0</v>
      </c>
      <c r="C35" s="57">
        <v>3.0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4.0471E-6</v>
      </c>
      <c r="L35" s="53">
        <v>3.58995512197266E-8</v>
      </c>
      <c r="M35" s="52">
        <f t="shared" si="1"/>
        <v>4.0471</v>
      </c>
      <c r="N35" s="52"/>
      <c r="O35" s="52">
        <v>4.031249996</v>
      </c>
      <c r="P35" s="52"/>
      <c r="Q35" s="54">
        <f t="shared" si="2"/>
        <v>-0.00391638556</v>
      </c>
      <c r="R35" s="55" t="str">
        <f t="shared" si="3"/>
        <v>#DIV/0!</v>
      </c>
      <c r="S35" s="51"/>
      <c r="T35" s="56">
        <f t="shared" si="4"/>
        <v>39.20962632</v>
      </c>
      <c r="U35" s="56">
        <f t="shared" si="13"/>
        <v>1</v>
      </c>
      <c r="V35" s="52">
        <f t="shared" si="6"/>
        <v>1.003931784</v>
      </c>
      <c r="W35" s="51">
        <f t="shared" si="7"/>
        <v>1</v>
      </c>
      <c r="X35" s="51">
        <f t="shared" si="8"/>
        <v>30</v>
      </c>
      <c r="Y35" s="20">
        <f t="shared" si="9"/>
        <v>0.0040471</v>
      </c>
    </row>
    <row r="36">
      <c r="A36" s="51"/>
      <c r="B36" s="51">
        <v>31.0</v>
      </c>
      <c r="C36" s="57">
        <v>3.0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3.36673E-5</v>
      </c>
      <c r="L36" s="53">
        <v>3.20519953207348E-7</v>
      </c>
      <c r="M36" s="52">
        <f t="shared" si="1"/>
        <v>33.6673</v>
      </c>
      <c r="N36" s="52"/>
      <c r="O36" s="52">
        <v>33.278028493</v>
      </c>
      <c r="P36" s="52"/>
      <c r="Q36" s="54">
        <f t="shared" si="2"/>
        <v>-0.0115623025</v>
      </c>
      <c r="R36" s="55" t="str">
        <f t="shared" si="3"/>
        <v>#DIV/0!</v>
      </c>
      <c r="S36" s="51"/>
      <c r="T36" s="56">
        <f t="shared" si="4"/>
        <v>326.179796</v>
      </c>
      <c r="U36" s="56">
        <f t="shared" si="13"/>
        <v>8.318870302</v>
      </c>
      <c r="V36" s="52">
        <f t="shared" si="6"/>
        <v>1.011697553</v>
      </c>
      <c r="W36" s="51">
        <f t="shared" si="7"/>
        <v>1</v>
      </c>
      <c r="X36" s="51">
        <f t="shared" si="8"/>
        <v>31</v>
      </c>
      <c r="Y36" s="21">
        <f t="shared" si="9"/>
        <v>0.0336673</v>
      </c>
    </row>
    <row r="37">
      <c r="A37" s="51"/>
      <c r="B37" s="51">
        <v>32.0</v>
      </c>
      <c r="C37" s="57">
        <v>3.0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1.2021E-4</v>
      </c>
      <c r="L37" s="53">
        <v>1.13444686828854E-6</v>
      </c>
      <c r="M37" s="52">
        <f t="shared" si="1"/>
        <v>120.21</v>
      </c>
      <c r="N37" s="52"/>
      <c r="O37" s="52">
        <v>117.27891681</v>
      </c>
      <c r="P37" s="52"/>
      <c r="Q37" s="54">
        <f t="shared" si="2"/>
        <v>-0.02438302296</v>
      </c>
      <c r="R37" s="55" t="str">
        <f t="shared" si="3"/>
        <v>#DIV/0!</v>
      </c>
      <c r="S37" s="51"/>
      <c r="T37" s="56">
        <f t="shared" si="4"/>
        <v>1164.633733</v>
      </c>
      <c r="U37" s="56">
        <f t="shared" si="13"/>
        <v>29.70275012</v>
      </c>
      <c r="V37" s="52">
        <f t="shared" si="6"/>
        <v>1.024992414</v>
      </c>
      <c r="W37" s="51">
        <f t="shared" si="7"/>
        <v>1</v>
      </c>
      <c r="X37" s="51">
        <f t="shared" si="8"/>
        <v>32</v>
      </c>
      <c r="Y37" s="36">
        <f t="shared" si="9"/>
        <v>0.12021</v>
      </c>
    </row>
    <row r="38">
      <c r="A38" s="51"/>
      <c r="B38" s="51">
        <v>33.0</v>
      </c>
      <c r="C38" s="57">
        <v>3.0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3.23595999999999E-4</v>
      </c>
      <c r="L38" s="53">
        <v>3.17432630250065E-6</v>
      </c>
      <c r="M38" s="52">
        <f t="shared" si="1"/>
        <v>323.596</v>
      </c>
      <c r="N38" s="52"/>
      <c r="O38" s="52">
        <v>309.864944781</v>
      </c>
      <c r="P38" s="52"/>
      <c r="Q38" s="54">
        <f t="shared" si="2"/>
        <v>-0.04243270998</v>
      </c>
      <c r="R38" s="55" t="str">
        <f t="shared" si="3"/>
        <v>#DIV/0!</v>
      </c>
      <c r="S38" s="51"/>
      <c r="T38" s="56">
        <f t="shared" si="4"/>
        <v>3135.103714</v>
      </c>
      <c r="U38" s="56">
        <f t="shared" si="13"/>
        <v>79.95750043</v>
      </c>
      <c r="V38" s="52">
        <f t="shared" si="6"/>
        <v>1.044313032</v>
      </c>
      <c r="W38" s="51">
        <f t="shared" si="7"/>
        <v>1</v>
      </c>
      <c r="X38" s="51">
        <f t="shared" si="8"/>
        <v>33</v>
      </c>
      <c r="Y38" s="36">
        <f t="shared" si="9"/>
        <v>0.323596</v>
      </c>
    </row>
    <row r="39">
      <c r="A39" s="51"/>
      <c r="B39" s="51">
        <v>34.0</v>
      </c>
      <c r="C39" s="57">
        <v>3.0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7.45659E-4</v>
      </c>
      <c r="L39" s="53">
        <v>6.94801904767601E-6</v>
      </c>
      <c r="M39" s="52">
        <f t="shared" si="1"/>
        <v>745.659</v>
      </c>
      <c r="N39" s="52"/>
      <c r="O39" s="52">
        <v>691.143930403</v>
      </c>
      <c r="P39" s="52"/>
      <c r="Q39" s="54">
        <f t="shared" si="2"/>
        <v>-0.07310991968</v>
      </c>
      <c r="R39" s="55" t="str">
        <f t="shared" si="3"/>
        <v>#DIV/0!</v>
      </c>
      <c r="S39" s="51"/>
      <c r="T39" s="56">
        <f t="shared" si="4"/>
        <v>7224.187876</v>
      </c>
      <c r="U39" s="56">
        <f t="shared" si="13"/>
        <v>184.245262</v>
      </c>
      <c r="V39" s="52">
        <f t="shared" si="6"/>
        <v>1.07887658</v>
      </c>
      <c r="W39" s="51">
        <f t="shared" si="7"/>
        <v>1</v>
      </c>
      <c r="X39" s="51">
        <f t="shared" si="8"/>
        <v>34</v>
      </c>
      <c r="Y39" s="36">
        <f t="shared" si="9"/>
        <v>0.745659</v>
      </c>
    </row>
    <row r="40">
      <c r="A40" s="51"/>
      <c r="B40" s="51">
        <v>35.0</v>
      </c>
      <c r="C40" s="57">
        <v>3.0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0.00153368999999999</v>
      </c>
      <c r="L40" s="53">
        <v>1.41204737093971E-5</v>
      </c>
      <c r="M40" s="52">
        <f t="shared" si="1"/>
        <v>1533.69</v>
      </c>
      <c r="N40" s="52"/>
      <c r="O40" s="52">
        <v>1367.500476855</v>
      </c>
      <c r="P40" s="52"/>
      <c r="Q40" s="54">
        <f t="shared" si="2"/>
        <v>-0.1083592663</v>
      </c>
      <c r="R40" s="55" t="str">
        <f t="shared" si="3"/>
        <v>#DIV/0!</v>
      </c>
      <c r="S40" s="51"/>
      <c r="T40" s="56">
        <f t="shared" si="4"/>
        <v>14858.88952</v>
      </c>
      <c r="U40" s="56">
        <f t="shared" si="13"/>
        <v>378.9602431</v>
      </c>
      <c r="V40" s="52">
        <f t="shared" si="6"/>
        <v>1.121527945</v>
      </c>
      <c r="W40" s="51">
        <f t="shared" si="7"/>
        <v>0</v>
      </c>
      <c r="X40" s="51">
        <f t="shared" si="8"/>
        <v>35</v>
      </c>
      <c r="Y40" s="12">
        <f t="shared" si="9"/>
        <v>1.53369</v>
      </c>
    </row>
    <row r="41">
      <c r="A41" s="58"/>
      <c r="B41" s="58">
        <v>36.0</v>
      </c>
      <c r="C41" s="64">
        <v>3.0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6.16473999999999E-7</v>
      </c>
      <c r="L41" s="60">
        <v>6.15005329696869E-9</v>
      </c>
      <c r="M41" s="59">
        <f t="shared" si="1"/>
        <v>0.616474</v>
      </c>
      <c r="N41" s="59"/>
      <c r="O41" s="59">
        <v>0.629365788</v>
      </c>
      <c r="P41" s="59"/>
      <c r="Q41" s="61">
        <f t="shared" si="2"/>
        <v>0.02091213579</v>
      </c>
      <c r="R41" s="62" t="str">
        <f t="shared" si="3"/>
        <v>#DIV/0!</v>
      </c>
      <c r="S41" s="58"/>
      <c r="T41" s="63">
        <f t="shared" si="4"/>
        <v>5.972601413</v>
      </c>
      <c r="U41" s="63">
        <f t="shared" ref="U41:U47" si="14">K41/$K$42</f>
        <v>0.07313093065</v>
      </c>
      <c r="V41" s="59">
        <f t="shared" si="6"/>
        <v>0.9795162237</v>
      </c>
      <c r="W41" s="58">
        <f t="shared" si="7"/>
        <v>1</v>
      </c>
      <c r="X41" s="58">
        <f t="shared" si="8"/>
        <v>36</v>
      </c>
      <c r="Y41" s="19">
        <f t="shared" si="9"/>
        <v>0.000616474</v>
      </c>
    </row>
    <row r="42">
      <c r="A42" s="58"/>
      <c r="B42" s="58">
        <v>37.0</v>
      </c>
      <c r="C42" s="64">
        <v>3.0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8.42973E-6</v>
      </c>
      <c r="L42" s="60">
        <v>7.80772545416889E-8</v>
      </c>
      <c r="M42" s="59">
        <f t="shared" si="1"/>
        <v>8.42973</v>
      </c>
      <c r="N42" s="59"/>
      <c r="O42" s="59">
        <v>8.359199988</v>
      </c>
      <c r="P42" s="59"/>
      <c r="Q42" s="61">
        <f t="shared" si="2"/>
        <v>-0.008366817443</v>
      </c>
      <c r="R42" s="62" t="str">
        <f t="shared" si="3"/>
        <v>#DIV/0!</v>
      </c>
      <c r="S42" s="58"/>
      <c r="T42" s="63">
        <f t="shared" si="4"/>
        <v>81.66997684</v>
      </c>
      <c r="U42" s="63">
        <f t="shared" si="14"/>
        <v>1</v>
      </c>
      <c r="V42" s="59">
        <f t="shared" si="6"/>
        <v>1.008437412</v>
      </c>
      <c r="W42" s="58">
        <f t="shared" si="7"/>
        <v>1</v>
      </c>
      <c r="X42" s="58">
        <f t="shared" si="8"/>
        <v>37</v>
      </c>
      <c r="Y42" s="20">
        <f t="shared" si="9"/>
        <v>0.00842973</v>
      </c>
    </row>
    <row r="43">
      <c r="A43" s="58"/>
      <c r="B43" s="58">
        <v>38.0</v>
      </c>
      <c r="C43" s="64">
        <v>3.0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7.05563999999999E-5</v>
      </c>
      <c r="L43" s="60">
        <v>7.30912699121703E-7</v>
      </c>
      <c r="M43" s="59">
        <f t="shared" si="1"/>
        <v>70.5564</v>
      </c>
      <c r="N43" s="59"/>
      <c r="O43" s="59">
        <v>69.005319998</v>
      </c>
      <c r="P43" s="59"/>
      <c r="Q43" s="61">
        <f t="shared" si="2"/>
        <v>-0.02198354794</v>
      </c>
      <c r="R43" s="62" t="str">
        <f t="shared" si="3"/>
        <v>#DIV/0!</v>
      </c>
      <c r="S43" s="58"/>
      <c r="T43" s="63">
        <f t="shared" si="4"/>
        <v>683.5734424</v>
      </c>
      <c r="U43" s="63">
        <f t="shared" si="14"/>
        <v>8.369947792</v>
      </c>
      <c r="V43" s="59">
        <f t="shared" si="6"/>
        <v>1.022477687</v>
      </c>
      <c r="W43" s="58">
        <f t="shared" si="7"/>
        <v>1</v>
      </c>
      <c r="X43" s="58">
        <f t="shared" si="8"/>
        <v>38</v>
      </c>
      <c r="Y43" s="21">
        <f t="shared" si="9"/>
        <v>0.0705564</v>
      </c>
    </row>
    <row r="44">
      <c r="A44" s="58"/>
      <c r="B44" s="58">
        <v>39.0</v>
      </c>
      <c r="C44" s="64">
        <v>3.0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2.53890999999999E-4</v>
      </c>
      <c r="L44" s="60">
        <v>2.56149005719938E-6</v>
      </c>
      <c r="M44" s="59">
        <f t="shared" si="1"/>
        <v>253.891</v>
      </c>
      <c r="N44" s="59"/>
      <c r="O44" s="59">
        <v>243.18956154</v>
      </c>
      <c r="P44" s="59"/>
      <c r="Q44" s="61">
        <f t="shared" si="2"/>
        <v>-0.04214973536</v>
      </c>
      <c r="R44" s="62" t="str">
        <f t="shared" si="3"/>
        <v>#DIV/0!</v>
      </c>
      <c r="S44" s="58"/>
      <c r="T44" s="63">
        <f t="shared" si="4"/>
        <v>2459.778912</v>
      </c>
      <c r="U44" s="63">
        <f t="shared" si="14"/>
        <v>30.118521</v>
      </c>
      <c r="V44" s="59">
        <f t="shared" si="6"/>
        <v>1.044004514</v>
      </c>
      <c r="W44" s="58">
        <f t="shared" si="7"/>
        <v>1</v>
      </c>
      <c r="X44" s="58">
        <f t="shared" si="8"/>
        <v>39</v>
      </c>
      <c r="Y44" s="36">
        <f t="shared" si="9"/>
        <v>0.253891</v>
      </c>
    </row>
    <row r="45">
      <c r="A45" s="58"/>
      <c r="B45" s="58">
        <v>40.0</v>
      </c>
      <c r="C45" s="64">
        <v>3.0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6.94913E-4</v>
      </c>
      <c r="L45" s="60">
        <v>7.02009604527235E-6</v>
      </c>
      <c r="M45" s="59">
        <f t="shared" si="1"/>
        <v>694.913</v>
      </c>
      <c r="N45" s="59"/>
      <c r="O45" s="59">
        <v>642.535950015</v>
      </c>
      <c r="P45" s="59"/>
      <c r="Q45" s="61">
        <f t="shared" si="2"/>
        <v>-0.07537209692</v>
      </c>
      <c r="R45" s="62" t="str">
        <f t="shared" si="3"/>
        <v>#DIV/0!</v>
      </c>
      <c r="S45" s="58"/>
      <c r="T45" s="63">
        <f t="shared" si="4"/>
        <v>6732.544058</v>
      </c>
      <c r="U45" s="63">
        <f t="shared" si="14"/>
        <v>82.43597363</v>
      </c>
      <c r="V45" s="59">
        <f t="shared" si="6"/>
        <v>1.081516139</v>
      </c>
      <c r="W45" s="58">
        <f t="shared" si="7"/>
        <v>1</v>
      </c>
      <c r="X45" s="58">
        <f t="shared" si="8"/>
        <v>40</v>
      </c>
      <c r="Y45" s="36">
        <f t="shared" si="9"/>
        <v>0.694913</v>
      </c>
    </row>
    <row r="46">
      <c r="A46" s="58"/>
      <c r="B46" s="58">
        <v>41.0</v>
      </c>
      <c r="C46" s="64">
        <v>3.0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0.00162603999999999</v>
      </c>
      <c r="L46" s="60">
        <v>1.4621086198233E-5</v>
      </c>
      <c r="M46" s="59">
        <f t="shared" si="1"/>
        <v>1626.04</v>
      </c>
      <c r="N46" s="59"/>
      <c r="O46" s="59">
        <v>1433.156054352</v>
      </c>
      <c r="P46" s="59"/>
      <c r="Q46" s="61">
        <f t="shared" si="2"/>
        <v>-0.1186218947</v>
      </c>
      <c r="R46" s="62" t="str">
        <f t="shared" si="3"/>
        <v>#DIV/0!</v>
      </c>
      <c r="S46" s="58"/>
      <c r="T46" s="63">
        <f t="shared" si="4"/>
        <v>15753.60648</v>
      </c>
      <c r="U46" s="63">
        <f t="shared" si="14"/>
        <v>192.8934853</v>
      </c>
      <c r="V46" s="59">
        <f t="shared" si="6"/>
        <v>1.134586841</v>
      </c>
      <c r="W46" s="58">
        <f t="shared" si="7"/>
        <v>0</v>
      </c>
      <c r="X46" s="58">
        <f t="shared" si="8"/>
        <v>41</v>
      </c>
      <c r="Y46" s="12">
        <f t="shared" si="9"/>
        <v>1.62604</v>
      </c>
    </row>
    <row r="47">
      <c r="A47" s="58"/>
      <c r="B47" s="58">
        <v>42.0</v>
      </c>
      <c r="C47" s="64">
        <v>3.0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0.00339516999999999</v>
      </c>
      <c r="L47" s="60">
        <v>3.08224157575507E-5</v>
      </c>
      <c r="M47" s="59">
        <f t="shared" si="1"/>
        <v>3395.17</v>
      </c>
      <c r="N47" s="59"/>
      <c r="O47" s="59">
        <v>2835.648988518</v>
      </c>
      <c r="P47" s="59"/>
      <c r="Q47" s="61">
        <f t="shared" si="2"/>
        <v>-0.1647991151</v>
      </c>
      <c r="R47" s="62" t="str">
        <f t="shared" si="3"/>
        <v>#DIV/0!</v>
      </c>
      <c r="S47" s="58"/>
      <c r="T47" s="63">
        <f t="shared" si="4"/>
        <v>32893.5156</v>
      </c>
      <c r="U47" s="63">
        <f t="shared" si="14"/>
        <v>402.761417</v>
      </c>
      <c r="V47" s="59">
        <f t="shared" si="6"/>
        <v>1.197316739</v>
      </c>
      <c r="W47" s="58">
        <f t="shared" si="7"/>
        <v>0</v>
      </c>
      <c r="X47" s="58">
        <f t="shared" si="8"/>
        <v>42</v>
      </c>
      <c r="Y47" s="12">
        <f t="shared" si="9"/>
        <v>3.39517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9">
        <v>4.0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1.56349999999999E-10</v>
      </c>
      <c r="L6" s="11">
        <v>1.60777781268106E-12</v>
      </c>
      <c r="M6" s="10">
        <f t="shared" ref="M6:M47" si="1">K6*1000000</f>
        <v>0.00015635</v>
      </c>
      <c r="N6" s="10"/>
      <c r="O6" s="10">
        <v>1.5442E-4</v>
      </c>
      <c r="P6" s="10"/>
      <c r="Q6" s="12">
        <f t="shared" ref="Q6:Q47" si="2">(O6-M6)/M6</f>
        <v>-0.01234409978</v>
      </c>
      <c r="R6" s="13" t="str">
        <f t="shared" ref="R6:R47" si="3">(O6-M6)/sqrt(N6*N6+P6*P6)</f>
        <v>#DIV/0!</v>
      </c>
      <c r="S6" s="8"/>
      <c r="T6" s="14">
        <f t="shared" ref="T6:T47" si="4">K6/$K$14</f>
        <v>0.004735898321</v>
      </c>
      <c r="U6" s="14">
        <f t="shared" ref="U6:U12" si="5">K6/$K$7</f>
        <v>0.07578658575</v>
      </c>
      <c r="V6" s="10">
        <f t="shared" ref="V6:V47" si="6">M6/O6</f>
        <v>1.012498381</v>
      </c>
      <c r="W6" s="15">
        <f t="shared" ref="W6:W47" si="7">IF(abs(1/V6-1)&lt;$W$5, 1, 0)</f>
        <v>1</v>
      </c>
      <c r="X6" s="8">
        <f t="shared" ref="X6:X47" si="8">B6</f>
        <v>1</v>
      </c>
      <c r="Y6" s="18">
        <f t="shared" ref="Y6:Y47" si="9">M6*0.001</f>
        <v>0.00000015635</v>
      </c>
    </row>
    <row r="7">
      <c r="A7" s="8"/>
      <c r="B7" s="8">
        <v>2.0</v>
      </c>
      <c r="C7" s="9">
        <v>4.0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2.06303E-9</v>
      </c>
      <c r="L7" s="11">
        <v>2.14105869215029E-11</v>
      </c>
      <c r="M7" s="10">
        <f t="shared" si="1"/>
        <v>0.00206303</v>
      </c>
      <c r="N7" s="10"/>
      <c r="O7" s="10">
        <v>0.002063125</v>
      </c>
      <c r="P7" s="10"/>
      <c r="Q7" s="12">
        <f t="shared" si="2"/>
        <v>0.00004604877292</v>
      </c>
      <c r="R7" s="13" t="str">
        <f t="shared" si="3"/>
        <v>#DIV/0!</v>
      </c>
      <c r="S7" s="8"/>
      <c r="T7" s="14">
        <f t="shared" si="4"/>
        <v>0.06248992845</v>
      </c>
      <c r="U7" s="14">
        <f t="shared" si="5"/>
        <v>1</v>
      </c>
      <c r="V7" s="10">
        <f t="shared" si="6"/>
        <v>0.9999539533</v>
      </c>
      <c r="W7" s="8">
        <f t="shared" si="7"/>
        <v>1</v>
      </c>
      <c r="X7" s="8">
        <f t="shared" si="8"/>
        <v>2</v>
      </c>
      <c r="Y7" s="16">
        <f t="shared" si="9"/>
        <v>0.00000206303</v>
      </c>
    </row>
    <row r="8">
      <c r="A8" s="8"/>
      <c r="B8" s="8">
        <v>3.0</v>
      </c>
      <c r="C8" s="9">
        <v>4.0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1.70977999999999E-8</v>
      </c>
      <c r="L8" s="11">
        <v>1.94990701669012E-10</v>
      </c>
      <c r="M8" s="10">
        <f t="shared" si="1"/>
        <v>0.0170978</v>
      </c>
      <c r="N8" s="10"/>
      <c r="O8" s="10">
        <v>0.017015773</v>
      </c>
      <c r="P8" s="10"/>
      <c r="Q8" s="12">
        <f t="shared" si="2"/>
        <v>-0.004797517809</v>
      </c>
      <c r="R8" s="13" t="str">
        <f t="shared" si="3"/>
        <v>#DIV/0!</v>
      </c>
      <c r="S8" s="8"/>
      <c r="T8" s="14">
        <f t="shared" si="4"/>
        <v>0.5178985757</v>
      </c>
      <c r="U8" s="14">
        <f t="shared" si="5"/>
        <v>8.287712733</v>
      </c>
      <c r="V8" s="10">
        <f t="shared" si="6"/>
        <v>1.004820645</v>
      </c>
      <c r="W8" s="8">
        <f t="shared" si="7"/>
        <v>1</v>
      </c>
      <c r="X8" s="8">
        <f t="shared" si="8"/>
        <v>3</v>
      </c>
      <c r="Y8" s="17">
        <f t="shared" si="9"/>
        <v>0.0000170978</v>
      </c>
    </row>
    <row r="9">
      <c r="A9" s="8"/>
      <c r="B9" s="8">
        <v>4.0</v>
      </c>
      <c r="C9" s="9">
        <v>4.0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6.03291E-8</v>
      </c>
      <c r="L9" s="11">
        <v>5.79154896326874E-10</v>
      </c>
      <c r="M9" s="10">
        <f t="shared" si="1"/>
        <v>0.0603291</v>
      </c>
      <c r="N9" s="10"/>
      <c r="O9" s="10">
        <v>0.059877979</v>
      </c>
      <c r="P9" s="10"/>
      <c r="Q9" s="12">
        <f t="shared" si="2"/>
        <v>-0.007477668323</v>
      </c>
      <c r="R9" s="13" t="str">
        <f t="shared" si="3"/>
        <v>#DIV/0!</v>
      </c>
      <c r="S9" s="8"/>
      <c r="T9" s="14">
        <f t="shared" si="4"/>
        <v>1.827390364</v>
      </c>
      <c r="U9" s="14">
        <f t="shared" si="5"/>
        <v>29.24295817</v>
      </c>
      <c r="V9" s="10">
        <f t="shared" si="6"/>
        <v>1.007534005</v>
      </c>
      <c r="W9" s="8">
        <f t="shared" si="7"/>
        <v>1</v>
      </c>
      <c r="X9" s="8">
        <f t="shared" si="8"/>
        <v>4</v>
      </c>
      <c r="Y9" s="17">
        <f t="shared" si="9"/>
        <v>0.0000603291</v>
      </c>
    </row>
    <row r="10">
      <c r="A10" s="8"/>
      <c r="B10" s="8">
        <v>5.0</v>
      </c>
      <c r="C10" s="9">
        <v>4.0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1.59472E-7</v>
      </c>
      <c r="L10" s="11">
        <v>1.5690233724946E-9</v>
      </c>
      <c r="M10" s="10">
        <f t="shared" si="1"/>
        <v>0.159472</v>
      </c>
      <c r="N10" s="10"/>
      <c r="O10" s="10">
        <v>0.158015306</v>
      </c>
      <c r="P10" s="10"/>
      <c r="Q10" s="12">
        <f t="shared" si="2"/>
        <v>-0.009134481288</v>
      </c>
      <c r="R10" s="13" t="str">
        <f t="shared" si="3"/>
        <v>#DIV/0!</v>
      </c>
      <c r="S10" s="8"/>
      <c r="T10" s="14">
        <f t="shared" si="4"/>
        <v>4.830464836</v>
      </c>
      <c r="U10" s="14">
        <f t="shared" si="5"/>
        <v>77.29989385</v>
      </c>
      <c r="V10" s="10">
        <f t="shared" si="6"/>
        <v>1.009218689</v>
      </c>
      <c r="W10" s="8">
        <f t="shared" si="7"/>
        <v>1</v>
      </c>
      <c r="X10" s="8">
        <f t="shared" si="8"/>
        <v>5</v>
      </c>
      <c r="Y10" s="19">
        <f t="shared" si="9"/>
        <v>0.000159472</v>
      </c>
    </row>
    <row r="11">
      <c r="A11" s="8"/>
      <c r="B11" s="8">
        <v>6.0</v>
      </c>
      <c r="C11" s="9">
        <v>4.0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3.55997E-7</v>
      </c>
      <c r="L11" s="11">
        <v>3.22604473720757E-9</v>
      </c>
      <c r="M11" s="10">
        <f t="shared" si="1"/>
        <v>0.355997</v>
      </c>
      <c r="N11" s="10"/>
      <c r="O11" s="10">
        <v>0.352153867</v>
      </c>
      <c r="P11" s="10"/>
      <c r="Q11" s="12">
        <f t="shared" si="2"/>
        <v>-0.01079540839</v>
      </c>
      <c r="R11" s="13" t="str">
        <f t="shared" si="3"/>
        <v>#DIV/0!</v>
      </c>
      <c r="S11" s="8"/>
      <c r="T11" s="14">
        <f t="shared" si="4"/>
        <v>10.78327851</v>
      </c>
      <c r="U11" s="14">
        <f t="shared" si="5"/>
        <v>172.5602633</v>
      </c>
      <c r="V11" s="10">
        <f t="shared" si="6"/>
        <v>1.010913221</v>
      </c>
      <c r="W11" s="8">
        <f t="shared" si="7"/>
        <v>1</v>
      </c>
      <c r="X11" s="8">
        <f t="shared" si="8"/>
        <v>6</v>
      </c>
      <c r="Y11" s="19">
        <f t="shared" si="9"/>
        <v>0.000355997</v>
      </c>
    </row>
    <row r="12">
      <c r="A12" s="8"/>
      <c r="B12" s="8">
        <v>7.0</v>
      </c>
      <c r="C12" s="9">
        <v>4.0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7.04219E-7</v>
      </c>
      <c r="L12" s="11">
        <v>6.26356620593745E-9</v>
      </c>
      <c r="M12" s="10">
        <f t="shared" si="1"/>
        <v>0.704219</v>
      </c>
      <c r="N12" s="10"/>
      <c r="O12" s="10">
        <v>0.696380322</v>
      </c>
      <c r="P12" s="10"/>
      <c r="Q12" s="12">
        <f t="shared" si="2"/>
        <v>-0.01113102316</v>
      </c>
      <c r="R12" s="13" t="str">
        <f t="shared" si="3"/>
        <v>#DIV/0!</v>
      </c>
      <c r="S12" s="8"/>
      <c r="T12" s="14">
        <f t="shared" si="4"/>
        <v>21.33104944</v>
      </c>
      <c r="U12" s="14">
        <f t="shared" si="5"/>
        <v>341.3517981</v>
      </c>
      <c r="V12" s="10">
        <f t="shared" si="6"/>
        <v>1.011256317</v>
      </c>
      <c r="W12" s="8">
        <f t="shared" si="7"/>
        <v>1</v>
      </c>
      <c r="X12" s="8">
        <f t="shared" si="8"/>
        <v>7</v>
      </c>
      <c r="Y12" s="19">
        <f t="shared" si="9"/>
        <v>0.000704219</v>
      </c>
    </row>
    <row r="13">
      <c r="A13" s="22"/>
      <c r="B13" s="22">
        <v>8.0</v>
      </c>
      <c r="C13" s="25">
        <v>4.0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2.47415999999999E-9</v>
      </c>
      <c r="L13" s="24">
        <v>2.49483182972036E-11</v>
      </c>
      <c r="M13" s="23">
        <f t="shared" si="1"/>
        <v>0.00247416</v>
      </c>
      <c r="N13" s="23"/>
      <c r="O13" s="23">
        <v>0.002470722</v>
      </c>
      <c r="P13" s="23"/>
      <c r="Q13" s="26">
        <f t="shared" si="2"/>
        <v>-0.001389562518</v>
      </c>
      <c r="R13" s="27" t="str">
        <f t="shared" si="3"/>
        <v>#DIV/0!</v>
      </c>
      <c r="S13" s="22"/>
      <c r="T13" s="28">
        <f t="shared" si="4"/>
        <v>0.07494320557</v>
      </c>
      <c r="U13" s="28">
        <f t="shared" ref="U13:U19" si="10">K13/$K$14</f>
        <v>0.07494320557</v>
      </c>
      <c r="V13" s="23">
        <f t="shared" si="6"/>
        <v>1.001391496</v>
      </c>
      <c r="W13" s="22">
        <f t="shared" si="7"/>
        <v>1</v>
      </c>
      <c r="X13" s="22">
        <f t="shared" si="8"/>
        <v>8</v>
      </c>
      <c r="Y13" s="16">
        <f t="shared" si="9"/>
        <v>0.00000247416</v>
      </c>
    </row>
    <row r="14">
      <c r="A14" s="29" t="s">
        <v>21</v>
      </c>
      <c r="B14" s="29">
        <v>9.0</v>
      </c>
      <c r="C14" s="33">
        <v>4.0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3.30137999999999E-8</v>
      </c>
      <c r="L14" s="31">
        <v>3.88638597666211E-10</v>
      </c>
      <c r="M14" s="30">
        <f t="shared" si="1"/>
        <v>0.0330138</v>
      </c>
      <c r="N14" s="30"/>
      <c r="O14" s="30">
        <v>0.03301</v>
      </c>
      <c r="P14" s="30"/>
      <c r="Q14" s="32">
        <f t="shared" si="2"/>
        <v>-0.000115103381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1.000115117</v>
      </c>
      <c r="W14" s="29">
        <f t="shared" si="7"/>
        <v>1</v>
      </c>
      <c r="X14" s="22">
        <f t="shared" si="8"/>
        <v>9</v>
      </c>
      <c r="Y14" s="17">
        <f t="shared" si="9"/>
        <v>0.0000330138</v>
      </c>
    </row>
    <row r="15">
      <c r="A15" s="22"/>
      <c r="B15" s="22">
        <v>10.0</v>
      </c>
      <c r="C15" s="25">
        <v>4.0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2.73421999999999E-7</v>
      </c>
      <c r="L15" s="24">
        <v>2.75642793294055E-9</v>
      </c>
      <c r="M15" s="23">
        <f t="shared" si="1"/>
        <v>0.273422</v>
      </c>
      <c r="N15" s="23"/>
      <c r="O15" s="23">
        <v>0.272252374</v>
      </c>
      <c r="P15" s="23"/>
      <c r="Q15" s="26">
        <f t="shared" si="2"/>
        <v>-0.004277731858</v>
      </c>
      <c r="R15" s="27" t="str">
        <f t="shared" si="3"/>
        <v>#DIV/0!</v>
      </c>
      <c r="S15" s="22"/>
      <c r="T15" s="28">
        <f t="shared" si="4"/>
        <v>8.282051748</v>
      </c>
      <c r="U15" s="28">
        <f t="shared" si="10"/>
        <v>8.282051748</v>
      </c>
      <c r="V15" s="23">
        <f t="shared" si="6"/>
        <v>1.004296109</v>
      </c>
      <c r="W15" s="22">
        <f t="shared" si="7"/>
        <v>1</v>
      </c>
      <c r="X15" s="22">
        <f t="shared" si="8"/>
        <v>10</v>
      </c>
      <c r="Y15" s="19">
        <f t="shared" si="9"/>
        <v>0.000273422</v>
      </c>
    </row>
    <row r="16">
      <c r="A16" s="22"/>
      <c r="B16" s="22">
        <v>11.0</v>
      </c>
      <c r="C16" s="25">
        <v>4.0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9.63931E-7</v>
      </c>
      <c r="L16" s="24">
        <v>1.03563545612334E-8</v>
      </c>
      <c r="M16" s="23">
        <f t="shared" si="1"/>
        <v>0.963931</v>
      </c>
      <c r="N16" s="23"/>
      <c r="O16" s="23">
        <v>0.958047657</v>
      </c>
      <c r="P16" s="23"/>
      <c r="Q16" s="26">
        <f t="shared" si="2"/>
        <v>-0.006103489773</v>
      </c>
      <c r="R16" s="27" t="str">
        <f t="shared" si="3"/>
        <v>#DIV/0!</v>
      </c>
      <c r="S16" s="22"/>
      <c r="T16" s="28">
        <f t="shared" si="4"/>
        <v>29.19782031</v>
      </c>
      <c r="U16" s="28">
        <f t="shared" si="10"/>
        <v>29.19782031</v>
      </c>
      <c r="V16" s="23">
        <f t="shared" si="6"/>
        <v>1.006140971</v>
      </c>
      <c r="W16" s="22">
        <f t="shared" si="7"/>
        <v>1</v>
      </c>
      <c r="X16" s="22">
        <f t="shared" si="8"/>
        <v>11</v>
      </c>
      <c r="Y16" s="19">
        <f t="shared" si="9"/>
        <v>0.000963931</v>
      </c>
    </row>
    <row r="17">
      <c r="A17" s="22"/>
      <c r="B17" s="22">
        <v>12.0</v>
      </c>
      <c r="C17" s="25">
        <v>4.0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2.55171E-6</v>
      </c>
      <c r="L17" s="24">
        <v>2.25309192717989E-8</v>
      </c>
      <c r="M17" s="23">
        <f t="shared" si="1"/>
        <v>2.55171</v>
      </c>
      <c r="N17" s="23"/>
      <c r="O17" s="23">
        <v>2.528244896</v>
      </c>
      <c r="P17" s="23"/>
      <c r="Q17" s="26">
        <f t="shared" si="2"/>
        <v>-0.00919583495</v>
      </c>
      <c r="R17" s="27" t="str">
        <f t="shared" si="3"/>
        <v>#DIV/0!</v>
      </c>
      <c r="S17" s="22"/>
      <c r="T17" s="28">
        <f t="shared" si="4"/>
        <v>77.29222325</v>
      </c>
      <c r="U17" s="28">
        <f t="shared" si="10"/>
        <v>77.29222325</v>
      </c>
      <c r="V17" s="23">
        <f t="shared" si="6"/>
        <v>1.009281183</v>
      </c>
      <c r="W17" s="22">
        <f t="shared" si="7"/>
        <v>1</v>
      </c>
      <c r="X17" s="22">
        <f t="shared" si="8"/>
        <v>12</v>
      </c>
      <c r="Y17" s="20">
        <f t="shared" si="9"/>
        <v>0.00255171</v>
      </c>
    </row>
    <row r="18">
      <c r="A18" s="22"/>
      <c r="B18" s="22">
        <v>13.0</v>
      </c>
      <c r="C18" s="25">
        <v>4.0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5.55621E-6</v>
      </c>
      <c r="L18" s="24">
        <v>5.58633424555229E-8</v>
      </c>
      <c r="M18" s="23">
        <f t="shared" si="1"/>
        <v>5.55621</v>
      </c>
      <c r="N18" s="23"/>
      <c r="O18" s="23">
        <v>5.634461884</v>
      </c>
      <c r="P18" s="23"/>
      <c r="Q18" s="26">
        <f t="shared" si="2"/>
        <v>0.01408368006</v>
      </c>
      <c r="R18" s="27" t="str">
        <f t="shared" si="3"/>
        <v>#DIV/0!</v>
      </c>
      <c r="S18" s="22"/>
      <c r="T18" s="28">
        <f t="shared" si="4"/>
        <v>168.2996202</v>
      </c>
      <c r="U18" s="28">
        <f t="shared" si="10"/>
        <v>168.2996202</v>
      </c>
      <c r="V18" s="23">
        <f t="shared" si="6"/>
        <v>0.9861119153</v>
      </c>
      <c r="W18" s="22">
        <f t="shared" si="7"/>
        <v>1</v>
      </c>
      <c r="X18" s="22">
        <f t="shared" si="8"/>
        <v>13</v>
      </c>
      <c r="Y18" s="20">
        <f t="shared" si="9"/>
        <v>0.00555621</v>
      </c>
    </row>
    <row r="19">
      <c r="A19" s="22"/>
      <c r="B19" s="22">
        <v>14.0</v>
      </c>
      <c r="C19" s="25">
        <v>4.0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1.08297999999999E-5</v>
      </c>
      <c r="L19" s="24">
        <v>1.17936637670617E-7</v>
      </c>
      <c r="M19" s="23">
        <f t="shared" si="1"/>
        <v>10.8298</v>
      </c>
      <c r="N19" s="23"/>
      <c r="O19" s="23">
        <v>11.142085156</v>
      </c>
      <c r="P19" s="23"/>
      <c r="Q19" s="26">
        <f t="shared" si="2"/>
        <v>0.02883572698</v>
      </c>
      <c r="R19" s="27" t="str">
        <f t="shared" si="3"/>
        <v>#DIV/0!</v>
      </c>
      <c r="S19" s="22"/>
      <c r="T19" s="28">
        <f t="shared" si="4"/>
        <v>328.0385778</v>
      </c>
      <c r="U19" s="28">
        <f t="shared" si="10"/>
        <v>328.0385778</v>
      </c>
      <c r="V19" s="23">
        <f t="shared" si="6"/>
        <v>0.9719724673</v>
      </c>
      <c r="W19" s="22">
        <f t="shared" si="7"/>
        <v>1</v>
      </c>
      <c r="X19" s="22">
        <f t="shared" si="8"/>
        <v>14</v>
      </c>
      <c r="Y19" s="21">
        <f t="shared" si="9"/>
        <v>0.0108298</v>
      </c>
    </row>
    <row r="20">
      <c r="A20" s="37"/>
      <c r="B20" s="37">
        <v>15.0</v>
      </c>
      <c r="C20" s="43">
        <v>4.0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1.24833999999999E-8</v>
      </c>
      <c r="L20" s="39">
        <v>1.28339984085831E-10</v>
      </c>
      <c r="M20" s="38">
        <f t="shared" si="1"/>
        <v>0.0124834</v>
      </c>
      <c r="N20" s="38"/>
      <c r="O20" s="38">
        <v>0.012508032</v>
      </c>
      <c r="P20" s="38"/>
      <c r="Q20" s="40">
        <f t="shared" si="2"/>
        <v>0.001973180384</v>
      </c>
      <c r="R20" s="41" t="str">
        <f t="shared" si="3"/>
        <v>#DIV/0!</v>
      </c>
      <c r="S20" s="37"/>
      <c r="T20" s="42">
        <f t="shared" si="4"/>
        <v>0.3781267228</v>
      </c>
      <c r="U20" s="42">
        <f t="shared" ref="U20:U26" si="11">K20/$K$21</f>
        <v>0.07478717222</v>
      </c>
      <c r="V20" s="38">
        <f t="shared" si="6"/>
        <v>0.9980307054</v>
      </c>
      <c r="W20" s="37">
        <f t="shared" si="7"/>
        <v>1</v>
      </c>
      <c r="X20" s="37">
        <f t="shared" si="8"/>
        <v>15</v>
      </c>
      <c r="Y20" s="17">
        <f t="shared" si="9"/>
        <v>0.0000124834</v>
      </c>
    </row>
    <row r="21">
      <c r="A21" s="37"/>
      <c r="B21" s="37">
        <v>16.0</v>
      </c>
      <c r="C21" s="43">
        <v>4.0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1.66918999999999E-7</v>
      </c>
      <c r="L21" s="39">
        <v>1.780517176031E-9</v>
      </c>
      <c r="M21" s="38">
        <f t="shared" si="1"/>
        <v>0.166919</v>
      </c>
      <c r="N21" s="38"/>
      <c r="O21" s="38">
        <v>0.167113125</v>
      </c>
      <c r="P21" s="38"/>
      <c r="Q21" s="40">
        <f t="shared" si="2"/>
        <v>0.001162989234</v>
      </c>
      <c r="R21" s="41" t="str">
        <f t="shared" si="3"/>
        <v>#DIV/0!</v>
      </c>
      <c r="S21" s="37"/>
      <c r="T21" s="42">
        <f t="shared" si="4"/>
        <v>5.056037172</v>
      </c>
      <c r="U21" s="42">
        <f t="shared" si="11"/>
        <v>1</v>
      </c>
      <c r="V21" s="38">
        <f t="shared" si="6"/>
        <v>0.9988383617</v>
      </c>
      <c r="W21" s="37">
        <f t="shared" si="7"/>
        <v>1</v>
      </c>
      <c r="X21" s="37">
        <f t="shared" si="8"/>
        <v>16</v>
      </c>
      <c r="Y21" s="19">
        <f t="shared" si="9"/>
        <v>0.000166919</v>
      </c>
    </row>
    <row r="22">
      <c r="A22" s="37"/>
      <c r="B22" s="37">
        <v>17.0</v>
      </c>
      <c r="C22" s="43">
        <v>4.0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1.37877999999999E-6</v>
      </c>
      <c r="L22" s="39">
        <v>1.43854443831607E-8</v>
      </c>
      <c r="M22" s="38">
        <f t="shared" si="1"/>
        <v>1.37878</v>
      </c>
      <c r="N22" s="38"/>
      <c r="O22" s="38">
        <v>1.378277645</v>
      </c>
      <c r="P22" s="38"/>
      <c r="Q22" s="40">
        <f t="shared" si="2"/>
        <v>-0.0003643474666</v>
      </c>
      <c r="R22" s="41" t="str">
        <f t="shared" si="3"/>
        <v>#DIV/0!</v>
      </c>
      <c r="S22" s="37"/>
      <c r="T22" s="42">
        <f t="shared" si="4"/>
        <v>41.76374728</v>
      </c>
      <c r="U22" s="42">
        <f t="shared" si="11"/>
        <v>8.260174096</v>
      </c>
      <c r="V22" s="38">
        <f t="shared" si="6"/>
        <v>1.00036448</v>
      </c>
      <c r="W22" s="37">
        <f t="shared" si="7"/>
        <v>1</v>
      </c>
      <c r="X22" s="37">
        <f t="shared" si="8"/>
        <v>17</v>
      </c>
      <c r="Y22" s="20">
        <f t="shared" si="9"/>
        <v>0.00137878</v>
      </c>
    </row>
    <row r="23">
      <c r="A23" s="37"/>
      <c r="B23" s="37">
        <v>18.0</v>
      </c>
      <c r="C23" s="43">
        <v>4.0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4.68014E-6</v>
      </c>
      <c r="L23" s="39">
        <v>4.81393222161918E-8</v>
      </c>
      <c r="M23" s="38">
        <f t="shared" si="1"/>
        <v>4.68014</v>
      </c>
      <c r="N23" s="38"/>
      <c r="O23" s="38">
        <v>4.850116276</v>
      </c>
      <c r="P23" s="38"/>
      <c r="Q23" s="40">
        <f t="shared" si="2"/>
        <v>0.03631863064</v>
      </c>
      <c r="R23" s="41" t="str">
        <f t="shared" si="3"/>
        <v>#DIV/0!</v>
      </c>
      <c r="S23" s="37"/>
      <c r="T23" s="42">
        <f t="shared" si="4"/>
        <v>141.7631415</v>
      </c>
      <c r="U23" s="42">
        <f t="shared" si="11"/>
        <v>28.03838988</v>
      </c>
      <c r="V23" s="38">
        <f t="shared" si="6"/>
        <v>0.9649541854</v>
      </c>
      <c r="W23" s="37">
        <f t="shared" si="7"/>
        <v>1</v>
      </c>
      <c r="X23" s="37">
        <f t="shared" si="8"/>
        <v>18</v>
      </c>
      <c r="Y23" s="20">
        <f t="shared" si="9"/>
        <v>0.00468014</v>
      </c>
    </row>
    <row r="24">
      <c r="A24" s="37"/>
      <c r="B24" s="37">
        <v>19.0</v>
      </c>
      <c r="C24" s="43">
        <v>4.0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1.30074E-5</v>
      </c>
      <c r="L24" s="39">
        <v>1.15379216656916E-7</v>
      </c>
      <c r="M24" s="38">
        <f t="shared" si="1"/>
        <v>13.0074</v>
      </c>
      <c r="N24" s="38"/>
      <c r="O24" s="38">
        <v>12.799239794</v>
      </c>
      <c r="P24" s="38"/>
      <c r="Q24" s="40">
        <f t="shared" si="2"/>
        <v>-0.01600321402</v>
      </c>
      <c r="R24" s="41" t="str">
        <f t="shared" si="3"/>
        <v>#DIV/0!</v>
      </c>
      <c r="S24" s="37"/>
      <c r="T24" s="42">
        <f t="shared" si="4"/>
        <v>393.9988732</v>
      </c>
      <c r="U24" s="42">
        <f t="shared" si="11"/>
        <v>77.9264194</v>
      </c>
      <c r="V24" s="38">
        <f t="shared" si="6"/>
        <v>1.016263482</v>
      </c>
      <c r="W24" s="37">
        <f t="shared" si="7"/>
        <v>1</v>
      </c>
      <c r="X24" s="37">
        <f t="shared" si="8"/>
        <v>19</v>
      </c>
      <c r="Y24" s="21">
        <f t="shared" si="9"/>
        <v>0.0130074</v>
      </c>
    </row>
    <row r="25">
      <c r="A25" s="37"/>
      <c r="B25" s="37">
        <v>20.0</v>
      </c>
      <c r="C25" s="43">
        <v>4.0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2.91175E-5</v>
      </c>
      <c r="L25" s="39">
        <v>2.69538981645072E-7</v>
      </c>
      <c r="M25" s="38">
        <f t="shared" si="1"/>
        <v>29.1175</v>
      </c>
      <c r="N25" s="38"/>
      <c r="O25" s="38">
        <v>28.524463234</v>
      </c>
      <c r="P25" s="38"/>
      <c r="Q25" s="40">
        <f t="shared" si="2"/>
        <v>-0.0203670221</v>
      </c>
      <c r="R25" s="41" t="str">
        <f t="shared" si="3"/>
        <v>#DIV/0!</v>
      </c>
      <c r="S25" s="37"/>
      <c r="T25" s="42">
        <f t="shared" si="4"/>
        <v>881.979657</v>
      </c>
      <c r="U25" s="42">
        <f t="shared" si="11"/>
        <v>174.4408965</v>
      </c>
      <c r="V25" s="38">
        <f t="shared" si="6"/>
        <v>1.020790462</v>
      </c>
      <c r="W25" s="37">
        <f t="shared" si="7"/>
        <v>1</v>
      </c>
      <c r="X25" s="37">
        <f t="shared" si="8"/>
        <v>20</v>
      </c>
      <c r="Y25" s="21">
        <f t="shared" si="9"/>
        <v>0.0291175</v>
      </c>
    </row>
    <row r="26">
      <c r="A26" s="37"/>
      <c r="B26" s="37">
        <v>21.0</v>
      </c>
      <c r="C26" s="43">
        <v>4.0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5.80189999999999E-5</v>
      </c>
      <c r="L26" s="39">
        <v>5.96168744330975E-7</v>
      </c>
      <c r="M26" s="38">
        <f t="shared" si="1"/>
        <v>58.019</v>
      </c>
      <c r="N26" s="38"/>
      <c r="O26" s="38">
        <v>56.406806107</v>
      </c>
      <c r="P26" s="38"/>
      <c r="Q26" s="40">
        <f t="shared" si="2"/>
        <v>-0.02778734368</v>
      </c>
      <c r="R26" s="41" t="str">
        <f t="shared" si="3"/>
        <v>#DIV/0!</v>
      </c>
      <c r="S26" s="37"/>
      <c r="T26" s="42">
        <f t="shared" si="4"/>
        <v>1757.416595</v>
      </c>
      <c r="U26" s="42">
        <f t="shared" si="11"/>
        <v>347.5877521</v>
      </c>
      <c r="V26" s="38">
        <f t="shared" si="6"/>
        <v>1.028581549</v>
      </c>
      <c r="W26" s="37">
        <f t="shared" si="7"/>
        <v>1</v>
      </c>
      <c r="X26" s="37">
        <f t="shared" si="8"/>
        <v>21</v>
      </c>
      <c r="Y26" s="21">
        <f t="shared" si="9"/>
        <v>0.058019</v>
      </c>
    </row>
    <row r="27">
      <c r="A27" s="44"/>
      <c r="B27" s="44">
        <v>22.0</v>
      </c>
      <c r="C27" s="50">
        <v>4.0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3.85585999999999E-8</v>
      </c>
      <c r="L27" s="46">
        <v>3.4922141394765E-10</v>
      </c>
      <c r="M27" s="45">
        <f t="shared" si="1"/>
        <v>0.0385586</v>
      </c>
      <c r="N27" s="45"/>
      <c r="O27" s="45">
        <v>0.039531558</v>
      </c>
      <c r="P27" s="45"/>
      <c r="Q27" s="47">
        <f t="shared" si="2"/>
        <v>0.02523322942</v>
      </c>
      <c r="R27" s="48" t="str">
        <f t="shared" si="3"/>
        <v>#DIV/0!</v>
      </c>
      <c r="S27" s="44"/>
      <c r="T27" s="49">
        <f t="shared" si="4"/>
        <v>1.167954007</v>
      </c>
      <c r="U27" s="49">
        <f t="shared" ref="U27:U33" si="12">K27/$K$28</f>
        <v>0.07614392831</v>
      </c>
      <c r="V27" s="45">
        <f t="shared" si="6"/>
        <v>0.9753878155</v>
      </c>
      <c r="W27" s="44">
        <f t="shared" si="7"/>
        <v>1</v>
      </c>
      <c r="X27" s="44">
        <f t="shared" si="8"/>
        <v>22</v>
      </c>
      <c r="Y27" s="17">
        <f t="shared" si="9"/>
        <v>0.0000385586</v>
      </c>
    </row>
    <row r="28">
      <c r="A28" s="44"/>
      <c r="B28" s="44">
        <v>23.0</v>
      </c>
      <c r="C28" s="50">
        <v>4.0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5.06390999999999E-7</v>
      </c>
      <c r="L28" s="46">
        <v>4.95757954545309E-9</v>
      </c>
      <c r="M28" s="45">
        <f t="shared" si="1"/>
        <v>0.506391</v>
      </c>
      <c r="N28" s="45"/>
      <c r="O28" s="45">
        <v>0.52816</v>
      </c>
      <c r="P28" s="45"/>
      <c r="Q28" s="47">
        <f t="shared" si="2"/>
        <v>0.04298852073</v>
      </c>
      <c r="R28" s="48" t="str">
        <f t="shared" si="3"/>
        <v>#DIV/0!</v>
      </c>
      <c r="S28" s="44"/>
      <c r="T28" s="49">
        <f t="shared" si="4"/>
        <v>15.33876742</v>
      </c>
      <c r="U28" s="49">
        <f t="shared" si="12"/>
        <v>1</v>
      </c>
      <c r="V28" s="45">
        <f t="shared" si="6"/>
        <v>0.9587833232</v>
      </c>
      <c r="W28" s="44">
        <f t="shared" si="7"/>
        <v>1</v>
      </c>
      <c r="X28" s="44">
        <f t="shared" si="8"/>
        <v>23</v>
      </c>
      <c r="Y28" s="19">
        <f t="shared" si="9"/>
        <v>0.000506391</v>
      </c>
    </row>
    <row r="29">
      <c r="A29" s="44"/>
      <c r="B29" s="44">
        <v>24.0</v>
      </c>
      <c r="C29" s="50">
        <v>4.0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4.19604999999999E-6</v>
      </c>
      <c r="L29" s="46">
        <v>4.34470245171512E-8</v>
      </c>
      <c r="M29" s="45">
        <f t="shared" si="1"/>
        <v>4.19605</v>
      </c>
      <c r="N29" s="45"/>
      <c r="O29" s="45">
        <v>4.356037989</v>
      </c>
      <c r="P29" s="45"/>
      <c r="Q29" s="47">
        <f t="shared" si="2"/>
        <v>0.03812823703</v>
      </c>
      <c r="R29" s="48" t="str">
        <f t="shared" si="3"/>
        <v>#DIV/0!</v>
      </c>
      <c r="S29" s="44"/>
      <c r="T29" s="49">
        <f t="shared" si="4"/>
        <v>127.0998794</v>
      </c>
      <c r="U29" s="49">
        <f t="shared" si="12"/>
        <v>8.286185971</v>
      </c>
      <c r="V29" s="45">
        <f t="shared" si="6"/>
        <v>0.9632721318</v>
      </c>
      <c r="W29" s="44">
        <f t="shared" si="7"/>
        <v>1</v>
      </c>
      <c r="X29" s="44">
        <f t="shared" si="8"/>
        <v>24</v>
      </c>
      <c r="Y29" s="20">
        <f t="shared" si="9"/>
        <v>0.00419605</v>
      </c>
    </row>
    <row r="30">
      <c r="A30" s="44"/>
      <c r="B30" s="44">
        <v>25.0</v>
      </c>
      <c r="C30" s="50">
        <v>4.0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1.55593E-5</v>
      </c>
      <c r="L30" s="46">
        <v>1.47348655448993E-7</v>
      </c>
      <c r="M30" s="45">
        <f t="shared" si="1"/>
        <v>15.5593</v>
      </c>
      <c r="N30" s="45"/>
      <c r="O30" s="45">
        <v>15.328762536</v>
      </c>
      <c r="P30" s="45"/>
      <c r="Q30" s="47">
        <f t="shared" si="2"/>
        <v>-0.01481669895</v>
      </c>
      <c r="R30" s="48" t="str">
        <f t="shared" si="3"/>
        <v>#DIV/0!</v>
      </c>
      <c r="S30" s="44"/>
      <c r="T30" s="49">
        <f t="shared" si="4"/>
        <v>471.2968516</v>
      </c>
      <c r="U30" s="49">
        <f t="shared" si="12"/>
        <v>30.72586203</v>
      </c>
      <c r="V30" s="45">
        <f t="shared" si="6"/>
        <v>1.015039535</v>
      </c>
      <c r="W30" s="44">
        <f t="shared" si="7"/>
        <v>1</v>
      </c>
      <c r="X30" s="44">
        <f t="shared" si="8"/>
        <v>25</v>
      </c>
      <c r="Y30" s="21">
        <f t="shared" si="9"/>
        <v>0.0155593</v>
      </c>
    </row>
    <row r="31">
      <c r="A31" s="44"/>
      <c r="B31" s="44">
        <v>26.0</v>
      </c>
      <c r="C31" s="50">
        <v>4.0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4.13517999999999E-5</v>
      </c>
      <c r="L31" s="46">
        <v>4.41963890841865E-7</v>
      </c>
      <c r="M31" s="45">
        <f t="shared" si="1"/>
        <v>41.3518</v>
      </c>
      <c r="N31" s="45"/>
      <c r="O31" s="45">
        <v>40.451918286</v>
      </c>
      <c r="P31" s="45"/>
      <c r="Q31" s="47">
        <f t="shared" si="2"/>
        <v>-0.02176160926</v>
      </c>
      <c r="R31" s="48" t="str">
        <f t="shared" si="3"/>
        <v>#DIV/0!</v>
      </c>
      <c r="S31" s="44"/>
      <c r="T31" s="49">
        <f t="shared" si="4"/>
        <v>1252.56105</v>
      </c>
      <c r="U31" s="49">
        <f t="shared" si="12"/>
        <v>81.65982413</v>
      </c>
      <c r="V31" s="45">
        <f t="shared" si="6"/>
        <v>1.022245712</v>
      </c>
      <c r="W31" s="44">
        <f t="shared" si="7"/>
        <v>1</v>
      </c>
      <c r="X31" s="44">
        <f t="shared" si="8"/>
        <v>26</v>
      </c>
      <c r="Y31" s="21">
        <f t="shared" si="9"/>
        <v>0.0413518</v>
      </c>
    </row>
    <row r="32">
      <c r="A32" s="44"/>
      <c r="B32" s="44">
        <v>27.0</v>
      </c>
      <c r="C32" s="50">
        <v>4.0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9.40328E-5</v>
      </c>
      <c r="L32" s="46">
        <v>9.12511331049061E-7</v>
      </c>
      <c r="M32" s="45">
        <f t="shared" si="1"/>
        <v>94.0328</v>
      </c>
      <c r="N32" s="45"/>
      <c r="O32" s="45">
        <v>90.151390095</v>
      </c>
      <c r="P32" s="45"/>
      <c r="Q32" s="47">
        <f t="shared" si="2"/>
        <v>-0.04127719163</v>
      </c>
      <c r="R32" s="48" t="str">
        <f t="shared" si="3"/>
        <v>#DIV/0!</v>
      </c>
      <c r="S32" s="44"/>
      <c r="T32" s="49">
        <f t="shared" si="4"/>
        <v>2848.287686</v>
      </c>
      <c r="U32" s="49">
        <f t="shared" si="12"/>
        <v>185.6920838</v>
      </c>
      <c r="V32" s="45">
        <f t="shared" si="6"/>
        <v>1.043054354</v>
      </c>
      <c r="W32" s="44">
        <f t="shared" si="7"/>
        <v>1</v>
      </c>
      <c r="X32" s="44">
        <f t="shared" si="8"/>
        <v>27</v>
      </c>
      <c r="Y32" s="21">
        <f t="shared" si="9"/>
        <v>0.0940328</v>
      </c>
    </row>
    <row r="33">
      <c r="A33" s="44"/>
      <c r="B33" s="44">
        <v>28.0</v>
      </c>
      <c r="C33" s="50">
        <v>4.0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1.90171999999999E-4</v>
      </c>
      <c r="L33" s="46">
        <v>1.96150220726128E-6</v>
      </c>
      <c r="M33" s="45">
        <f t="shared" si="1"/>
        <v>190.172</v>
      </c>
      <c r="N33" s="45"/>
      <c r="O33" s="45">
        <v>178.273362515</v>
      </c>
      <c r="P33" s="45"/>
      <c r="Q33" s="47">
        <f t="shared" si="2"/>
        <v>-0.06256776752</v>
      </c>
      <c r="R33" s="48" t="str">
        <f t="shared" si="3"/>
        <v>#DIV/0!</v>
      </c>
      <c r="S33" s="44"/>
      <c r="T33" s="49">
        <f t="shared" si="4"/>
        <v>5760.378993</v>
      </c>
      <c r="U33" s="49">
        <f t="shared" si="12"/>
        <v>375.5437992</v>
      </c>
      <c r="V33" s="45">
        <f t="shared" si="6"/>
        <v>1.066743777</v>
      </c>
      <c r="W33" s="44">
        <f t="shared" si="7"/>
        <v>1</v>
      </c>
      <c r="X33" s="44">
        <f t="shared" si="8"/>
        <v>28</v>
      </c>
      <c r="Y33" s="36">
        <f t="shared" si="9"/>
        <v>0.190172</v>
      </c>
    </row>
    <row r="34">
      <c r="A34" s="51"/>
      <c r="B34" s="51">
        <v>29.0</v>
      </c>
      <c r="C34" s="57">
        <v>4.0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9.61121E-8</v>
      </c>
      <c r="L34" s="53">
        <v>9.84191505344319E-10</v>
      </c>
      <c r="M34" s="52">
        <f t="shared" si="1"/>
        <v>0.0961121</v>
      </c>
      <c r="N34" s="52"/>
      <c r="O34" s="52">
        <v>0.096512593</v>
      </c>
      <c r="P34" s="52"/>
      <c r="Q34" s="54">
        <f t="shared" si="2"/>
        <v>0.004166936317</v>
      </c>
      <c r="R34" s="55" t="str">
        <f t="shared" si="3"/>
        <v>#DIV/0!</v>
      </c>
      <c r="S34" s="51"/>
      <c r="T34" s="56">
        <f t="shared" si="4"/>
        <v>2.911270438</v>
      </c>
      <c r="U34" s="56">
        <f t="shared" ref="U34:U40" si="13">K34/$K$35</f>
        <v>0.07414054846</v>
      </c>
      <c r="V34" s="52">
        <f t="shared" si="6"/>
        <v>0.995850355</v>
      </c>
      <c r="W34" s="51">
        <f t="shared" si="7"/>
        <v>1</v>
      </c>
      <c r="X34" s="51">
        <f t="shared" si="8"/>
        <v>29</v>
      </c>
      <c r="Y34" s="17">
        <f t="shared" si="9"/>
        <v>0.0000961121</v>
      </c>
    </row>
    <row r="35">
      <c r="A35" s="51"/>
      <c r="B35" s="51">
        <v>30.0</v>
      </c>
      <c r="C35" s="57">
        <v>4.0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1.29634999999999E-6</v>
      </c>
      <c r="L35" s="53">
        <v>1.26813113109668E-8</v>
      </c>
      <c r="M35" s="52">
        <f t="shared" si="1"/>
        <v>1.29635</v>
      </c>
      <c r="N35" s="52"/>
      <c r="O35" s="52">
        <v>1.289453125</v>
      </c>
      <c r="P35" s="52"/>
      <c r="Q35" s="54">
        <f t="shared" si="2"/>
        <v>-0.005320226019</v>
      </c>
      <c r="R35" s="55" t="str">
        <f t="shared" si="3"/>
        <v>#DIV/0!</v>
      </c>
      <c r="S35" s="51"/>
      <c r="T35" s="56">
        <f t="shared" si="4"/>
        <v>39.26691262</v>
      </c>
      <c r="U35" s="56">
        <f t="shared" si="13"/>
        <v>1</v>
      </c>
      <c r="V35" s="52">
        <f t="shared" si="6"/>
        <v>1.005348682</v>
      </c>
      <c r="W35" s="51">
        <f t="shared" si="7"/>
        <v>1</v>
      </c>
      <c r="X35" s="51">
        <f t="shared" si="8"/>
        <v>30</v>
      </c>
      <c r="Y35" s="20">
        <f t="shared" si="9"/>
        <v>0.00129635</v>
      </c>
    </row>
    <row r="36">
      <c r="A36" s="51"/>
      <c r="B36" s="51">
        <v>31.0</v>
      </c>
      <c r="C36" s="57">
        <v>4.0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1.07808E-5</v>
      </c>
      <c r="L36" s="53">
        <v>1.05826998140141E-7</v>
      </c>
      <c r="M36" s="52">
        <f t="shared" si="1"/>
        <v>10.7808</v>
      </c>
      <c r="N36" s="52"/>
      <c r="O36" s="52">
        <v>10.634858381</v>
      </c>
      <c r="P36" s="52"/>
      <c r="Q36" s="54">
        <f t="shared" si="2"/>
        <v>-0.01353717897</v>
      </c>
      <c r="R36" s="55" t="str">
        <f t="shared" si="3"/>
        <v>#DIV/0!</v>
      </c>
      <c r="S36" s="51"/>
      <c r="T36" s="56">
        <f t="shared" si="4"/>
        <v>326.55435</v>
      </c>
      <c r="U36" s="56">
        <f t="shared" si="13"/>
        <v>8.316272612</v>
      </c>
      <c r="V36" s="52">
        <f t="shared" si="6"/>
        <v>1.013722949</v>
      </c>
      <c r="W36" s="51">
        <f t="shared" si="7"/>
        <v>1</v>
      </c>
      <c r="X36" s="51">
        <f t="shared" si="8"/>
        <v>31</v>
      </c>
      <c r="Y36" s="21">
        <f t="shared" si="9"/>
        <v>0.0107808</v>
      </c>
    </row>
    <row r="37">
      <c r="A37" s="51"/>
      <c r="B37" s="51">
        <v>32.0</v>
      </c>
      <c r="C37" s="57">
        <v>4.0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3.84425999999999E-5</v>
      </c>
      <c r="L37" s="53">
        <v>3.65771966275617E-7</v>
      </c>
      <c r="M37" s="52">
        <f t="shared" si="1"/>
        <v>38.4426</v>
      </c>
      <c r="N37" s="52"/>
      <c r="O37" s="52">
        <v>37.423736655</v>
      </c>
      <c r="P37" s="52"/>
      <c r="Q37" s="54">
        <f t="shared" si="2"/>
        <v>-0.02650349729</v>
      </c>
      <c r="R37" s="55" t="str">
        <f t="shared" si="3"/>
        <v>#DIV/0!</v>
      </c>
      <c r="S37" s="51"/>
      <c r="T37" s="56">
        <f t="shared" si="4"/>
        <v>1164.440325</v>
      </c>
      <c r="U37" s="56">
        <f t="shared" si="13"/>
        <v>29.65449146</v>
      </c>
      <c r="V37" s="52">
        <f t="shared" si="6"/>
        <v>1.027225057</v>
      </c>
      <c r="W37" s="51">
        <f t="shared" si="7"/>
        <v>1</v>
      </c>
      <c r="X37" s="51">
        <f t="shared" si="8"/>
        <v>32</v>
      </c>
      <c r="Y37" s="21">
        <f t="shared" si="9"/>
        <v>0.0384426</v>
      </c>
    </row>
    <row r="38">
      <c r="A38" s="51"/>
      <c r="B38" s="51">
        <v>33.0</v>
      </c>
      <c r="C38" s="57">
        <v>4.0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1.03662999999999E-4</v>
      </c>
      <c r="L38" s="53">
        <v>9.29826202941586E-7</v>
      </c>
      <c r="M38" s="52">
        <f t="shared" si="1"/>
        <v>103.663</v>
      </c>
      <c r="N38" s="52"/>
      <c r="O38" s="52">
        <v>98.759566249</v>
      </c>
      <c r="P38" s="52"/>
      <c r="Q38" s="54">
        <f t="shared" si="2"/>
        <v>-0.04730167708</v>
      </c>
      <c r="R38" s="55" t="str">
        <f t="shared" si="3"/>
        <v>#DIV/0!</v>
      </c>
      <c r="S38" s="51"/>
      <c r="T38" s="56">
        <f t="shared" si="4"/>
        <v>3139.989944</v>
      </c>
      <c r="U38" s="56">
        <f t="shared" si="13"/>
        <v>79.96528715</v>
      </c>
      <c r="V38" s="52">
        <f t="shared" si="6"/>
        <v>1.049650216</v>
      </c>
      <c r="W38" s="51">
        <f t="shared" si="7"/>
        <v>1</v>
      </c>
      <c r="X38" s="51">
        <f t="shared" si="8"/>
        <v>33</v>
      </c>
      <c r="Y38" s="36">
        <f t="shared" si="9"/>
        <v>0.103663</v>
      </c>
    </row>
    <row r="39">
      <c r="A39" s="51"/>
      <c r="B39" s="51">
        <v>34.0</v>
      </c>
      <c r="C39" s="57">
        <v>4.0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2.37956E-4</v>
      </c>
      <c r="L39" s="53">
        <v>2.36862147182019E-6</v>
      </c>
      <c r="M39" s="52">
        <f t="shared" si="1"/>
        <v>237.956</v>
      </c>
      <c r="N39" s="52"/>
      <c r="O39" s="52">
        <v>220.096166831</v>
      </c>
      <c r="P39" s="52"/>
      <c r="Q39" s="54">
        <f t="shared" si="2"/>
        <v>-0.07505519159</v>
      </c>
      <c r="R39" s="55" t="str">
        <f t="shared" si="3"/>
        <v>#DIV/0!</v>
      </c>
      <c r="S39" s="51"/>
      <c r="T39" s="56">
        <f t="shared" si="4"/>
        <v>7207.773719</v>
      </c>
      <c r="U39" s="56">
        <f t="shared" si="13"/>
        <v>183.5584526</v>
      </c>
      <c r="V39" s="52">
        <f t="shared" si="6"/>
        <v>1.081145589</v>
      </c>
      <c r="W39" s="51">
        <f t="shared" si="7"/>
        <v>1</v>
      </c>
      <c r="X39" s="51">
        <f t="shared" si="8"/>
        <v>34</v>
      </c>
      <c r="Y39" s="36">
        <f t="shared" si="9"/>
        <v>0.237956</v>
      </c>
    </row>
    <row r="40">
      <c r="A40" s="51"/>
      <c r="B40" s="51">
        <v>35.0</v>
      </c>
      <c r="C40" s="57">
        <v>4.0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4.90709999999999E-4</v>
      </c>
      <c r="L40" s="53">
        <v>3.92982637702168E-6</v>
      </c>
      <c r="M40" s="52">
        <f t="shared" si="1"/>
        <v>490.71</v>
      </c>
      <c r="N40" s="52"/>
      <c r="O40" s="52">
        <v>435.237702098</v>
      </c>
      <c r="P40" s="52"/>
      <c r="Q40" s="54">
        <f t="shared" si="2"/>
        <v>-0.1130449714</v>
      </c>
      <c r="R40" s="55" t="str">
        <f t="shared" si="3"/>
        <v>#DIV/0!</v>
      </c>
      <c r="S40" s="51"/>
      <c r="T40" s="56">
        <f t="shared" si="4"/>
        <v>14863.78424</v>
      </c>
      <c r="U40" s="56">
        <f t="shared" si="13"/>
        <v>378.5320322</v>
      </c>
      <c r="V40" s="52">
        <f t="shared" si="6"/>
        <v>1.127452878</v>
      </c>
      <c r="W40" s="51">
        <f t="shared" si="7"/>
        <v>0</v>
      </c>
      <c r="X40" s="51">
        <f t="shared" si="8"/>
        <v>35</v>
      </c>
      <c r="Y40" s="36">
        <f t="shared" si="9"/>
        <v>0.49071</v>
      </c>
    </row>
    <row r="41">
      <c r="A41" s="58"/>
      <c r="B41" s="58">
        <v>36.0</v>
      </c>
      <c r="C41" s="64">
        <v>4.0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1.98990909090909E-7</v>
      </c>
      <c r="L41" s="60">
        <v>1.97964596448769E-9</v>
      </c>
      <c r="M41" s="59">
        <f t="shared" si="1"/>
        <v>0.1989909091</v>
      </c>
      <c r="N41" s="59"/>
      <c r="O41" s="59">
        <v>0.200128513</v>
      </c>
      <c r="P41" s="59"/>
      <c r="Q41" s="61">
        <f t="shared" si="2"/>
        <v>0.005716863722</v>
      </c>
      <c r="R41" s="62" t="str">
        <f t="shared" si="3"/>
        <v>#DIV/0!</v>
      </c>
      <c r="S41" s="58"/>
      <c r="T41" s="63">
        <f t="shared" si="4"/>
        <v>6.027506954</v>
      </c>
      <c r="U41" s="63">
        <f t="shared" ref="U41:U47" si="14">K41/$K$42</f>
        <v>0.07361036847</v>
      </c>
      <c r="V41" s="59">
        <f t="shared" si="6"/>
        <v>0.994315633</v>
      </c>
      <c r="W41" s="58">
        <f t="shared" si="7"/>
        <v>1</v>
      </c>
      <c r="X41" s="58">
        <f t="shared" si="8"/>
        <v>36</v>
      </c>
      <c r="Y41" s="19">
        <f t="shared" si="9"/>
        <v>0.0001989909091</v>
      </c>
    </row>
    <row r="42">
      <c r="A42" s="58"/>
      <c r="B42" s="58">
        <v>37.0</v>
      </c>
      <c r="C42" s="64">
        <v>4.0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2.70329999999999E-6</v>
      </c>
      <c r="L42" s="60">
        <v>2.92075471082528E-8</v>
      </c>
      <c r="M42" s="59">
        <f t="shared" si="1"/>
        <v>2.7033</v>
      </c>
      <c r="N42" s="59"/>
      <c r="O42" s="59">
        <v>2.673809996</v>
      </c>
      <c r="P42" s="59"/>
      <c r="Q42" s="61">
        <f t="shared" si="2"/>
        <v>-0.01090889062</v>
      </c>
      <c r="R42" s="62" t="str">
        <f t="shared" si="3"/>
        <v>#DIV/0!</v>
      </c>
      <c r="S42" s="58"/>
      <c r="T42" s="63">
        <f t="shared" si="4"/>
        <v>81.88393944</v>
      </c>
      <c r="U42" s="63">
        <f t="shared" si="14"/>
        <v>1</v>
      </c>
      <c r="V42" s="59">
        <f t="shared" si="6"/>
        <v>1.011029207</v>
      </c>
      <c r="W42" s="58">
        <f t="shared" si="7"/>
        <v>1</v>
      </c>
      <c r="X42" s="58">
        <f t="shared" si="8"/>
        <v>37</v>
      </c>
      <c r="Y42" s="20">
        <f t="shared" si="9"/>
        <v>0.0027033</v>
      </c>
    </row>
    <row r="43">
      <c r="A43" s="58"/>
      <c r="B43" s="58">
        <v>38.0</v>
      </c>
      <c r="C43" s="64">
        <v>4.0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2.25784E-5</v>
      </c>
      <c r="L43" s="60">
        <v>2.32369089896642E-7</v>
      </c>
      <c r="M43" s="59">
        <f t="shared" si="1"/>
        <v>22.5784</v>
      </c>
      <c r="N43" s="59"/>
      <c r="O43" s="59">
        <v>22.052442314</v>
      </c>
      <c r="P43" s="59"/>
      <c r="Q43" s="61">
        <f t="shared" si="2"/>
        <v>-0.02329472797</v>
      </c>
      <c r="R43" s="62" t="str">
        <f t="shared" si="3"/>
        <v>#DIV/0!</v>
      </c>
      <c r="S43" s="58"/>
      <c r="T43" s="63">
        <f t="shared" si="4"/>
        <v>683.9079415</v>
      </c>
      <c r="U43" s="63">
        <f t="shared" si="14"/>
        <v>8.352162172</v>
      </c>
      <c r="V43" s="59">
        <f t="shared" si="6"/>
        <v>1.023850315</v>
      </c>
      <c r="W43" s="58">
        <f t="shared" si="7"/>
        <v>1</v>
      </c>
      <c r="X43" s="58">
        <f t="shared" si="8"/>
        <v>38</v>
      </c>
      <c r="Y43" s="21">
        <f t="shared" si="9"/>
        <v>0.0225784</v>
      </c>
    </row>
    <row r="44">
      <c r="A44" s="58"/>
      <c r="B44" s="58">
        <v>39.0</v>
      </c>
      <c r="C44" s="64">
        <v>4.0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8.12085E-5</v>
      </c>
      <c r="L44" s="60">
        <v>8.06604524278074E-7</v>
      </c>
      <c r="M44" s="59">
        <f t="shared" si="1"/>
        <v>81.2085</v>
      </c>
      <c r="N44" s="59"/>
      <c r="O44" s="59">
        <v>77.601860374</v>
      </c>
      <c r="P44" s="59"/>
      <c r="Q44" s="61">
        <f t="shared" si="2"/>
        <v>-0.04441209511</v>
      </c>
      <c r="R44" s="62" t="str">
        <f t="shared" si="3"/>
        <v>#DIV/0!</v>
      </c>
      <c r="S44" s="58"/>
      <c r="T44" s="63">
        <f t="shared" si="4"/>
        <v>2459.834978</v>
      </c>
      <c r="U44" s="63">
        <f t="shared" si="14"/>
        <v>30.04050605</v>
      </c>
      <c r="V44" s="59">
        <f t="shared" si="6"/>
        <v>1.046476201</v>
      </c>
      <c r="W44" s="58">
        <f t="shared" si="7"/>
        <v>1</v>
      </c>
      <c r="X44" s="58">
        <f t="shared" si="8"/>
        <v>39</v>
      </c>
      <c r="Y44" s="21">
        <f t="shared" si="9"/>
        <v>0.0812085</v>
      </c>
    </row>
    <row r="45">
      <c r="A45" s="58"/>
      <c r="B45" s="58">
        <v>40.0</v>
      </c>
      <c r="C45" s="64">
        <v>4.0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2.21756999999999E-4</v>
      </c>
      <c r="L45" s="60">
        <v>2.19890950934844E-6</v>
      </c>
      <c r="M45" s="59">
        <f t="shared" si="1"/>
        <v>221.757</v>
      </c>
      <c r="N45" s="59"/>
      <c r="O45" s="59">
        <v>204.787836505</v>
      </c>
      <c r="P45" s="59"/>
      <c r="Q45" s="61">
        <f t="shared" si="2"/>
        <v>-0.07652143335</v>
      </c>
      <c r="R45" s="62" t="str">
        <f t="shared" si="3"/>
        <v>#DIV/0!</v>
      </c>
      <c r="S45" s="58"/>
      <c r="T45" s="63">
        <f t="shared" si="4"/>
        <v>6717.100122</v>
      </c>
      <c r="U45" s="63">
        <f t="shared" si="14"/>
        <v>82.03196094</v>
      </c>
      <c r="V45" s="59">
        <f t="shared" si="6"/>
        <v>1.082862165</v>
      </c>
      <c r="W45" s="58">
        <f t="shared" si="7"/>
        <v>1</v>
      </c>
      <c r="X45" s="58">
        <f t="shared" si="8"/>
        <v>40</v>
      </c>
      <c r="Y45" s="36">
        <f t="shared" si="9"/>
        <v>0.221757</v>
      </c>
    </row>
    <row r="46">
      <c r="A46" s="58"/>
      <c r="B46" s="58">
        <v>41.0</v>
      </c>
      <c r="C46" s="64">
        <v>4.0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5.19046999999999E-4</v>
      </c>
      <c r="L46" s="60">
        <v>5.39435647859703E-6</v>
      </c>
      <c r="M46" s="59">
        <f t="shared" si="1"/>
        <v>519.047</v>
      </c>
      <c r="N46" s="59"/>
      <c r="O46" s="59">
        <v>456.391412164</v>
      </c>
      <c r="P46" s="59"/>
      <c r="Q46" s="61">
        <f t="shared" si="2"/>
        <v>-0.1207127444</v>
      </c>
      <c r="R46" s="62" t="str">
        <f t="shared" si="3"/>
        <v>#DIV/0!</v>
      </c>
      <c r="S46" s="58"/>
      <c r="T46" s="63">
        <f t="shared" si="4"/>
        <v>15722.12226</v>
      </c>
      <c r="U46" s="63">
        <f t="shared" si="14"/>
        <v>192.0049569</v>
      </c>
      <c r="V46" s="59">
        <f t="shared" si="6"/>
        <v>1.137284765</v>
      </c>
      <c r="W46" s="58">
        <f t="shared" si="7"/>
        <v>0</v>
      </c>
      <c r="X46" s="58">
        <f t="shared" si="8"/>
        <v>41</v>
      </c>
      <c r="Y46" s="36">
        <f t="shared" si="9"/>
        <v>0.519047</v>
      </c>
    </row>
    <row r="47">
      <c r="A47" s="58"/>
      <c r="B47" s="58">
        <v>42.0</v>
      </c>
      <c r="C47" s="64">
        <v>4.0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0.00108578</v>
      </c>
      <c r="L47" s="60">
        <v>1.08409809836042E-5</v>
      </c>
      <c r="M47" s="59">
        <f t="shared" si="1"/>
        <v>1085.78</v>
      </c>
      <c r="N47" s="59"/>
      <c r="O47" s="59">
        <v>902.508898133</v>
      </c>
      <c r="P47" s="59"/>
      <c r="Q47" s="61">
        <f t="shared" si="2"/>
        <v>-0.1687921143</v>
      </c>
      <c r="R47" s="62" t="str">
        <f t="shared" si="3"/>
        <v>#DIV/0!</v>
      </c>
      <c r="S47" s="58"/>
      <c r="T47" s="63">
        <f t="shared" si="4"/>
        <v>32888.6708</v>
      </c>
      <c r="U47" s="63">
        <f t="shared" si="14"/>
        <v>401.6498354</v>
      </c>
      <c r="V47" s="59">
        <f t="shared" si="6"/>
        <v>1.203068471</v>
      </c>
      <c r="W47" s="58">
        <f t="shared" si="7"/>
        <v>0</v>
      </c>
      <c r="X47" s="58">
        <f t="shared" si="8"/>
        <v>42</v>
      </c>
      <c r="Y47" s="12">
        <f t="shared" si="9"/>
        <v>1.08578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/>
      <c r="W5" s="4">
        <v>0.1</v>
      </c>
      <c r="X5" s="4" t="s">
        <v>2</v>
      </c>
      <c r="Y5" s="4" t="s">
        <v>20</v>
      </c>
    </row>
    <row r="6">
      <c r="A6" s="8"/>
      <c r="B6" s="8">
        <v>1.0</v>
      </c>
      <c r="C6" s="9">
        <v>5.0</v>
      </c>
      <c r="D6" s="8">
        <v>1.0</v>
      </c>
      <c r="E6" s="8">
        <v>0.0</v>
      </c>
      <c r="F6" s="8">
        <v>0.0</v>
      </c>
      <c r="G6" s="8">
        <v>-1.0</v>
      </c>
      <c r="H6" s="8">
        <v>0.5</v>
      </c>
      <c r="I6" s="8">
        <v>0.0</v>
      </c>
      <c r="J6" s="8">
        <v>0.0</v>
      </c>
      <c r="K6" s="10">
        <v>6.37242424242424E-11</v>
      </c>
      <c r="L6" s="11">
        <v>6.43146111099674E-13</v>
      </c>
      <c r="M6" s="10">
        <f t="shared" ref="M6:M47" si="1">K6*1000000</f>
        <v>0.00006372424242</v>
      </c>
      <c r="N6" s="10"/>
      <c r="O6" s="10">
        <v>6.3563E-5</v>
      </c>
      <c r="P6" s="10"/>
      <c r="Q6" s="12">
        <f t="shared" ref="Q6:Q47" si="2">(O6-M6)/M6</f>
        <v>-0.002530315279</v>
      </c>
      <c r="R6" s="13" t="str">
        <f t="shared" ref="R6:R47" si="3">(O6-M6)/sqrt(N6*N6+P6*P6)</f>
        <v>#DIV/0!</v>
      </c>
      <c r="S6" s="8"/>
      <c r="T6" s="14">
        <f t="shared" ref="T6:T47" si="4">K6/$K$14</f>
        <v>0.004689709556</v>
      </c>
      <c r="U6" s="14">
        <f t="shared" ref="U6:U12" si="5">K6/$K$7</f>
        <v>0.07501753168</v>
      </c>
      <c r="V6" s="10">
        <f t="shared" ref="V6:V47" si="6">M6/O6</f>
        <v>1.002536734</v>
      </c>
      <c r="W6" s="15">
        <f t="shared" ref="W6:W47" si="7">IF(abs(1/V6-1)&lt;$W$5, 1, 0)</f>
        <v>1</v>
      </c>
      <c r="X6" s="8">
        <f t="shared" ref="X6:X47" si="8">B6</f>
        <v>1</v>
      </c>
      <c r="Y6" s="65">
        <f t="shared" ref="Y6:Y47" si="9">M6*0.001</f>
        <v>0.00000006372424242</v>
      </c>
    </row>
    <row r="7">
      <c r="A7" s="8"/>
      <c r="B7" s="8">
        <v>2.0</v>
      </c>
      <c r="C7" s="9">
        <v>5.0</v>
      </c>
      <c r="D7" s="8">
        <v>1.0</v>
      </c>
      <c r="E7" s="8">
        <v>0.0</v>
      </c>
      <c r="F7" s="8">
        <v>0.2</v>
      </c>
      <c r="G7" s="8">
        <v>-1.0</v>
      </c>
      <c r="H7" s="8">
        <v>0.5</v>
      </c>
      <c r="I7" s="8">
        <v>0.0</v>
      </c>
      <c r="J7" s="8">
        <v>0.0</v>
      </c>
      <c r="K7" s="10">
        <v>8.49458E-10</v>
      </c>
      <c r="L7" s="11">
        <v>8.42383798898378E-12</v>
      </c>
      <c r="M7" s="10">
        <f t="shared" si="1"/>
        <v>0.000849458</v>
      </c>
      <c r="N7" s="10"/>
      <c r="O7" s="10">
        <v>8.49375E-4</v>
      </c>
      <c r="P7" s="10"/>
      <c r="Q7" s="12">
        <f t="shared" si="2"/>
        <v>-0.00009770936291</v>
      </c>
      <c r="R7" s="13" t="str">
        <f t="shared" si="3"/>
        <v>#DIV/0!</v>
      </c>
      <c r="S7" s="8"/>
      <c r="T7" s="14">
        <f t="shared" si="4"/>
        <v>0.06251484755</v>
      </c>
      <c r="U7" s="14">
        <f t="shared" si="5"/>
        <v>1</v>
      </c>
      <c r="V7" s="10">
        <f t="shared" si="6"/>
        <v>1.000097719</v>
      </c>
      <c r="W7" s="8">
        <f t="shared" si="7"/>
        <v>1</v>
      </c>
      <c r="X7" s="8">
        <f t="shared" si="8"/>
        <v>2</v>
      </c>
      <c r="Y7" s="18">
        <f t="shared" si="9"/>
        <v>0.000000849458</v>
      </c>
    </row>
    <row r="8">
      <c r="A8" s="8"/>
      <c r="B8" s="8">
        <v>3.0</v>
      </c>
      <c r="C8" s="9">
        <v>5.0</v>
      </c>
      <c r="D8" s="8">
        <v>1.0</v>
      </c>
      <c r="E8" s="8">
        <v>0.0</v>
      </c>
      <c r="F8" s="8">
        <v>0.6</v>
      </c>
      <c r="G8" s="8">
        <v>-1.0</v>
      </c>
      <c r="H8" s="8">
        <v>0.5</v>
      </c>
      <c r="I8" s="8">
        <v>0.0</v>
      </c>
      <c r="J8" s="8">
        <v>0.0</v>
      </c>
      <c r="K8" s="10">
        <v>7.02635999999999E-9</v>
      </c>
      <c r="L8" s="11">
        <v>7.09355262818913E-11</v>
      </c>
      <c r="M8" s="10">
        <f t="shared" si="1"/>
        <v>0.00702636</v>
      </c>
      <c r="N8" s="10"/>
      <c r="O8" s="10">
        <v>0.007007857</v>
      </c>
      <c r="P8" s="10"/>
      <c r="Q8" s="12">
        <f t="shared" si="2"/>
        <v>-0.002633369198</v>
      </c>
      <c r="R8" s="13" t="str">
        <f t="shared" si="3"/>
        <v>#DIV/0!</v>
      </c>
      <c r="S8" s="8"/>
      <c r="T8" s="14">
        <f t="shared" si="4"/>
        <v>0.5170965772</v>
      </c>
      <c r="U8" s="14">
        <f t="shared" si="5"/>
        <v>8.271580231</v>
      </c>
      <c r="V8" s="10">
        <f t="shared" si="6"/>
        <v>1.002640322</v>
      </c>
      <c r="W8" s="8">
        <f t="shared" si="7"/>
        <v>1</v>
      </c>
      <c r="X8" s="8">
        <f t="shared" si="8"/>
        <v>3</v>
      </c>
      <c r="Y8" s="16">
        <f t="shared" si="9"/>
        <v>0.00000702636</v>
      </c>
    </row>
    <row r="9">
      <c r="A9" s="8"/>
      <c r="B9" s="8">
        <v>4.0</v>
      </c>
      <c r="C9" s="9">
        <v>5.0</v>
      </c>
      <c r="D9" s="8">
        <v>1.0</v>
      </c>
      <c r="E9" s="8">
        <v>0.0</v>
      </c>
      <c r="F9" s="8">
        <v>1.0</v>
      </c>
      <c r="G9" s="8">
        <v>-1.0</v>
      </c>
      <c r="H9" s="8">
        <v>0.5</v>
      </c>
      <c r="I9" s="8">
        <v>0.0</v>
      </c>
      <c r="J9" s="8">
        <v>0.0</v>
      </c>
      <c r="K9" s="10">
        <v>2.48717999999999E-8</v>
      </c>
      <c r="L9" s="11">
        <v>2.19049277238218E-10</v>
      </c>
      <c r="M9" s="10">
        <f t="shared" si="1"/>
        <v>0.0248718</v>
      </c>
      <c r="N9" s="10"/>
      <c r="O9" s="10">
        <v>0.024660052</v>
      </c>
      <c r="P9" s="10"/>
      <c r="Q9" s="12">
        <f t="shared" si="2"/>
        <v>-0.008513577626</v>
      </c>
      <c r="R9" s="13" t="str">
        <f t="shared" si="3"/>
        <v>#DIV/0!</v>
      </c>
      <c r="S9" s="8"/>
      <c r="T9" s="14">
        <f t="shared" si="4"/>
        <v>1.830410433</v>
      </c>
      <c r="U9" s="14">
        <f t="shared" si="5"/>
        <v>29.27961123</v>
      </c>
      <c r="V9" s="10">
        <f t="shared" si="6"/>
        <v>1.008586681</v>
      </c>
      <c r="W9" s="8">
        <f t="shared" si="7"/>
        <v>1</v>
      </c>
      <c r="X9" s="8">
        <f t="shared" si="8"/>
        <v>4</v>
      </c>
      <c r="Y9" s="17">
        <f t="shared" si="9"/>
        <v>0.0000248718</v>
      </c>
    </row>
    <row r="10">
      <c r="A10" s="8"/>
      <c r="B10" s="8">
        <v>5.0</v>
      </c>
      <c r="C10" s="9">
        <v>5.0</v>
      </c>
      <c r="D10" s="8">
        <v>1.0</v>
      </c>
      <c r="E10" s="8">
        <v>0.0</v>
      </c>
      <c r="F10" s="8">
        <v>1.4</v>
      </c>
      <c r="G10" s="8">
        <v>-1.0</v>
      </c>
      <c r="H10" s="8">
        <v>0.5</v>
      </c>
      <c r="I10" s="8">
        <v>0.0</v>
      </c>
      <c r="J10" s="8">
        <v>0.0</v>
      </c>
      <c r="K10" s="10">
        <v>6.56769E-8</v>
      </c>
      <c r="L10" s="11">
        <v>6.51175619068072E-10</v>
      </c>
      <c r="M10" s="10">
        <f t="shared" si="1"/>
        <v>0.0656769</v>
      </c>
      <c r="N10" s="10"/>
      <c r="O10" s="10">
        <v>0.065072458</v>
      </c>
      <c r="P10" s="10"/>
      <c r="Q10" s="12">
        <f t="shared" si="2"/>
        <v>-0.009203266293</v>
      </c>
      <c r="R10" s="13" t="str">
        <f t="shared" si="3"/>
        <v>#DIV/0!</v>
      </c>
      <c r="S10" s="8"/>
      <c r="T10" s="14">
        <f t="shared" si="4"/>
        <v>4.83341306</v>
      </c>
      <c r="U10" s="14">
        <f t="shared" si="5"/>
        <v>77.31624165</v>
      </c>
      <c r="V10" s="10">
        <f t="shared" si="6"/>
        <v>1.009288753</v>
      </c>
      <c r="W10" s="8">
        <f t="shared" si="7"/>
        <v>1</v>
      </c>
      <c r="X10" s="8">
        <f t="shared" si="8"/>
        <v>5</v>
      </c>
      <c r="Y10" s="17">
        <f t="shared" si="9"/>
        <v>0.0000656769</v>
      </c>
    </row>
    <row r="11">
      <c r="A11" s="8"/>
      <c r="B11" s="8">
        <v>6.0</v>
      </c>
      <c r="C11" s="9">
        <v>5.0</v>
      </c>
      <c r="D11" s="8">
        <v>1.0</v>
      </c>
      <c r="E11" s="8">
        <v>0.0</v>
      </c>
      <c r="F11" s="8">
        <v>1.8</v>
      </c>
      <c r="G11" s="8">
        <v>-1.0</v>
      </c>
      <c r="H11" s="8">
        <v>0.5</v>
      </c>
      <c r="I11" s="8">
        <v>0.0</v>
      </c>
      <c r="J11" s="8">
        <v>0.0</v>
      </c>
      <c r="K11" s="10">
        <v>1.46555E-7</v>
      </c>
      <c r="L11" s="11">
        <v>1.37491046540448E-9</v>
      </c>
      <c r="M11" s="10">
        <f t="shared" si="1"/>
        <v>0.146555</v>
      </c>
      <c r="N11" s="10"/>
      <c r="O11" s="10">
        <v>0.145012159</v>
      </c>
      <c r="P11" s="10"/>
      <c r="Q11" s="12">
        <f t="shared" si="2"/>
        <v>-0.01052738562</v>
      </c>
      <c r="R11" s="13" t="str">
        <f t="shared" si="3"/>
        <v>#DIV/0!</v>
      </c>
      <c r="S11" s="8"/>
      <c r="T11" s="14">
        <f t="shared" si="4"/>
        <v>10.78554029</v>
      </c>
      <c r="U11" s="14">
        <f t="shared" si="5"/>
        <v>172.5276588</v>
      </c>
      <c r="V11" s="10">
        <f t="shared" si="6"/>
        <v>1.010639391</v>
      </c>
      <c r="W11" s="8">
        <f t="shared" si="7"/>
        <v>1</v>
      </c>
      <c r="X11" s="8">
        <f t="shared" si="8"/>
        <v>6</v>
      </c>
      <c r="Y11" s="19">
        <f t="shared" si="9"/>
        <v>0.000146555</v>
      </c>
    </row>
    <row r="12">
      <c r="A12" s="8"/>
      <c r="B12" s="8">
        <v>7.0</v>
      </c>
      <c r="C12" s="9">
        <v>5.0</v>
      </c>
      <c r="D12" s="8">
        <v>1.0</v>
      </c>
      <c r="E12" s="8">
        <v>0.0</v>
      </c>
      <c r="F12" s="8">
        <v>2.2</v>
      </c>
      <c r="G12" s="8">
        <v>-1.0</v>
      </c>
      <c r="H12" s="8">
        <v>0.5</v>
      </c>
      <c r="I12" s="8">
        <v>0.0</v>
      </c>
      <c r="J12" s="8">
        <v>0.0</v>
      </c>
      <c r="K12" s="10">
        <v>2.89596999999999E-7</v>
      </c>
      <c r="L12" s="11">
        <v>2.9377533847304E-9</v>
      </c>
      <c r="M12" s="10">
        <f t="shared" si="1"/>
        <v>0.289597</v>
      </c>
      <c r="N12" s="10"/>
      <c r="O12" s="10">
        <v>0.286746824</v>
      </c>
      <c r="P12" s="10"/>
      <c r="Q12" s="12">
        <f t="shared" si="2"/>
        <v>-0.009841869909</v>
      </c>
      <c r="R12" s="13" t="str">
        <f t="shared" si="3"/>
        <v>#DIV/0!</v>
      </c>
      <c r="S12" s="8"/>
      <c r="T12" s="14">
        <f t="shared" si="4"/>
        <v>21.31254554</v>
      </c>
      <c r="U12" s="14">
        <f t="shared" si="5"/>
        <v>340.9197394</v>
      </c>
      <c r="V12" s="10">
        <f t="shared" si="6"/>
        <v>1.009939695</v>
      </c>
      <c r="W12" s="8">
        <f t="shared" si="7"/>
        <v>1</v>
      </c>
      <c r="X12" s="8">
        <f t="shared" si="8"/>
        <v>7</v>
      </c>
      <c r="Y12" s="19">
        <f t="shared" si="9"/>
        <v>0.000289597</v>
      </c>
    </row>
    <row r="13">
      <c r="A13" s="22"/>
      <c r="B13" s="22">
        <v>8.0</v>
      </c>
      <c r="C13" s="25">
        <v>5.0</v>
      </c>
      <c r="D13" s="22">
        <v>1.0</v>
      </c>
      <c r="E13" s="22">
        <v>0.0</v>
      </c>
      <c r="F13" s="22">
        <v>0.0</v>
      </c>
      <c r="G13" s="22">
        <v>-1.0</v>
      </c>
      <c r="H13" s="22">
        <v>1.0</v>
      </c>
      <c r="I13" s="22">
        <v>0.0</v>
      </c>
      <c r="J13" s="22">
        <v>0.0</v>
      </c>
      <c r="K13" s="23">
        <v>1.01750199999999E-9</v>
      </c>
      <c r="L13" s="24">
        <v>1.00028882697635E-11</v>
      </c>
      <c r="M13" s="23">
        <f t="shared" si="1"/>
        <v>0.001017502</v>
      </c>
      <c r="N13" s="23"/>
      <c r="O13" s="23">
        <v>0.001017001</v>
      </c>
      <c r="P13" s="23"/>
      <c r="Q13" s="26">
        <f t="shared" si="2"/>
        <v>-0.0004923823245</v>
      </c>
      <c r="R13" s="27" t="str">
        <f t="shared" si="3"/>
        <v>#DIV/0!</v>
      </c>
      <c r="S13" s="22"/>
      <c r="T13" s="28">
        <f t="shared" si="4"/>
        <v>0.07488184514</v>
      </c>
      <c r="U13" s="28">
        <f t="shared" ref="U13:U19" si="10">K13/$K$14</f>
        <v>0.07488184514</v>
      </c>
      <c r="V13" s="23">
        <f t="shared" si="6"/>
        <v>1.000492625</v>
      </c>
      <c r="W13" s="22">
        <f t="shared" si="7"/>
        <v>1</v>
      </c>
      <c r="X13" s="22">
        <f t="shared" si="8"/>
        <v>8</v>
      </c>
      <c r="Y13" s="16">
        <f t="shared" si="9"/>
        <v>0.000001017502</v>
      </c>
    </row>
    <row r="14">
      <c r="A14" s="29" t="s">
        <v>21</v>
      </c>
      <c r="B14" s="29">
        <v>9.0</v>
      </c>
      <c r="C14" s="33">
        <v>5.0</v>
      </c>
      <c r="D14" s="29">
        <v>1.0</v>
      </c>
      <c r="E14" s="29">
        <v>0.0</v>
      </c>
      <c r="F14" s="29">
        <v>0.2</v>
      </c>
      <c r="G14" s="29">
        <v>-1.0</v>
      </c>
      <c r="H14" s="29">
        <v>1.0</v>
      </c>
      <c r="I14" s="29">
        <v>0.0</v>
      </c>
      <c r="J14" s="29">
        <v>0.0</v>
      </c>
      <c r="K14" s="30">
        <v>1.35881E-8</v>
      </c>
      <c r="L14" s="31">
        <v>1.4022128975662E-10</v>
      </c>
      <c r="M14" s="30">
        <f t="shared" si="1"/>
        <v>0.0135881</v>
      </c>
      <c r="N14" s="30"/>
      <c r="O14" s="30">
        <v>0.01359</v>
      </c>
      <c r="P14" s="30"/>
      <c r="Q14" s="32">
        <f t="shared" si="2"/>
        <v>0.0001398282321</v>
      </c>
      <c r="R14" s="34" t="str">
        <f t="shared" si="3"/>
        <v>#DIV/0!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0.9998601913</v>
      </c>
      <c r="W14" s="29">
        <f t="shared" si="7"/>
        <v>1</v>
      </c>
      <c r="X14" s="22">
        <f t="shared" si="8"/>
        <v>9</v>
      </c>
      <c r="Y14" s="17">
        <f t="shared" si="9"/>
        <v>0.0000135881</v>
      </c>
    </row>
    <row r="15">
      <c r="A15" s="22"/>
      <c r="B15" s="22">
        <v>10.0</v>
      </c>
      <c r="C15" s="25">
        <v>5.0</v>
      </c>
      <c r="D15" s="22">
        <v>1.0</v>
      </c>
      <c r="E15" s="22">
        <v>0.0</v>
      </c>
      <c r="F15" s="22">
        <v>0.6</v>
      </c>
      <c r="G15" s="22">
        <v>-1.0</v>
      </c>
      <c r="H15" s="22">
        <v>1.0</v>
      </c>
      <c r="I15" s="22">
        <v>0.0</v>
      </c>
      <c r="J15" s="22">
        <v>0.0</v>
      </c>
      <c r="K15" s="23">
        <v>1.12302E-7</v>
      </c>
      <c r="L15" s="24">
        <v>1.1558354361913E-9</v>
      </c>
      <c r="M15" s="23">
        <f t="shared" si="1"/>
        <v>0.112302</v>
      </c>
      <c r="N15" s="23"/>
      <c r="O15" s="23">
        <v>0.112125707</v>
      </c>
      <c r="P15" s="23"/>
      <c r="Q15" s="26">
        <f t="shared" si="2"/>
        <v>-0.001569811758</v>
      </c>
      <c r="R15" s="27" t="str">
        <f t="shared" si="3"/>
        <v>#DIV/0!</v>
      </c>
      <c r="S15" s="22"/>
      <c r="T15" s="28">
        <f t="shared" si="4"/>
        <v>8.26473164</v>
      </c>
      <c r="U15" s="28">
        <f t="shared" si="10"/>
        <v>8.26473164</v>
      </c>
      <c r="V15" s="23">
        <f t="shared" si="6"/>
        <v>1.00157228</v>
      </c>
      <c r="W15" s="22">
        <f t="shared" si="7"/>
        <v>1</v>
      </c>
      <c r="X15" s="22">
        <f t="shared" si="8"/>
        <v>10</v>
      </c>
      <c r="Y15" s="19">
        <f t="shared" si="9"/>
        <v>0.000112302</v>
      </c>
    </row>
    <row r="16">
      <c r="A16" s="22"/>
      <c r="B16" s="22">
        <v>11.0</v>
      </c>
      <c r="C16" s="25">
        <v>5.0</v>
      </c>
      <c r="D16" s="22">
        <v>1.0</v>
      </c>
      <c r="E16" s="22">
        <v>0.0</v>
      </c>
      <c r="F16" s="22">
        <v>1.0</v>
      </c>
      <c r="G16" s="22">
        <v>-1.0</v>
      </c>
      <c r="H16" s="22">
        <v>1.0</v>
      </c>
      <c r="I16" s="22">
        <v>0.0</v>
      </c>
      <c r="J16" s="22">
        <v>0.0</v>
      </c>
      <c r="K16" s="23">
        <v>3.97776E-7</v>
      </c>
      <c r="L16" s="24">
        <v>4.1689356246438E-9</v>
      </c>
      <c r="M16" s="23">
        <f t="shared" si="1"/>
        <v>0.397776</v>
      </c>
      <c r="N16" s="23"/>
      <c r="O16" s="23">
        <v>0.39456083</v>
      </c>
      <c r="P16" s="23"/>
      <c r="Q16" s="26">
        <f t="shared" si="2"/>
        <v>-0.008082865733</v>
      </c>
      <c r="R16" s="27" t="str">
        <f t="shared" si="3"/>
        <v>#DIV/0!</v>
      </c>
      <c r="S16" s="22"/>
      <c r="T16" s="28">
        <f t="shared" si="4"/>
        <v>29.27384991</v>
      </c>
      <c r="U16" s="28">
        <f t="shared" si="10"/>
        <v>29.27384991</v>
      </c>
      <c r="V16" s="23">
        <f t="shared" si="6"/>
        <v>1.008148731</v>
      </c>
      <c r="W16" s="22">
        <f t="shared" si="7"/>
        <v>1</v>
      </c>
      <c r="X16" s="22">
        <f t="shared" si="8"/>
        <v>11</v>
      </c>
      <c r="Y16" s="19">
        <f t="shared" si="9"/>
        <v>0.000397776</v>
      </c>
    </row>
    <row r="17">
      <c r="A17" s="22"/>
      <c r="B17" s="22">
        <v>12.0</v>
      </c>
      <c r="C17" s="25">
        <v>5.0</v>
      </c>
      <c r="D17" s="22">
        <v>1.0</v>
      </c>
      <c r="E17" s="22">
        <v>0.0</v>
      </c>
      <c r="F17" s="22">
        <v>1.4</v>
      </c>
      <c r="G17" s="22">
        <v>-1.0</v>
      </c>
      <c r="H17" s="22">
        <v>1.0</v>
      </c>
      <c r="I17" s="22">
        <v>0.0</v>
      </c>
      <c r="J17" s="22">
        <v>0.0</v>
      </c>
      <c r="K17" s="23">
        <v>1.05115E-6</v>
      </c>
      <c r="L17" s="24">
        <v>1.04980758217682E-8</v>
      </c>
      <c r="M17" s="23">
        <f t="shared" si="1"/>
        <v>1.05115</v>
      </c>
      <c r="N17" s="23"/>
      <c r="O17" s="23">
        <v>1.041159335</v>
      </c>
      <c r="P17" s="23"/>
      <c r="Q17" s="26">
        <f t="shared" si="2"/>
        <v>-0.009504509347</v>
      </c>
      <c r="R17" s="27" t="str">
        <f t="shared" si="3"/>
        <v>#DIV/0!</v>
      </c>
      <c r="S17" s="22"/>
      <c r="T17" s="28">
        <f t="shared" si="4"/>
        <v>77.35812954</v>
      </c>
      <c r="U17" s="28">
        <f t="shared" si="10"/>
        <v>77.35812954</v>
      </c>
      <c r="V17" s="23">
        <f t="shared" si="6"/>
        <v>1.009595712</v>
      </c>
      <c r="W17" s="22">
        <f t="shared" si="7"/>
        <v>1</v>
      </c>
      <c r="X17" s="22">
        <f t="shared" si="8"/>
        <v>12</v>
      </c>
      <c r="Y17" s="20">
        <f t="shared" si="9"/>
        <v>0.00105115</v>
      </c>
    </row>
    <row r="18">
      <c r="A18" s="22"/>
      <c r="B18" s="22">
        <v>13.0</v>
      </c>
      <c r="C18" s="25">
        <v>5.0</v>
      </c>
      <c r="D18" s="22">
        <v>1.0</v>
      </c>
      <c r="E18" s="22">
        <v>0.0</v>
      </c>
      <c r="F18" s="22">
        <v>1.8</v>
      </c>
      <c r="G18" s="22">
        <v>-1.0</v>
      </c>
      <c r="H18" s="22">
        <v>1.0</v>
      </c>
      <c r="I18" s="22">
        <v>0.0</v>
      </c>
      <c r="J18" s="22">
        <v>0.0</v>
      </c>
      <c r="K18" s="23">
        <v>2.29938E-6</v>
      </c>
      <c r="L18" s="24">
        <v>2.32938106835617E-8</v>
      </c>
      <c r="M18" s="23">
        <f t="shared" si="1"/>
        <v>2.29938</v>
      </c>
      <c r="N18" s="23"/>
      <c r="O18" s="23">
        <v>2.320194551</v>
      </c>
      <c r="P18" s="23"/>
      <c r="Q18" s="26">
        <f t="shared" si="2"/>
        <v>0.009052244953</v>
      </c>
      <c r="R18" s="27" t="str">
        <f t="shared" si="3"/>
        <v>#DIV/0!</v>
      </c>
      <c r="S18" s="22"/>
      <c r="T18" s="28">
        <f t="shared" si="4"/>
        <v>169.2201264</v>
      </c>
      <c r="U18" s="28">
        <f t="shared" si="10"/>
        <v>169.2201264</v>
      </c>
      <c r="V18" s="23">
        <f t="shared" si="6"/>
        <v>0.9910289631</v>
      </c>
      <c r="W18" s="22">
        <f t="shared" si="7"/>
        <v>1</v>
      </c>
      <c r="X18" s="22">
        <f t="shared" si="8"/>
        <v>13</v>
      </c>
      <c r="Y18" s="20">
        <f t="shared" si="9"/>
        <v>0.00229938</v>
      </c>
    </row>
    <row r="19">
      <c r="A19" s="22"/>
      <c r="B19" s="22">
        <v>14.0</v>
      </c>
      <c r="C19" s="25">
        <v>5.0</v>
      </c>
      <c r="D19" s="22">
        <v>1.0</v>
      </c>
      <c r="E19" s="22">
        <v>0.0</v>
      </c>
      <c r="F19" s="22">
        <v>2.2</v>
      </c>
      <c r="G19" s="22">
        <v>-1.0</v>
      </c>
      <c r="H19" s="22">
        <v>1.0</v>
      </c>
      <c r="I19" s="22">
        <v>0.0</v>
      </c>
      <c r="J19" s="22">
        <v>0.0</v>
      </c>
      <c r="K19" s="23">
        <v>4.45165E-6</v>
      </c>
      <c r="L19" s="24">
        <v>4.56046637257129E-8</v>
      </c>
      <c r="M19" s="23">
        <f t="shared" si="1"/>
        <v>4.45165</v>
      </c>
      <c r="N19" s="23"/>
      <c r="O19" s="23">
        <v>4.587949181</v>
      </c>
      <c r="P19" s="23"/>
      <c r="Q19" s="26">
        <f t="shared" si="2"/>
        <v>0.03061767682</v>
      </c>
      <c r="R19" s="27" t="str">
        <f t="shared" si="3"/>
        <v>#DIV/0!</v>
      </c>
      <c r="S19" s="22"/>
      <c r="T19" s="28">
        <f t="shared" si="4"/>
        <v>327.613868</v>
      </c>
      <c r="U19" s="28">
        <f t="shared" si="10"/>
        <v>327.613868</v>
      </c>
      <c r="V19" s="23">
        <f t="shared" si="6"/>
        <v>0.9702919157</v>
      </c>
      <c r="W19" s="22">
        <f t="shared" si="7"/>
        <v>1</v>
      </c>
      <c r="X19" s="22">
        <f t="shared" si="8"/>
        <v>14</v>
      </c>
      <c r="Y19" s="20">
        <f t="shared" si="9"/>
        <v>0.00445165</v>
      </c>
    </row>
    <row r="20">
      <c r="A20" s="37"/>
      <c r="B20" s="37">
        <v>15.0</v>
      </c>
      <c r="C20" s="43">
        <v>5.0</v>
      </c>
      <c r="D20" s="37">
        <v>1.0</v>
      </c>
      <c r="E20" s="37">
        <v>0.0</v>
      </c>
      <c r="F20" s="37">
        <v>0.0</v>
      </c>
      <c r="G20" s="37">
        <v>-1.0</v>
      </c>
      <c r="H20" s="37">
        <v>1.5</v>
      </c>
      <c r="I20" s="37">
        <v>0.0</v>
      </c>
      <c r="J20" s="37">
        <v>0.0</v>
      </c>
      <c r="K20" s="38">
        <v>5.14659595959595E-9</v>
      </c>
      <c r="L20" s="39">
        <v>5.12689823864013E-11</v>
      </c>
      <c r="M20" s="38">
        <f t="shared" si="1"/>
        <v>0.00514659596</v>
      </c>
      <c r="N20" s="38"/>
      <c r="O20" s="38">
        <v>0.005148565</v>
      </c>
      <c r="P20" s="38"/>
      <c r="Q20" s="40">
        <f t="shared" si="2"/>
        <v>0.0003825908269</v>
      </c>
      <c r="R20" s="41" t="str">
        <f t="shared" si="3"/>
        <v>#DIV/0!</v>
      </c>
      <c r="S20" s="37"/>
      <c r="T20" s="42">
        <f t="shared" si="4"/>
        <v>0.3787575864</v>
      </c>
      <c r="U20" s="42">
        <f t="shared" ref="U20:U26" si="11">K20/$K$21</f>
        <v>0.07481909366</v>
      </c>
      <c r="V20" s="38">
        <f t="shared" si="6"/>
        <v>0.9996175555</v>
      </c>
      <c r="W20" s="37">
        <f t="shared" si="7"/>
        <v>1</v>
      </c>
      <c r="X20" s="37">
        <f t="shared" si="8"/>
        <v>15</v>
      </c>
      <c r="Y20" s="16">
        <f t="shared" si="9"/>
        <v>0.00000514659596</v>
      </c>
    </row>
    <row r="21">
      <c r="A21" s="37"/>
      <c r="B21" s="37">
        <v>16.0</v>
      </c>
      <c r="C21" s="43">
        <v>5.0</v>
      </c>
      <c r="D21" s="37">
        <v>1.0</v>
      </c>
      <c r="E21" s="37">
        <v>0.0</v>
      </c>
      <c r="F21" s="37">
        <v>0.2</v>
      </c>
      <c r="G21" s="37">
        <v>-1.0</v>
      </c>
      <c r="H21" s="37">
        <v>1.5</v>
      </c>
      <c r="I21" s="37">
        <v>0.0</v>
      </c>
      <c r="J21" s="37">
        <v>0.0</v>
      </c>
      <c r="K21" s="38">
        <v>6.87872E-8</v>
      </c>
      <c r="L21" s="39">
        <v>6.34924762901442E-10</v>
      </c>
      <c r="M21" s="38">
        <f t="shared" si="1"/>
        <v>0.0687872</v>
      </c>
      <c r="N21" s="38"/>
      <c r="O21" s="38">
        <v>0.068799375</v>
      </c>
      <c r="P21" s="38"/>
      <c r="Q21" s="40">
        <f t="shared" si="2"/>
        <v>0.0001769951386</v>
      </c>
      <c r="R21" s="41" t="str">
        <f t="shared" si="3"/>
        <v>#DIV/0!</v>
      </c>
      <c r="S21" s="37"/>
      <c r="T21" s="42">
        <f t="shared" si="4"/>
        <v>5.062311876</v>
      </c>
      <c r="U21" s="42">
        <f t="shared" si="11"/>
        <v>1</v>
      </c>
      <c r="V21" s="38">
        <f t="shared" si="6"/>
        <v>0.9998230362</v>
      </c>
      <c r="W21" s="37">
        <f t="shared" si="7"/>
        <v>1</v>
      </c>
      <c r="X21" s="37">
        <f t="shared" si="8"/>
        <v>16</v>
      </c>
      <c r="Y21" s="17">
        <f t="shared" si="9"/>
        <v>0.0000687872</v>
      </c>
    </row>
    <row r="22">
      <c r="A22" s="37"/>
      <c r="B22" s="37">
        <v>17.0</v>
      </c>
      <c r="C22" s="43">
        <v>5.0</v>
      </c>
      <c r="D22" s="37">
        <v>1.0</v>
      </c>
      <c r="E22" s="37">
        <v>0.0</v>
      </c>
      <c r="F22" s="37">
        <v>0.6</v>
      </c>
      <c r="G22" s="37">
        <v>-1.0</v>
      </c>
      <c r="H22" s="37">
        <v>1.5</v>
      </c>
      <c r="I22" s="37">
        <v>0.0</v>
      </c>
      <c r="J22" s="37">
        <v>0.0</v>
      </c>
      <c r="K22" s="38">
        <v>5.69609E-7</v>
      </c>
      <c r="L22" s="39">
        <v>6.12791419026345E-9</v>
      </c>
      <c r="M22" s="38">
        <f t="shared" si="1"/>
        <v>0.569609</v>
      </c>
      <c r="N22" s="38"/>
      <c r="O22" s="38">
        <v>0.567636391</v>
      </c>
      <c r="P22" s="38"/>
      <c r="Q22" s="40">
        <f t="shared" si="2"/>
        <v>-0.003463093104</v>
      </c>
      <c r="R22" s="41" t="str">
        <f t="shared" si="3"/>
        <v>#DIV/0!</v>
      </c>
      <c r="S22" s="37"/>
      <c r="T22" s="42">
        <f t="shared" si="4"/>
        <v>41.91969444</v>
      </c>
      <c r="U22" s="42">
        <f t="shared" si="11"/>
        <v>8.280741184</v>
      </c>
      <c r="V22" s="38">
        <f t="shared" si="6"/>
        <v>1.003475128</v>
      </c>
      <c r="W22" s="37">
        <f t="shared" si="7"/>
        <v>1</v>
      </c>
      <c r="X22" s="37">
        <f t="shared" si="8"/>
        <v>17</v>
      </c>
      <c r="Y22" s="19">
        <f t="shared" si="9"/>
        <v>0.000569609</v>
      </c>
    </row>
    <row r="23">
      <c r="A23" s="37"/>
      <c r="B23" s="37">
        <v>18.0</v>
      </c>
      <c r="C23" s="43">
        <v>5.0</v>
      </c>
      <c r="D23" s="37">
        <v>1.0</v>
      </c>
      <c r="E23" s="37">
        <v>0.0</v>
      </c>
      <c r="F23" s="37">
        <v>1.0</v>
      </c>
      <c r="G23" s="37">
        <v>-1.0</v>
      </c>
      <c r="H23" s="37">
        <v>1.5</v>
      </c>
      <c r="I23" s="37">
        <v>0.0</v>
      </c>
      <c r="J23" s="37">
        <v>0.0</v>
      </c>
      <c r="K23" s="38">
        <v>1.92907999999999E-6</v>
      </c>
      <c r="L23" s="39">
        <v>1.97359744342327E-8</v>
      </c>
      <c r="M23" s="38">
        <f t="shared" si="1"/>
        <v>1.92908</v>
      </c>
      <c r="N23" s="38"/>
      <c r="O23" s="38">
        <v>1.997464204</v>
      </c>
      <c r="P23" s="38"/>
      <c r="Q23" s="40">
        <f t="shared" si="2"/>
        <v>0.03544912808</v>
      </c>
      <c r="R23" s="41" t="str">
        <f t="shared" si="3"/>
        <v>#DIV/0!</v>
      </c>
      <c r="S23" s="37"/>
      <c r="T23" s="42">
        <f t="shared" si="4"/>
        <v>141.9683399</v>
      </c>
      <c r="U23" s="42">
        <f t="shared" si="11"/>
        <v>28.04417101</v>
      </c>
      <c r="V23" s="38">
        <f t="shared" si="6"/>
        <v>0.9657644909</v>
      </c>
      <c r="W23" s="37">
        <f t="shared" si="7"/>
        <v>1</v>
      </c>
      <c r="X23" s="37">
        <f t="shared" si="8"/>
        <v>18</v>
      </c>
      <c r="Y23" s="20">
        <f t="shared" si="9"/>
        <v>0.00192908</v>
      </c>
    </row>
    <row r="24">
      <c r="A24" s="37"/>
      <c r="B24" s="37">
        <v>19.0</v>
      </c>
      <c r="C24" s="43">
        <v>5.0</v>
      </c>
      <c r="D24" s="37">
        <v>1.0</v>
      </c>
      <c r="E24" s="37">
        <v>0.0</v>
      </c>
      <c r="F24" s="37">
        <v>1.4</v>
      </c>
      <c r="G24" s="37">
        <v>-1.0</v>
      </c>
      <c r="H24" s="37">
        <v>1.5</v>
      </c>
      <c r="I24" s="37">
        <v>0.0</v>
      </c>
      <c r="J24" s="37">
        <v>0.0</v>
      </c>
      <c r="K24" s="38">
        <v>5.35460999999999E-6</v>
      </c>
      <c r="L24" s="39">
        <v>5.18741474312318E-8</v>
      </c>
      <c r="M24" s="38">
        <f t="shared" si="1"/>
        <v>5.35461</v>
      </c>
      <c r="N24" s="38"/>
      <c r="O24" s="38">
        <v>5.270869132</v>
      </c>
      <c r="P24" s="38"/>
      <c r="Q24" s="40">
        <f t="shared" si="2"/>
        <v>-0.01563902282</v>
      </c>
      <c r="R24" s="41" t="str">
        <f t="shared" si="3"/>
        <v>#DIV/0!</v>
      </c>
      <c r="S24" s="37"/>
      <c r="T24" s="42">
        <f t="shared" si="4"/>
        <v>394.0661314</v>
      </c>
      <c r="U24" s="42">
        <f t="shared" si="11"/>
        <v>77.84311616</v>
      </c>
      <c r="V24" s="38">
        <f t="shared" si="6"/>
        <v>1.015887488</v>
      </c>
      <c r="W24" s="37">
        <f t="shared" si="7"/>
        <v>1</v>
      </c>
      <c r="X24" s="37">
        <f t="shared" si="8"/>
        <v>19</v>
      </c>
      <c r="Y24" s="20">
        <f t="shared" si="9"/>
        <v>0.00535461</v>
      </c>
    </row>
    <row r="25">
      <c r="A25" s="37"/>
      <c r="B25" s="37">
        <v>20.0</v>
      </c>
      <c r="C25" s="43">
        <v>5.0</v>
      </c>
      <c r="D25" s="37">
        <v>1.0</v>
      </c>
      <c r="E25" s="37">
        <v>0.0</v>
      </c>
      <c r="F25" s="37">
        <v>1.8</v>
      </c>
      <c r="G25" s="37">
        <v>-1.0</v>
      </c>
      <c r="H25" s="37">
        <v>1.5</v>
      </c>
      <c r="I25" s="37">
        <v>0.0</v>
      </c>
      <c r="J25" s="37">
        <v>0.0</v>
      </c>
      <c r="K25" s="38">
        <v>1.19938E-5</v>
      </c>
      <c r="L25" s="39">
        <v>1.04008352422953E-7</v>
      </c>
      <c r="M25" s="38">
        <f t="shared" si="1"/>
        <v>11.9938</v>
      </c>
      <c r="N25" s="38"/>
      <c r="O25" s="38">
        <v>11.745984921</v>
      </c>
      <c r="P25" s="38"/>
      <c r="Q25" s="40">
        <f t="shared" si="2"/>
        <v>-0.02066193191</v>
      </c>
      <c r="R25" s="41" t="str">
        <f t="shared" si="3"/>
        <v>#DIV/0!</v>
      </c>
      <c r="S25" s="37"/>
      <c r="T25" s="42">
        <f t="shared" si="4"/>
        <v>882.6693945</v>
      </c>
      <c r="U25" s="42">
        <f t="shared" si="11"/>
        <v>174.3609276</v>
      </c>
      <c r="V25" s="38">
        <f t="shared" si="6"/>
        <v>1.021097854</v>
      </c>
      <c r="W25" s="37">
        <f t="shared" si="7"/>
        <v>1</v>
      </c>
      <c r="X25" s="37">
        <f t="shared" si="8"/>
        <v>20</v>
      </c>
      <c r="Y25" s="21">
        <f t="shared" si="9"/>
        <v>0.0119938</v>
      </c>
    </row>
    <row r="26">
      <c r="A26" s="37"/>
      <c r="B26" s="37">
        <v>21.0</v>
      </c>
      <c r="C26" s="43">
        <v>5.0</v>
      </c>
      <c r="D26" s="37">
        <v>1.0</v>
      </c>
      <c r="E26" s="37">
        <v>0.0</v>
      </c>
      <c r="F26" s="37">
        <v>2.2</v>
      </c>
      <c r="G26" s="37">
        <v>-1.0</v>
      </c>
      <c r="H26" s="37">
        <v>1.5</v>
      </c>
      <c r="I26" s="37">
        <v>0.0</v>
      </c>
      <c r="J26" s="37">
        <v>0.0</v>
      </c>
      <c r="K26" s="38">
        <v>2.38934999999999E-5</v>
      </c>
      <c r="L26" s="39">
        <v>2.23680756454552E-7</v>
      </c>
      <c r="M26" s="38">
        <f t="shared" si="1"/>
        <v>23.8935</v>
      </c>
      <c r="N26" s="38"/>
      <c r="O26" s="38">
        <v>23.226492717</v>
      </c>
      <c r="P26" s="38"/>
      <c r="Q26" s="40">
        <f t="shared" si="2"/>
        <v>-0.02791584669</v>
      </c>
      <c r="R26" s="41" t="str">
        <f t="shared" si="3"/>
        <v>#DIV/0!</v>
      </c>
      <c r="S26" s="37"/>
      <c r="T26" s="42">
        <f t="shared" si="4"/>
        <v>1758.413612</v>
      </c>
      <c r="U26" s="42">
        <f t="shared" si="11"/>
        <v>347.3538682</v>
      </c>
      <c r="V26" s="38">
        <f t="shared" si="6"/>
        <v>1.028717521</v>
      </c>
      <c r="W26" s="37">
        <f t="shared" si="7"/>
        <v>1</v>
      </c>
      <c r="X26" s="37">
        <f t="shared" si="8"/>
        <v>21</v>
      </c>
      <c r="Y26" s="21">
        <f t="shared" si="9"/>
        <v>0.0238935</v>
      </c>
    </row>
    <row r="27">
      <c r="A27" s="44"/>
      <c r="B27" s="44">
        <v>22.0</v>
      </c>
      <c r="C27" s="50">
        <v>5.0</v>
      </c>
      <c r="D27" s="44">
        <v>1.0</v>
      </c>
      <c r="E27" s="44">
        <v>0.0</v>
      </c>
      <c r="F27" s="44">
        <v>0.0</v>
      </c>
      <c r="G27" s="44">
        <v>-1.0</v>
      </c>
      <c r="H27" s="44">
        <v>2.0</v>
      </c>
      <c r="I27" s="44">
        <v>0.0</v>
      </c>
      <c r="J27" s="44">
        <v>0.0</v>
      </c>
      <c r="K27" s="45">
        <v>1.59304E-8</v>
      </c>
      <c r="L27" s="46">
        <v>1.47948393951158E-10</v>
      </c>
      <c r="M27" s="45">
        <f t="shared" si="1"/>
        <v>0.0159304</v>
      </c>
      <c r="N27" s="45"/>
      <c r="O27" s="45">
        <v>0.016272008</v>
      </c>
      <c r="P27" s="45"/>
      <c r="Q27" s="47">
        <f t="shared" si="2"/>
        <v>0.02144378044</v>
      </c>
      <c r="R27" s="48" t="str">
        <f t="shared" si="3"/>
        <v>#DIV/0!</v>
      </c>
      <c r="S27" s="44"/>
      <c r="T27" s="49">
        <f t="shared" si="4"/>
        <v>1.172378773</v>
      </c>
      <c r="U27" s="49">
        <f t="shared" ref="U27:U33" si="12">K27/$K$28</f>
        <v>0.07644512693</v>
      </c>
      <c r="V27" s="45">
        <f t="shared" si="6"/>
        <v>0.9790064017</v>
      </c>
      <c r="W27" s="44">
        <f t="shared" si="7"/>
        <v>1</v>
      </c>
      <c r="X27" s="44">
        <f t="shared" si="8"/>
        <v>22</v>
      </c>
      <c r="Y27" s="17">
        <f t="shared" si="9"/>
        <v>0.0000159304</v>
      </c>
    </row>
    <row r="28">
      <c r="A28" s="44"/>
      <c r="B28" s="44">
        <v>23.0</v>
      </c>
      <c r="C28" s="50">
        <v>5.0</v>
      </c>
      <c r="D28" s="44">
        <v>1.0</v>
      </c>
      <c r="E28" s="44">
        <v>0.0</v>
      </c>
      <c r="F28" s="44">
        <v>0.2</v>
      </c>
      <c r="G28" s="44">
        <v>-1.0</v>
      </c>
      <c r="H28" s="44">
        <v>2.0</v>
      </c>
      <c r="I28" s="44">
        <v>0.0</v>
      </c>
      <c r="J28" s="44">
        <v>0.0</v>
      </c>
      <c r="K28" s="45">
        <v>2.08389999999999E-7</v>
      </c>
      <c r="L28" s="46">
        <v>2.24231572218985E-9</v>
      </c>
      <c r="M28" s="45">
        <f t="shared" si="1"/>
        <v>0.20839</v>
      </c>
      <c r="N28" s="45"/>
      <c r="O28" s="45">
        <v>0.21744</v>
      </c>
      <c r="P28" s="45"/>
      <c r="Q28" s="47">
        <f t="shared" si="2"/>
        <v>0.04342818753</v>
      </c>
      <c r="R28" s="48" t="str">
        <f t="shared" si="3"/>
        <v>#DIV/0!</v>
      </c>
      <c r="S28" s="44"/>
      <c r="T28" s="49">
        <f t="shared" si="4"/>
        <v>15.3362133</v>
      </c>
      <c r="U28" s="49">
        <f t="shared" si="12"/>
        <v>1</v>
      </c>
      <c r="V28" s="45">
        <f t="shared" si="6"/>
        <v>0.958379323</v>
      </c>
      <c r="W28" s="44">
        <f t="shared" si="7"/>
        <v>1</v>
      </c>
      <c r="X28" s="44">
        <f t="shared" si="8"/>
        <v>23</v>
      </c>
      <c r="Y28" s="19">
        <f t="shared" si="9"/>
        <v>0.00020839</v>
      </c>
    </row>
    <row r="29">
      <c r="A29" s="44"/>
      <c r="B29" s="44">
        <v>24.0</v>
      </c>
      <c r="C29" s="50">
        <v>5.0</v>
      </c>
      <c r="D29" s="44">
        <v>1.0</v>
      </c>
      <c r="E29" s="44">
        <v>0.0</v>
      </c>
      <c r="F29" s="44">
        <v>0.6</v>
      </c>
      <c r="G29" s="44">
        <v>-1.0</v>
      </c>
      <c r="H29" s="44">
        <v>2.0</v>
      </c>
      <c r="I29" s="44">
        <v>0.0</v>
      </c>
      <c r="J29" s="44">
        <v>0.0</v>
      </c>
      <c r="K29" s="45">
        <v>1.72643999999999E-6</v>
      </c>
      <c r="L29" s="46">
        <v>1.62165397547122E-8</v>
      </c>
      <c r="M29" s="45">
        <f t="shared" si="1"/>
        <v>1.72644</v>
      </c>
      <c r="N29" s="45"/>
      <c r="O29" s="45">
        <v>1.794011309</v>
      </c>
      <c r="P29" s="45"/>
      <c r="Q29" s="47">
        <f t="shared" si="2"/>
        <v>0.03913910069</v>
      </c>
      <c r="R29" s="48" t="str">
        <f t="shared" si="3"/>
        <v>#DIV/0!</v>
      </c>
      <c r="S29" s="44"/>
      <c r="T29" s="49">
        <f t="shared" si="4"/>
        <v>127.055291</v>
      </c>
      <c r="U29" s="49">
        <f t="shared" si="12"/>
        <v>8.284658573</v>
      </c>
      <c r="V29" s="45">
        <f t="shared" si="6"/>
        <v>0.9623350708</v>
      </c>
      <c r="W29" s="44">
        <f t="shared" si="7"/>
        <v>1</v>
      </c>
      <c r="X29" s="44">
        <f t="shared" si="8"/>
        <v>24</v>
      </c>
      <c r="Y29" s="20">
        <f t="shared" si="9"/>
        <v>0.00172644</v>
      </c>
    </row>
    <row r="30">
      <c r="A30" s="44"/>
      <c r="B30" s="44">
        <v>25.0</v>
      </c>
      <c r="C30" s="50">
        <v>5.0</v>
      </c>
      <c r="D30" s="44">
        <v>1.0</v>
      </c>
      <c r="E30" s="44">
        <v>0.0</v>
      </c>
      <c r="F30" s="44">
        <v>1.0</v>
      </c>
      <c r="G30" s="44">
        <v>-1.0</v>
      </c>
      <c r="H30" s="44">
        <v>2.0</v>
      </c>
      <c r="I30" s="44">
        <v>0.0</v>
      </c>
      <c r="J30" s="44">
        <v>0.0</v>
      </c>
      <c r="K30" s="45">
        <v>6.41788999999999E-6</v>
      </c>
      <c r="L30" s="46">
        <v>6.50586208078079E-8</v>
      </c>
      <c r="M30" s="45">
        <f t="shared" si="1"/>
        <v>6.41789</v>
      </c>
      <c r="N30" s="45"/>
      <c r="O30" s="45">
        <v>6.312973285</v>
      </c>
      <c r="P30" s="45"/>
      <c r="Q30" s="47">
        <f t="shared" si="2"/>
        <v>-0.01634754024</v>
      </c>
      <c r="R30" s="48" t="str">
        <f t="shared" si="3"/>
        <v>#DIV/0!</v>
      </c>
      <c r="S30" s="44"/>
      <c r="T30" s="49">
        <f t="shared" si="4"/>
        <v>472.3169538</v>
      </c>
      <c r="U30" s="49">
        <f t="shared" si="12"/>
        <v>30.79749508</v>
      </c>
      <c r="V30" s="45">
        <f t="shared" si="6"/>
        <v>1.016619224</v>
      </c>
      <c r="W30" s="44">
        <f t="shared" si="7"/>
        <v>1</v>
      </c>
      <c r="X30" s="44">
        <f t="shared" si="8"/>
        <v>25</v>
      </c>
      <c r="Y30" s="20">
        <f t="shared" si="9"/>
        <v>0.00641789</v>
      </c>
    </row>
    <row r="31">
      <c r="A31" s="44"/>
      <c r="B31" s="44">
        <v>26.0</v>
      </c>
      <c r="C31" s="50">
        <v>5.0</v>
      </c>
      <c r="D31" s="44">
        <v>1.0</v>
      </c>
      <c r="E31" s="44">
        <v>0.0</v>
      </c>
      <c r="F31" s="44">
        <v>1.4</v>
      </c>
      <c r="G31" s="44">
        <v>-1.0</v>
      </c>
      <c r="H31" s="44">
        <v>2.0</v>
      </c>
      <c r="I31" s="44">
        <v>0.0</v>
      </c>
      <c r="J31" s="44">
        <v>0.0</v>
      </c>
      <c r="K31" s="45">
        <v>1.70812E-5</v>
      </c>
      <c r="L31" s="46">
        <v>1.866302994877E-7</v>
      </c>
      <c r="M31" s="45">
        <f t="shared" si="1"/>
        <v>17.0812</v>
      </c>
      <c r="N31" s="45"/>
      <c r="O31" s="45">
        <v>16.658549356</v>
      </c>
      <c r="P31" s="45"/>
      <c r="Q31" s="47">
        <f t="shared" si="2"/>
        <v>-0.02474361544</v>
      </c>
      <c r="R31" s="48" t="str">
        <f t="shared" si="3"/>
        <v>#DIV/0!</v>
      </c>
      <c r="S31" s="44"/>
      <c r="T31" s="49">
        <f t="shared" si="4"/>
        <v>1257.070525</v>
      </c>
      <c r="U31" s="49">
        <f t="shared" si="12"/>
        <v>81.96746485</v>
      </c>
      <c r="V31" s="45">
        <f t="shared" si="6"/>
        <v>1.025371395</v>
      </c>
      <c r="W31" s="44">
        <f t="shared" si="7"/>
        <v>1</v>
      </c>
      <c r="X31" s="44">
        <f t="shared" si="8"/>
        <v>26</v>
      </c>
      <c r="Y31" s="21">
        <f t="shared" si="9"/>
        <v>0.0170812</v>
      </c>
    </row>
    <row r="32">
      <c r="A32" s="44"/>
      <c r="B32" s="44">
        <v>27.0</v>
      </c>
      <c r="C32" s="50">
        <v>5.0</v>
      </c>
      <c r="D32" s="44">
        <v>1.0</v>
      </c>
      <c r="E32" s="44">
        <v>0.0</v>
      </c>
      <c r="F32" s="44">
        <v>1.8</v>
      </c>
      <c r="G32" s="44">
        <v>-1.0</v>
      </c>
      <c r="H32" s="44">
        <v>2.0</v>
      </c>
      <c r="I32" s="44">
        <v>0.0</v>
      </c>
      <c r="J32" s="44">
        <v>0.0</v>
      </c>
      <c r="K32" s="45">
        <v>3.86842E-5</v>
      </c>
      <c r="L32" s="46">
        <v>4.04842356150308E-7</v>
      </c>
      <c r="M32" s="45">
        <f t="shared" si="1"/>
        <v>38.6842</v>
      </c>
      <c r="N32" s="45"/>
      <c r="O32" s="45">
        <v>37.12311285</v>
      </c>
      <c r="P32" s="45"/>
      <c r="Q32" s="47">
        <f t="shared" si="2"/>
        <v>-0.04035464479</v>
      </c>
      <c r="R32" s="48" t="str">
        <f t="shared" si="3"/>
        <v>#DIV/0!</v>
      </c>
      <c r="S32" s="44"/>
      <c r="T32" s="49">
        <f t="shared" si="4"/>
        <v>2846.917523</v>
      </c>
      <c r="U32" s="49">
        <f t="shared" si="12"/>
        <v>185.6336676</v>
      </c>
      <c r="V32" s="45">
        <f t="shared" si="6"/>
        <v>1.042051623</v>
      </c>
      <c r="W32" s="44">
        <f t="shared" si="7"/>
        <v>1</v>
      </c>
      <c r="X32" s="44">
        <f t="shared" si="8"/>
        <v>27</v>
      </c>
      <c r="Y32" s="21">
        <f t="shared" si="9"/>
        <v>0.0386842</v>
      </c>
    </row>
    <row r="33">
      <c r="A33" s="44"/>
      <c r="B33" s="44">
        <v>28.0</v>
      </c>
      <c r="C33" s="50">
        <v>5.0</v>
      </c>
      <c r="D33" s="44">
        <v>1.0</v>
      </c>
      <c r="E33" s="44">
        <v>0.0</v>
      </c>
      <c r="F33" s="44">
        <v>2.2</v>
      </c>
      <c r="G33" s="44">
        <v>-1.0</v>
      </c>
      <c r="H33" s="44">
        <v>2.0</v>
      </c>
      <c r="I33" s="44">
        <v>0.0</v>
      </c>
      <c r="J33" s="44">
        <v>0.0</v>
      </c>
      <c r="K33" s="45">
        <v>7.83206999999999E-5</v>
      </c>
      <c r="L33" s="46">
        <v>8.96806066667773E-7</v>
      </c>
      <c r="M33" s="45">
        <f t="shared" si="1"/>
        <v>78.3207</v>
      </c>
      <c r="N33" s="45"/>
      <c r="O33" s="45">
        <v>73.407186837</v>
      </c>
      <c r="P33" s="45"/>
      <c r="Q33" s="47">
        <f t="shared" si="2"/>
        <v>-0.06273581777</v>
      </c>
      <c r="R33" s="48" t="str">
        <f t="shared" si="3"/>
        <v>#DIV/0!</v>
      </c>
      <c r="S33" s="44"/>
      <c r="T33" s="49">
        <f t="shared" si="4"/>
        <v>5763.918429</v>
      </c>
      <c r="U33" s="49">
        <f t="shared" si="12"/>
        <v>375.8371323</v>
      </c>
      <c r="V33" s="45">
        <f t="shared" si="6"/>
        <v>1.066935042</v>
      </c>
      <c r="W33" s="44">
        <f t="shared" si="7"/>
        <v>1</v>
      </c>
      <c r="X33" s="44">
        <f t="shared" si="8"/>
        <v>28</v>
      </c>
      <c r="Y33" s="21">
        <f t="shared" si="9"/>
        <v>0.0783207</v>
      </c>
    </row>
    <row r="34">
      <c r="A34" s="51"/>
      <c r="B34" s="51">
        <v>29.0</v>
      </c>
      <c r="C34" s="57">
        <v>5.0</v>
      </c>
      <c r="D34" s="51">
        <v>1.0</v>
      </c>
      <c r="E34" s="51">
        <v>0.0</v>
      </c>
      <c r="F34" s="51">
        <v>0.0</v>
      </c>
      <c r="G34" s="51">
        <v>-1.0</v>
      </c>
      <c r="H34" s="51">
        <v>2.5</v>
      </c>
      <c r="I34" s="51">
        <v>0.0</v>
      </c>
      <c r="J34" s="51">
        <v>0.0</v>
      </c>
      <c r="K34" s="52">
        <v>3.96592999999999E-8</v>
      </c>
      <c r="L34" s="53">
        <v>3.92338894427774E-10</v>
      </c>
      <c r="M34" s="52">
        <f t="shared" si="1"/>
        <v>0.0396593</v>
      </c>
      <c r="N34" s="52"/>
      <c r="O34" s="52">
        <v>0.039726582</v>
      </c>
      <c r="P34" s="52"/>
      <c r="Q34" s="54">
        <f t="shared" si="2"/>
        <v>0.001696499938</v>
      </c>
      <c r="R34" s="55" t="str">
        <f t="shared" si="3"/>
        <v>#DIV/0!</v>
      </c>
      <c r="S34" s="51"/>
      <c r="T34" s="56">
        <f t="shared" si="4"/>
        <v>2.918678844</v>
      </c>
      <c r="U34" s="56">
        <f t="shared" ref="U34:U40" si="13">K34/$K$35</f>
        <v>0.074294369</v>
      </c>
      <c r="V34" s="52">
        <f t="shared" si="6"/>
        <v>0.9983063733</v>
      </c>
      <c r="W34" s="51">
        <f t="shared" si="7"/>
        <v>1</v>
      </c>
      <c r="X34" s="51">
        <f t="shared" si="8"/>
        <v>29</v>
      </c>
      <c r="Y34" s="17">
        <f t="shared" si="9"/>
        <v>0.0000396593</v>
      </c>
    </row>
    <row r="35">
      <c r="A35" s="51"/>
      <c r="B35" s="51">
        <v>30.0</v>
      </c>
      <c r="C35" s="57">
        <v>5.0</v>
      </c>
      <c r="D35" s="51">
        <v>1.0</v>
      </c>
      <c r="E35" s="51">
        <v>0.0</v>
      </c>
      <c r="F35" s="51">
        <v>0.2</v>
      </c>
      <c r="G35" s="51">
        <v>-1.0</v>
      </c>
      <c r="H35" s="51">
        <v>2.5</v>
      </c>
      <c r="I35" s="51">
        <v>0.0</v>
      </c>
      <c r="J35" s="51">
        <v>0.0</v>
      </c>
      <c r="K35" s="52">
        <v>5.33813E-7</v>
      </c>
      <c r="L35" s="53">
        <v>5.78321596248029E-9</v>
      </c>
      <c r="M35" s="52">
        <f t="shared" si="1"/>
        <v>0.533813</v>
      </c>
      <c r="N35" s="52"/>
      <c r="O35" s="52">
        <v>0.530859377</v>
      </c>
      <c r="P35" s="52"/>
      <c r="Q35" s="54">
        <f t="shared" si="2"/>
        <v>-0.005533066823</v>
      </c>
      <c r="R35" s="55" t="str">
        <f t="shared" si="3"/>
        <v>#DIV/0!</v>
      </c>
      <c r="S35" s="51"/>
      <c r="T35" s="56">
        <f t="shared" si="4"/>
        <v>39.28533055</v>
      </c>
      <c r="U35" s="56">
        <f t="shared" si="13"/>
        <v>1</v>
      </c>
      <c r="V35" s="52">
        <f t="shared" si="6"/>
        <v>1.005563852</v>
      </c>
      <c r="W35" s="51">
        <f t="shared" si="7"/>
        <v>1</v>
      </c>
      <c r="X35" s="51">
        <f t="shared" si="8"/>
        <v>30</v>
      </c>
      <c r="Y35" s="19">
        <f t="shared" si="9"/>
        <v>0.000533813</v>
      </c>
    </row>
    <row r="36">
      <c r="A36" s="51"/>
      <c r="B36" s="51">
        <v>31.0</v>
      </c>
      <c r="C36" s="57">
        <v>5.0</v>
      </c>
      <c r="D36" s="51">
        <v>1.0</v>
      </c>
      <c r="E36" s="51">
        <v>0.0</v>
      </c>
      <c r="F36" s="51">
        <v>0.6</v>
      </c>
      <c r="G36" s="51">
        <v>-1.0</v>
      </c>
      <c r="H36" s="51">
        <v>2.5</v>
      </c>
      <c r="I36" s="51">
        <v>0.0</v>
      </c>
      <c r="J36" s="51">
        <v>0.0</v>
      </c>
      <c r="K36" s="52">
        <v>4.43937E-6</v>
      </c>
      <c r="L36" s="53">
        <v>5.19744799459943E-8</v>
      </c>
      <c r="M36" s="52">
        <f t="shared" si="1"/>
        <v>4.43937</v>
      </c>
      <c r="N36" s="52"/>
      <c r="O36" s="52">
        <v>4.37991042</v>
      </c>
      <c r="P36" s="52"/>
      <c r="Q36" s="54">
        <f t="shared" si="2"/>
        <v>-0.01339369775</v>
      </c>
      <c r="R36" s="55" t="str">
        <f t="shared" si="3"/>
        <v>#DIV/0!</v>
      </c>
      <c r="S36" s="51"/>
      <c r="T36" s="56">
        <f t="shared" si="4"/>
        <v>326.7101361</v>
      </c>
      <c r="U36" s="56">
        <f t="shared" si="13"/>
        <v>8.316339242</v>
      </c>
      <c r="V36" s="52">
        <f t="shared" si="6"/>
        <v>1.013575524</v>
      </c>
      <c r="W36" s="51">
        <f t="shared" si="7"/>
        <v>1</v>
      </c>
      <c r="X36" s="51">
        <f t="shared" si="8"/>
        <v>31</v>
      </c>
      <c r="Y36" s="20">
        <f t="shared" si="9"/>
        <v>0.00443937</v>
      </c>
    </row>
    <row r="37">
      <c r="A37" s="51"/>
      <c r="B37" s="51">
        <v>32.0</v>
      </c>
      <c r="C37" s="57">
        <v>5.0</v>
      </c>
      <c r="D37" s="51">
        <v>1.0</v>
      </c>
      <c r="E37" s="51">
        <v>0.0</v>
      </c>
      <c r="F37" s="51">
        <v>1.0</v>
      </c>
      <c r="G37" s="51">
        <v>-1.0</v>
      </c>
      <c r="H37" s="51">
        <v>2.5</v>
      </c>
      <c r="I37" s="51">
        <v>0.0</v>
      </c>
      <c r="J37" s="51">
        <v>0.0</v>
      </c>
      <c r="K37" s="52">
        <v>1.58458E-5</v>
      </c>
      <c r="L37" s="53">
        <v>1.5025352312715E-7</v>
      </c>
      <c r="M37" s="52">
        <f t="shared" si="1"/>
        <v>15.8458</v>
      </c>
      <c r="N37" s="52"/>
      <c r="O37" s="52">
        <v>15.412532438</v>
      </c>
      <c r="P37" s="52"/>
      <c r="Q37" s="54">
        <f t="shared" si="2"/>
        <v>-0.02734273827</v>
      </c>
      <c r="R37" s="55" t="str">
        <f t="shared" si="3"/>
        <v>#DIV/0!</v>
      </c>
      <c r="S37" s="51"/>
      <c r="T37" s="56">
        <f t="shared" si="4"/>
        <v>1166.152737</v>
      </c>
      <c r="U37" s="56">
        <f t="shared" si="13"/>
        <v>29.68417779</v>
      </c>
      <c r="V37" s="52">
        <f t="shared" si="6"/>
        <v>1.02811138</v>
      </c>
      <c r="W37" s="51">
        <f t="shared" si="7"/>
        <v>1</v>
      </c>
      <c r="X37" s="51">
        <f t="shared" si="8"/>
        <v>32</v>
      </c>
      <c r="Y37" s="21">
        <f t="shared" si="9"/>
        <v>0.0158458</v>
      </c>
    </row>
    <row r="38">
      <c r="A38" s="51"/>
      <c r="B38" s="51">
        <v>33.0</v>
      </c>
      <c r="C38" s="57">
        <v>5.0</v>
      </c>
      <c r="D38" s="51">
        <v>1.0</v>
      </c>
      <c r="E38" s="51">
        <v>0.0</v>
      </c>
      <c r="F38" s="51">
        <v>1.4</v>
      </c>
      <c r="G38" s="51">
        <v>-1.0</v>
      </c>
      <c r="H38" s="51">
        <v>2.5</v>
      </c>
      <c r="I38" s="51">
        <v>0.0</v>
      </c>
      <c r="J38" s="51">
        <v>0.0</v>
      </c>
      <c r="K38" s="52">
        <v>4.26561E-5</v>
      </c>
      <c r="L38" s="53">
        <v>3.934203678746E-7</v>
      </c>
      <c r="M38" s="52">
        <f t="shared" si="1"/>
        <v>42.6561</v>
      </c>
      <c r="N38" s="52"/>
      <c r="O38" s="52">
        <v>40.670286514</v>
      </c>
      <c r="P38" s="52"/>
      <c r="Q38" s="54">
        <f t="shared" si="2"/>
        <v>-0.04655403298</v>
      </c>
      <c r="R38" s="55" t="str">
        <f t="shared" si="3"/>
        <v>#DIV/0!</v>
      </c>
      <c r="S38" s="51"/>
      <c r="T38" s="56">
        <f t="shared" si="4"/>
        <v>3139.224763</v>
      </c>
      <c r="U38" s="56">
        <f t="shared" si="13"/>
        <v>79.90831995</v>
      </c>
      <c r="V38" s="52">
        <f t="shared" si="6"/>
        <v>1.048827133</v>
      </c>
      <c r="W38" s="51">
        <f t="shared" si="7"/>
        <v>1</v>
      </c>
      <c r="X38" s="51">
        <f t="shared" si="8"/>
        <v>33</v>
      </c>
      <c r="Y38" s="21">
        <f t="shared" si="9"/>
        <v>0.0426561</v>
      </c>
    </row>
    <row r="39">
      <c r="A39" s="51"/>
      <c r="B39" s="51">
        <v>34.0</v>
      </c>
      <c r="C39" s="57">
        <v>5.0</v>
      </c>
      <c r="D39" s="51">
        <v>1.0</v>
      </c>
      <c r="E39" s="51">
        <v>0.0</v>
      </c>
      <c r="F39" s="51">
        <v>1.8</v>
      </c>
      <c r="G39" s="51">
        <v>-1.0</v>
      </c>
      <c r="H39" s="51">
        <v>2.5</v>
      </c>
      <c r="I39" s="51">
        <v>0.0</v>
      </c>
      <c r="J39" s="51">
        <v>0.0</v>
      </c>
      <c r="K39" s="52">
        <v>9.7914E-5</v>
      </c>
      <c r="L39" s="53">
        <v>8.51236771059639E-7</v>
      </c>
      <c r="M39" s="52">
        <f t="shared" si="1"/>
        <v>97.914</v>
      </c>
      <c r="N39" s="52"/>
      <c r="O39" s="52">
        <v>90.632599592</v>
      </c>
      <c r="P39" s="52"/>
      <c r="Q39" s="54">
        <f t="shared" si="2"/>
        <v>-0.07436526348</v>
      </c>
      <c r="R39" s="55" t="str">
        <f t="shared" si="3"/>
        <v>#DIV/0!</v>
      </c>
      <c r="S39" s="51"/>
      <c r="T39" s="56">
        <f t="shared" si="4"/>
        <v>7205.863954</v>
      </c>
      <c r="U39" s="56">
        <f t="shared" si="13"/>
        <v>183.4237832</v>
      </c>
      <c r="V39" s="52">
        <f t="shared" si="6"/>
        <v>1.08033975</v>
      </c>
      <c r="W39" s="51">
        <f t="shared" si="7"/>
        <v>1</v>
      </c>
      <c r="X39" s="51">
        <f t="shared" si="8"/>
        <v>34</v>
      </c>
      <c r="Y39" s="21">
        <f t="shared" si="9"/>
        <v>0.097914</v>
      </c>
    </row>
    <row r="40">
      <c r="A40" s="51"/>
      <c r="B40" s="51">
        <v>35.0</v>
      </c>
      <c r="C40" s="57">
        <v>5.0</v>
      </c>
      <c r="D40" s="51">
        <v>1.0</v>
      </c>
      <c r="E40" s="51">
        <v>0.0</v>
      </c>
      <c r="F40" s="51">
        <v>2.2</v>
      </c>
      <c r="G40" s="51">
        <v>-1.0</v>
      </c>
      <c r="H40" s="51">
        <v>2.5</v>
      </c>
      <c r="I40" s="51">
        <v>0.0</v>
      </c>
      <c r="J40" s="51">
        <v>0.0</v>
      </c>
      <c r="K40" s="52">
        <v>2.02061E-4</v>
      </c>
      <c r="L40" s="53">
        <v>1.99999469696266E-6</v>
      </c>
      <c r="M40" s="52">
        <f t="shared" si="1"/>
        <v>202.061</v>
      </c>
      <c r="N40" s="52"/>
      <c r="O40" s="52">
        <v>179.216764822</v>
      </c>
      <c r="P40" s="52"/>
      <c r="Q40" s="54">
        <f t="shared" si="2"/>
        <v>-0.1130561324</v>
      </c>
      <c r="R40" s="55" t="str">
        <f t="shared" si="3"/>
        <v>#DIV/0!</v>
      </c>
      <c r="S40" s="51"/>
      <c r="T40" s="56">
        <f t="shared" si="4"/>
        <v>14870.4381</v>
      </c>
      <c r="U40" s="56">
        <f t="shared" si="13"/>
        <v>378.52394</v>
      </c>
      <c r="V40" s="52">
        <f t="shared" si="6"/>
        <v>1.127467066</v>
      </c>
      <c r="W40" s="51">
        <f t="shared" si="7"/>
        <v>0</v>
      </c>
      <c r="X40" s="51">
        <f t="shared" si="8"/>
        <v>35</v>
      </c>
      <c r="Y40" s="36">
        <f t="shared" si="9"/>
        <v>0.202061</v>
      </c>
    </row>
    <row r="41">
      <c r="A41" s="58"/>
      <c r="B41" s="58">
        <v>36.0</v>
      </c>
      <c r="C41" s="64">
        <v>5.0</v>
      </c>
      <c r="D41" s="58">
        <v>1.0</v>
      </c>
      <c r="E41" s="58">
        <v>0.0</v>
      </c>
      <c r="F41" s="58">
        <v>0.0</v>
      </c>
      <c r="G41" s="58">
        <v>-1.0</v>
      </c>
      <c r="H41" s="58">
        <v>3.0</v>
      </c>
      <c r="I41" s="58">
        <v>0.0</v>
      </c>
      <c r="J41" s="58">
        <v>0.0</v>
      </c>
      <c r="K41" s="59">
        <v>8.20240999999999E-8</v>
      </c>
      <c r="L41" s="60">
        <v>8.25333841239379E-10</v>
      </c>
      <c r="M41" s="59">
        <f t="shared" si="1"/>
        <v>0.0820241</v>
      </c>
      <c r="N41" s="59"/>
      <c r="O41" s="59">
        <v>0.082377041</v>
      </c>
      <c r="P41" s="59"/>
      <c r="Q41" s="61">
        <f t="shared" si="2"/>
        <v>0.004302893906</v>
      </c>
      <c r="R41" s="62" t="str">
        <f t="shared" si="3"/>
        <v>#DIV/0!</v>
      </c>
      <c r="S41" s="58"/>
      <c r="T41" s="63">
        <f t="shared" si="4"/>
        <v>6.036465731</v>
      </c>
      <c r="U41" s="63">
        <f t="shared" ref="U41:U47" si="14">K41/$K$42</f>
        <v>0.07358071316</v>
      </c>
      <c r="V41" s="59">
        <f t="shared" si="6"/>
        <v>0.9957155417</v>
      </c>
      <c r="W41" s="58">
        <f t="shared" si="7"/>
        <v>1</v>
      </c>
      <c r="X41" s="58">
        <f t="shared" si="8"/>
        <v>36</v>
      </c>
      <c r="Y41" s="17">
        <f t="shared" si="9"/>
        <v>0.0000820241</v>
      </c>
    </row>
    <row r="42">
      <c r="A42" s="58"/>
      <c r="B42" s="58">
        <v>37.0</v>
      </c>
      <c r="C42" s="64">
        <v>5.0</v>
      </c>
      <c r="D42" s="58">
        <v>1.0</v>
      </c>
      <c r="E42" s="58">
        <v>0.0</v>
      </c>
      <c r="F42" s="58">
        <v>0.2</v>
      </c>
      <c r="G42" s="58">
        <v>-1.0</v>
      </c>
      <c r="H42" s="58">
        <v>3.0</v>
      </c>
      <c r="I42" s="58">
        <v>0.0</v>
      </c>
      <c r="J42" s="58">
        <v>0.0</v>
      </c>
      <c r="K42" s="59">
        <v>1.11475E-6</v>
      </c>
      <c r="L42" s="60">
        <v>1.17313143924172E-8</v>
      </c>
      <c r="M42" s="59">
        <f t="shared" si="1"/>
        <v>1.11475</v>
      </c>
      <c r="N42" s="59"/>
      <c r="O42" s="59">
        <v>1.10079</v>
      </c>
      <c r="P42" s="59"/>
      <c r="Q42" s="61">
        <f t="shared" si="2"/>
        <v>-0.01252298722</v>
      </c>
      <c r="R42" s="62" t="str">
        <f t="shared" si="3"/>
        <v>#DIV/0!</v>
      </c>
      <c r="S42" s="58"/>
      <c r="T42" s="63">
        <f t="shared" si="4"/>
        <v>82.03869562</v>
      </c>
      <c r="U42" s="63">
        <f t="shared" si="14"/>
        <v>1</v>
      </c>
      <c r="V42" s="59">
        <f t="shared" si="6"/>
        <v>1.012681801</v>
      </c>
      <c r="W42" s="58">
        <f t="shared" si="7"/>
        <v>1</v>
      </c>
      <c r="X42" s="58">
        <f t="shared" si="8"/>
        <v>37</v>
      </c>
      <c r="Y42" s="20">
        <f t="shared" si="9"/>
        <v>0.00111475</v>
      </c>
    </row>
    <row r="43">
      <c r="A43" s="58"/>
      <c r="B43" s="58">
        <v>38.0</v>
      </c>
      <c r="C43" s="64">
        <v>5.0</v>
      </c>
      <c r="D43" s="58">
        <v>1.0</v>
      </c>
      <c r="E43" s="58">
        <v>0.0</v>
      </c>
      <c r="F43" s="58">
        <v>0.6</v>
      </c>
      <c r="G43" s="58">
        <v>-1.0</v>
      </c>
      <c r="H43" s="58">
        <v>3.0</v>
      </c>
      <c r="I43" s="58">
        <v>0.0</v>
      </c>
      <c r="J43" s="58">
        <v>0.0</v>
      </c>
      <c r="K43" s="59">
        <v>9.30408999999999E-6</v>
      </c>
      <c r="L43" s="60">
        <v>1.00169663646991E-7</v>
      </c>
      <c r="M43" s="59">
        <f t="shared" si="1"/>
        <v>9.30409</v>
      </c>
      <c r="N43" s="59"/>
      <c r="O43" s="59">
        <v>9.082182265</v>
      </c>
      <c r="P43" s="59"/>
      <c r="Q43" s="61">
        <f t="shared" si="2"/>
        <v>-0.02385055766</v>
      </c>
      <c r="R43" s="62" t="str">
        <f t="shared" si="3"/>
        <v>#DIV/0!</v>
      </c>
      <c r="S43" s="58"/>
      <c r="T43" s="63">
        <f t="shared" si="4"/>
        <v>684.7233977</v>
      </c>
      <c r="U43" s="63">
        <f t="shared" si="14"/>
        <v>8.346346715</v>
      </c>
      <c r="V43" s="59">
        <f t="shared" si="6"/>
        <v>1.024433306</v>
      </c>
      <c r="W43" s="58">
        <f t="shared" si="7"/>
        <v>1</v>
      </c>
      <c r="X43" s="58">
        <f t="shared" si="8"/>
        <v>38</v>
      </c>
      <c r="Y43" s="20">
        <f t="shared" si="9"/>
        <v>0.00930409</v>
      </c>
    </row>
    <row r="44">
      <c r="A44" s="58"/>
      <c r="B44" s="58">
        <v>39.0</v>
      </c>
      <c r="C44" s="64">
        <v>5.0</v>
      </c>
      <c r="D44" s="58">
        <v>1.0</v>
      </c>
      <c r="E44" s="58">
        <v>0.0</v>
      </c>
      <c r="F44" s="58">
        <v>1.0</v>
      </c>
      <c r="G44" s="58">
        <v>-1.0</v>
      </c>
      <c r="H44" s="58">
        <v>3.0</v>
      </c>
      <c r="I44" s="58">
        <v>0.0</v>
      </c>
      <c r="J44" s="58">
        <v>0.0</v>
      </c>
      <c r="K44" s="59">
        <v>3.3502E-5</v>
      </c>
      <c r="L44" s="60">
        <v>3.25495736911368E-7</v>
      </c>
      <c r="M44" s="59">
        <f t="shared" si="1"/>
        <v>33.502</v>
      </c>
      <c r="N44" s="59"/>
      <c r="O44" s="59">
        <v>31.959427255</v>
      </c>
      <c r="P44" s="59"/>
      <c r="Q44" s="61">
        <f t="shared" si="2"/>
        <v>-0.0460441987</v>
      </c>
      <c r="R44" s="62" t="str">
        <f t="shared" si="3"/>
        <v>#DIV/0!</v>
      </c>
      <c r="S44" s="58"/>
      <c r="T44" s="63">
        <f t="shared" si="4"/>
        <v>2465.5397</v>
      </c>
      <c r="U44" s="63">
        <f t="shared" si="14"/>
        <v>30.0533752</v>
      </c>
      <c r="V44" s="59">
        <f t="shared" si="6"/>
        <v>1.048266595</v>
      </c>
      <c r="W44" s="58">
        <f t="shared" si="7"/>
        <v>1</v>
      </c>
      <c r="X44" s="58">
        <f t="shared" si="8"/>
        <v>39</v>
      </c>
      <c r="Y44" s="21">
        <f t="shared" si="9"/>
        <v>0.033502</v>
      </c>
    </row>
    <row r="45">
      <c r="A45" s="58"/>
      <c r="B45" s="58">
        <v>40.0</v>
      </c>
      <c r="C45" s="64">
        <v>5.0</v>
      </c>
      <c r="D45" s="58">
        <v>1.0</v>
      </c>
      <c r="E45" s="58">
        <v>0.0</v>
      </c>
      <c r="F45" s="58">
        <v>1.4</v>
      </c>
      <c r="G45" s="58">
        <v>-1.0</v>
      </c>
      <c r="H45" s="58">
        <v>3.0</v>
      </c>
      <c r="I45" s="58">
        <v>0.0</v>
      </c>
      <c r="J45" s="58">
        <v>0.0</v>
      </c>
      <c r="K45" s="59">
        <v>9.13747E-5</v>
      </c>
      <c r="L45" s="60">
        <v>8.34943238861906E-7</v>
      </c>
      <c r="M45" s="59">
        <f t="shared" si="1"/>
        <v>91.3747</v>
      </c>
      <c r="N45" s="59"/>
      <c r="O45" s="59">
        <v>84.333906109</v>
      </c>
      <c r="P45" s="59"/>
      <c r="Q45" s="61">
        <f t="shared" si="2"/>
        <v>-0.07705408489</v>
      </c>
      <c r="R45" s="62" t="str">
        <f t="shared" si="3"/>
        <v>#DIV/0!</v>
      </c>
      <c r="S45" s="58"/>
      <c r="T45" s="63">
        <f t="shared" si="4"/>
        <v>6724.611977</v>
      </c>
      <c r="U45" s="63">
        <f t="shared" si="14"/>
        <v>81.96878224</v>
      </c>
      <c r="V45" s="59">
        <f t="shared" si="6"/>
        <v>1.083487108</v>
      </c>
      <c r="W45" s="58">
        <f t="shared" si="7"/>
        <v>1</v>
      </c>
      <c r="X45" s="58">
        <f t="shared" si="8"/>
        <v>40</v>
      </c>
      <c r="Y45" s="21">
        <f t="shared" si="9"/>
        <v>0.0913747</v>
      </c>
    </row>
    <row r="46">
      <c r="A46" s="58"/>
      <c r="B46" s="58">
        <v>41.0</v>
      </c>
      <c r="C46" s="64">
        <v>5.0</v>
      </c>
      <c r="D46" s="58">
        <v>1.0</v>
      </c>
      <c r="E46" s="58">
        <v>0.0</v>
      </c>
      <c r="F46" s="58">
        <v>1.8</v>
      </c>
      <c r="G46" s="58">
        <v>-1.0</v>
      </c>
      <c r="H46" s="58">
        <v>3.0</v>
      </c>
      <c r="I46" s="58">
        <v>0.0</v>
      </c>
      <c r="J46" s="58">
        <v>0.0</v>
      </c>
      <c r="K46" s="59">
        <v>2.13747999999999E-4</v>
      </c>
      <c r="L46" s="60">
        <v>2.04670121380377E-6</v>
      </c>
      <c r="M46" s="59">
        <f t="shared" si="1"/>
        <v>213.748</v>
      </c>
      <c r="N46" s="59"/>
      <c r="O46" s="59">
        <v>187.935758754</v>
      </c>
      <c r="P46" s="59"/>
      <c r="Q46" s="61">
        <f t="shared" si="2"/>
        <v>-0.1207601533</v>
      </c>
      <c r="R46" s="62" t="str">
        <f t="shared" si="3"/>
        <v>#DIV/0!</v>
      </c>
      <c r="S46" s="58"/>
      <c r="T46" s="63">
        <f t="shared" si="4"/>
        <v>15730.52892</v>
      </c>
      <c r="U46" s="63">
        <f t="shared" si="14"/>
        <v>191.7452344</v>
      </c>
      <c r="V46" s="59">
        <f t="shared" si="6"/>
        <v>1.137346088</v>
      </c>
      <c r="W46" s="58">
        <f t="shared" si="7"/>
        <v>0</v>
      </c>
      <c r="X46" s="58">
        <f t="shared" si="8"/>
        <v>41</v>
      </c>
      <c r="Y46" s="36">
        <f t="shared" si="9"/>
        <v>0.213748</v>
      </c>
    </row>
    <row r="47">
      <c r="A47" s="58"/>
      <c r="B47" s="58">
        <v>42.0</v>
      </c>
      <c r="C47" s="64">
        <v>5.0</v>
      </c>
      <c r="D47" s="58">
        <v>1.0</v>
      </c>
      <c r="E47" s="58">
        <v>0.0</v>
      </c>
      <c r="F47" s="58">
        <v>2.2</v>
      </c>
      <c r="G47" s="58">
        <v>-1.0</v>
      </c>
      <c r="H47" s="58">
        <v>3.0</v>
      </c>
      <c r="I47" s="58">
        <v>0.0</v>
      </c>
      <c r="J47" s="58">
        <v>0.0</v>
      </c>
      <c r="K47" s="59">
        <v>4.46881999999999E-4</v>
      </c>
      <c r="L47" s="60">
        <v>4.460950209056E-6</v>
      </c>
      <c r="M47" s="59">
        <f t="shared" si="1"/>
        <v>446.882</v>
      </c>
      <c r="N47" s="59"/>
      <c r="O47" s="59">
        <v>371.623883364</v>
      </c>
      <c r="P47" s="59"/>
      <c r="Q47" s="61">
        <f t="shared" si="2"/>
        <v>-0.1684071335</v>
      </c>
      <c r="R47" s="62" t="str">
        <f t="shared" si="3"/>
        <v>#DIV/0!</v>
      </c>
      <c r="S47" s="58"/>
      <c r="T47" s="63">
        <f t="shared" si="4"/>
        <v>32887.74737</v>
      </c>
      <c r="U47" s="63">
        <f t="shared" si="14"/>
        <v>400.880915</v>
      </c>
      <c r="V47" s="59">
        <f t="shared" si="6"/>
        <v>1.202511518</v>
      </c>
      <c r="W47" s="58">
        <f t="shared" si="7"/>
        <v>0</v>
      </c>
      <c r="X47" s="58">
        <f t="shared" si="8"/>
        <v>42</v>
      </c>
      <c r="Y47" s="36">
        <f t="shared" si="9"/>
        <v>0.446882</v>
      </c>
    </row>
    <row r="48">
      <c r="K48" s="1"/>
      <c r="L48" s="2"/>
      <c r="M48" s="1"/>
      <c r="N48" s="1"/>
      <c r="O48" s="1"/>
    </row>
    <row r="49">
      <c r="K49" s="1"/>
      <c r="L49" s="2"/>
      <c r="M49" s="1"/>
      <c r="N49" s="1"/>
      <c r="O49" s="1"/>
    </row>
    <row r="50">
      <c r="K50" s="1"/>
      <c r="L50" s="2"/>
      <c r="M50" s="1"/>
      <c r="N50" s="1"/>
      <c r="O50" s="1"/>
    </row>
    <row r="51">
      <c r="K51" s="1"/>
      <c r="L51" s="2"/>
      <c r="M51" s="1"/>
      <c r="N51" s="1"/>
      <c r="O51" s="1"/>
    </row>
    <row r="52">
      <c r="K52" s="1"/>
      <c r="L52" s="2"/>
      <c r="M52" s="1"/>
      <c r="N52" s="1"/>
      <c r="O52" s="1"/>
    </row>
    <row r="53">
      <c r="K53" s="1"/>
      <c r="L53" s="2"/>
      <c r="M53" s="1"/>
      <c r="N53" s="1"/>
      <c r="O53" s="1"/>
    </row>
    <row r="54">
      <c r="K54" s="1"/>
      <c r="L54" s="2"/>
      <c r="M54" s="1"/>
      <c r="N54" s="1"/>
      <c r="O54" s="1"/>
    </row>
    <row r="55">
      <c r="K55" s="1"/>
      <c r="L55" s="2"/>
      <c r="M55" s="1"/>
      <c r="N55" s="1"/>
      <c r="O55" s="1"/>
    </row>
    <row r="56">
      <c r="K56" s="1"/>
      <c r="L56" s="2"/>
      <c r="M56" s="1"/>
      <c r="N56" s="1"/>
      <c r="O56" s="1"/>
    </row>
    <row r="57">
      <c r="K57" s="1"/>
      <c r="L57" s="2"/>
      <c r="M57" s="1"/>
      <c r="N57" s="1"/>
      <c r="O57" s="1"/>
    </row>
    <row r="58">
      <c r="K58" s="1"/>
      <c r="L58" s="2"/>
      <c r="M58" s="1"/>
      <c r="N58" s="1"/>
      <c r="O58" s="1"/>
    </row>
    <row r="59">
      <c r="K59" s="1"/>
      <c r="L59" s="2"/>
      <c r="M59" s="1"/>
      <c r="N59" s="1"/>
      <c r="O59" s="1"/>
    </row>
    <row r="60">
      <c r="K60" s="1"/>
      <c r="L60" s="2"/>
      <c r="M60" s="1"/>
      <c r="N60" s="1"/>
      <c r="O60" s="1"/>
    </row>
    <row r="61">
      <c r="K61" s="1"/>
      <c r="L61" s="2"/>
      <c r="M61" s="1"/>
      <c r="N61" s="1"/>
      <c r="O61" s="1"/>
    </row>
    <row r="62">
      <c r="K62" s="1"/>
      <c r="L62" s="2"/>
      <c r="M62" s="1"/>
      <c r="N62" s="1"/>
      <c r="O62" s="1"/>
    </row>
    <row r="63">
      <c r="K63" s="1"/>
      <c r="L63" s="2"/>
      <c r="M63" s="1"/>
      <c r="N63" s="1"/>
      <c r="O63" s="1"/>
    </row>
    <row r="64">
      <c r="K64" s="1"/>
      <c r="L64" s="2"/>
      <c r="M64" s="1"/>
      <c r="N64" s="1"/>
      <c r="O64" s="1"/>
    </row>
    <row r="65">
      <c r="K65" s="1"/>
      <c r="L65" s="2"/>
      <c r="M65" s="1"/>
      <c r="N65" s="1"/>
      <c r="O65" s="1"/>
    </row>
    <row r="66">
      <c r="K66" s="1"/>
      <c r="L66" s="2"/>
      <c r="M66" s="1"/>
      <c r="N66" s="1"/>
      <c r="O66" s="1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  <c r="Y1" s="73"/>
      <c r="Z1" s="74"/>
      <c r="AA1" s="75"/>
      <c r="AB1" s="73"/>
      <c r="AC1" s="74"/>
      <c r="AD1" s="75"/>
      <c r="AE1" s="73"/>
      <c r="AF1" s="74"/>
      <c r="AG1" s="75"/>
      <c r="AH1" s="73"/>
      <c r="AI1" s="74"/>
      <c r="AJ1" s="75"/>
      <c r="AK1" s="73"/>
      <c r="AL1" s="74"/>
      <c r="AM1" s="75"/>
      <c r="AN1" s="73"/>
      <c r="AO1" s="74"/>
      <c r="AP1" s="75"/>
      <c r="AQ1" s="73"/>
      <c r="AR1" s="74"/>
      <c r="AS1" s="75"/>
      <c r="AT1" s="73"/>
      <c r="AU1" s="74"/>
      <c r="AV1" s="75"/>
    </row>
    <row r="2">
      <c r="K2" s="1"/>
      <c r="L2" s="2"/>
      <c r="M2" s="1"/>
      <c r="N2" s="1"/>
      <c r="O2" s="1"/>
      <c r="Y2" s="76"/>
      <c r="AA2" s="77"/>
      <c r="AB2" s="76"/>
      <c r="AD2" s="77"/>
      <c r="AE2" s="76"/>
      <c r="AG2" s="77"/>
      <c r="AH2" s="76"/>
      <c r="AJ2" s="77"/>
      <c r="AK2" s="76"/>
      <c r="AM2" s="77"/>
      <c r="AN2" s="76"/>
      <c r="AP2" s="77"/>
      <c r="AQ2" s="76"/>
      <c r="AS2" s="77"/>
      <c r="AT2" s="76"/>
      <c r="AV2" s="77"/>
    </row>
    <row r="3">
      <c r="K3" s="1"/>
      <c r="L3" s="1"/>
      <c r="M3" s="1"/>
      <c r="N3" s="1"/>
      <c r="O3" s="1"/>
      <c r="Y3" s="76"/>
      <c r="AA3" s="77"/>
      <c r="AB3" s="76"/>
      <c r="AD3" s="77"/>
      <c r="AE3" s="76"/>
      <c r="AG3" s="77"/>
      <c r="AH3" s="76"/>
      <c r="AJ3" s="77"/>
      <c r="AK3" s="76"/>
      <c r="AM3" s="77"/>
      <c r="AN3" s="76"/>
      <c r="AP3" s="77"/>
      <c r="AQ3" s="76"/>
      <c r="AS3" s="77"/>
      <c r="AT3" s="76"/>
      <c r="AV3" s="77"/>
    </row>
    <row r="4" ht="43.5" customHeight="1">
      <c r="K4" s="1"/>
      <c r="L4" s="1"/>
      <c r="N4" s="1"/>
      <c r="O4" s="1"/>
      <c r="V4" s="3" t="s">
        <v>0</v>
      </c>
      <c r="Y4" s="78" t="s">
        <v>23</v>
      </c>
      <c r="Z4" s="3" t="s">
        <v>0</v>
      </c>
      <c r="AA4" s="77"/>
      <c r="AB4" s="78" t="s">
        <v>23</v>
      </c>
      <c r="AC4" s="3" t="s">
        <v>0</v>
      </c>
      <c r="AD4" s="77"/>
      <c r="AE4" s="78" t="s">
        <v>23</v>
      </c>
      <c r="AF4" s="3" t="s">
        <v>0</v>
      </c>
      <c r="AG4" s="77"/>
      <c r="AH4" s="78" t="s">
        <v>23</v>
      </c>
      <c r="AI4" s="3" t="s">
        <v>0</v>
      </c>
      <c r="AJ4" s="77"/>
      <c r="AK4" s="78" t="s">
        <v>23</v>
      </c>
      <c r="AL4" s="3" t="s">
        <v>0</v>
      </c>
      <c r="AM4" s="77"/>
      <c r="AN4" s="78" t="s">
        <v>23</v>
      </c>
      <c r="AO4" s="3" t="s">
        <v>0</v>
      </c>
      <c r="AP4" s="77"/>
      <c r="AQ4" s="78" t="s">
        <v>23</v>
      </c>
      <c r="AR4" s="3" t="s">
        <v>0</v>
      </c>
      <c r="AS4" s="77"/>
      <c r="AT4" s="78" t="s">
        <v>23</v>
      </c>
      <c r="AU4" s="3" t="s">
        <v>0</v>
      </c>
      <c r="AV4" s="77"/>
      <c r="AX4" s="3" t="s">
        <v>0</v>
      </c>
      <c r="BA4" s="3" t="s">
        <v>0</v>
      </c>
      <c r="BD4" s="3" t="s">
        <v>0</v>
      </c>
      <c r="BG4" s="3" t="s">
        <v>0</v>
      </c>
      <c r="BJ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24</v>
      </c>
      <c r="W5" s="4">
        <v>0.1</v>
      </c>
      <c r="X5" s="4" t="s">
        <v>2</v>
      </c>
      <c r="Y5" s="80" t="s">
        <v>15</v>
      </c>
      <c r="Z5" s="3" t="s">
        <v>25</v>
      </c>
      <c r="AA5" s="77"/>
      <c r="AB5" s="80" t="s">
        <v>26</v>
      </c>
      <c r="AC5" s="3" t="s">
        <v>27</v>
      </c>
      <c r="AD5" s="77"/>
      <c r="AE5" s="80" t="s">
        <v>28</v>
      </c>
      <c r="AF5" s="3" t="s">
        <v>29</v>
      </c>
      <c r="AG5" s="77"/>
      <c r="AH5" s="80" t="s">
        <v>30</v>
      </c>
      <c r="AI5" s="3" t="s">
        <v>31</v>
      </c>
      <c r="AJ5" s="77"/>
      <c r="AK5" s="80" t="s">
        <v>32</v>
      </c>
      <c r="AL5" s="3" t="s">
        <v>33</v>
      </c>
      <c r="AM5" s="77"/>
      <c r="AN5" s="80" t="s">
        <v>34</v>
      </c>
      <c r="AO5" s="3" t="s">
        <v>35</v>
      </c>
      <c r="AP5" s="77"/>
      <c r="AQ5" s="80" t="s">
        <v>36</v>
      </c>
      <c r="AR5" s="3" t="s">
        <v>37</v>
      </c>
      <c r="AS5" s="77"/>
      <c r="AT5" s="80" t="s">
        <v>38</v>
      </c>
      <c r="AU5" s="3" t="s">
        <v>39</v>
      </c>
      <c r="AV5" s="77"/>
      <c r="AW5" s="5" t="s">
        <v>40</v>
      </c>
      <c r="AX5" s="3" t="s">
        <v>41</v>
      </c>
      <c r="AZ5" s="5" t="s">
        <v>26</v>
      </c>
      <c r="BA5" s="3" t="s">
        <v>41</v>
      </c>
      <c r="BC5" s="5" t="s">
        <v>34</v>
      </c>
      <c r="BD5" s="3" t="s">
        <v>41</v>
      </c>
      <c r="BF5" s="5" t="s">
        <v>42</v>
      </c>
      <c r="BG5" s="3" t="s">
        <v>41</v>
      </c>
      <c r="BI5" s="5" t="s">
        <v>43</v>
      </c>
      <c r="BJ5" s="3" t="s">
        <v>41</v>
      </c>
      <c r="BL5" s="4" t="s">
        <v>44</v>
      </c>
      <c r="BM5" s="4"/>
      <c r="BN5" s="4"/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8.04191911764705E-9</v>
      </c>
      <c r="L6" s="11">
        <v>1.33146038182366E-10</v>
      </c>
      <c r="M6" s="10">
        <f t="shared" ref="M6:M66" si="1">K6*1000000</f>
        <v>0.008041919118</v>
      </c>
      <c r="N6" s="10">
        <v>8.273E-6</v>
      </c>
      <c r="O6" s="10">
        <v>0.003714031</v>
      </c>
      <c r="P6" s="10">
        <v>8.54E-6</v>
      </c>
      <c r="Q6" s="12">
        <f t="shared" ref="Q6:Q66" si="2">(O6-M6)/M6</f>
        <v>-0.5381660838</v>
      </c>
      <c r="R6" s="13">
        <f t="shared" ref="R6:R66" si="3">(O6-M6)/sqrt(N6*N6+P6*P6)</f>
        <v>-363.9913424</v>
      </c>
      <c r="S6" s="8">
        <v>916732.0</v>
      </c>
      <c r="T6" s="14">
        <f t="shared" ref="T6:T66" si="4">K6/$K$14</f>
        <v>0.01457490838</v>
      </c>
      <c r="U6" s="14">
        <f t="shared" ref="U6:U12" si="5">K6/$K$7</f>
        <v>0.1257704395</v>
      </c>
      <c r="V6" s="10">
        <f t="shared" ref="V6:V66" si="6">M6/O6</f>
        <v>2.165280558</v>
      </c>
      <c r="W6" s="15">
        <f t="shared" ref="W6:W66" si="7">IF(abs(1/V6-1)&lt;$W$5, 1, 0)</f>
        <v>0</v>
      </c>
      <c r="X6" s="8">
        <f t="shared" ref="X6:X66" si="8">B6</f>
        <v>1</v>
      </c>
      <c r="Y6" s="82">
        <v>0.007927616</v>
      </c>
      <c r="Z6" s="83">
        <f t="shared" ref="Z6:Z66" si="9">M6/Y6</f>
        <v>1.014418347</v>
      </c>
      <c r="AA6" s="84">
        <f t="shared" ref="AA6:AA66" si="10">IF(abs(1/Z6-1)&lt;$W$5, 1, 0)</f>
        <v>1</v>
      </c>
      <c r="AB6" s="82">
        <v>0.00739392</v>
      </c>
      <c r="AC6" s="83">
        <f t="shared" ref="AC6:AC66" si="11">M6/AB6</f>
        <v>1.087639455</v>
      </c>
      <c r="AD6" s="84">
        <f t="shared" ref="AD6:AD66" si="12">IF(abs(1/AC6-1)&lt;$W$5, 1, 0)</f>
        <v>1</v>
      </c>
      <c r="AE6" s="82">
        <v>0.007932057</v>
      </c>
      <c r="AF6" s="83">
        <f t="shared" ref="AF6:AF66" si="13">M6/AE6</f>
        <v>1.013850394</v>
      </c>
      <c r="AG6" s="84">
        <f t="shared" ref="AG6:AG66" si="14">IF(abs(1/AF6-1)&lt;$W$5, 1, 0)</f>
        <v>1</v>
      </c>
      <c r="AH6" s="82">
        <v>0.008264206</v>
      </c>
      <c r="AI6" s="83">
        <f t="shared" ref="AI6:AI66" si="15">M6/AH6</f>
        <v>0.9731024514</v>
      </c>
      <c r="AJ6" s="84">
        <f t="shared" ref="AJ6:AJ66" si="16">IF(abs(1/AI6-1)&lt;$W$5, 1, 0)</f>
        <v>1</v>
      </c>
      <c r="AK6" s="82">
        <v>0.008071019</v>
      </c>
      <c r="AL6" s="83">
        <f t="shared" ref="AL6:AL66" si="17">M6/AK6</f>
        <v>0.9963945219</v>
      </c>
      <c r="AM6" s="84">
        <f t="shared" ref="AM6:AM66" si="18">IF(abs(1/AL6-1)&lt;$W$5, 1, 0)</f>
        <v>1</v>
      </c>
      <c r="AN6" s="82">
        <v>0.00964104</v>
      </c>
      <c r="AO6" s="83">
        <f t="shared" ref="AO6:AO66" si="19">M6/AN6</f>
        <v>0.8341339853</v>
      </c>
      <c r="AP6" s="84">
        <f t="shared" ref="AP6:AP66" si="20">IF(abs(1/AO6-1)&lt;$W$5, 1, 0)</f>
        <v>0</v>
      </c>
      <c r="AQ6" s="82">
        <v>0.008194308</v>
      </c>
      <c r="AR6" s="83">
        <f t="shared" ref="AR6:AR66" si="21">M6/AQ6</f>
        <v>0.981403081</v>
      </c>
      <c r="AS6" s="84">
        <f t="shared" ref="AS6:AS66" si="22">IF(abs(1/AR6-1)&lt;$W$5, 1, 0)</f>
        <v>1</v>
      </c>
      <c r="AT6" s="82">
        <v>0.037918661</v>
      </c>
      <c r="AU6" s="83">
        <f t="shared" ref="AU6:AU66" si="23">M6/AT6</f>
        <v>0.212083415</v>
      </c>
      <c r="AV6" s="84">
        <f t="shared" ref="AV6:AV66" si="24">IF(abs(1/AU6-1)&lt;$W$5, 1, 0)</f>
        <v>0</v>
      </c>
      <c r="AW6" s="10">
        <v>0.004919329</v>
      </c>
      <c r="AX6" s="83">
        <f t="shared" ref="AX6:AX66" si="25">M6/AW6</f>
        <v>1.634759358</v>
      </c>
      <c r="AY6" s="15">
        <f t="shared" ref="AY6:AY66" si="26">IF(abs(1/AX6-1)&lt;$W$5, 1, 0)</f>
        <v>0</v>
      </c>
      <c r="AZ6" s="10">
        <v>0.002682661</v>
      </c>
      <c r="BA6" s="83">
        <f t="shared" ref="BA6:BA66" si="27">M6/AZ6</f>
        <v>2.997739602</v>
      </c>
      <c r="BB6" s="15">
        <f t="shared" ref="BB6:BB66" si="28">IF(abs(1/BA6-1)&lt;$W$5, 1, 0)</f>
        <v>0</v>
      </c>
      <c r="BC6" s="10">
        <v>0.002611963</v>
      </c>
      <c r="BD6" s="83">
        <f t="shared" ref="BD6:BD66" si="29">M6/BC6</f>
        <v>3.078879417</v>
      </c>
      <c r="BE6" s="15">
        <f t="shared" ref="BE6:BE66" si="30">IF(abs(1/BD6-1)&lt;$W$5, 1, 0)</f>
        <v>0</v>
      </c>
      <c r="BF6" s="10">
        <v>0.002555434</v>
      </c>
      <c r="BG6" s="83">
        <f t="shared" ref="BG6:BG66" si="31">M6/BF6</f>
        <v>3.146987603</v>
      </c>
      <c r="BH6" s="15">
        <f t="shared" ref="BH6:BH66" si="32">IF(abs(1/BG6-1)&lt;$W$5, 1, 0)</f>
        <v>0</v>
      </c>
      <c r="BI6" s="10">
        <v>0.002460547</v>
      </c>
      <c r="BJ6" s="83">
        <f t="shared" ref="BJ6:BJ66" si="33">M6/BI6</f>
        <v>3.26834607</v>
      </c>
      <c r="BK6" s="15">
        <f t="shared" ref="BK6:BK66" si="34">IF(abs(1/BJ6-1)&lt;$W$5, 1, 0)</f>
        <v>0</v>
      </c>
      <c r="BL6" s="86">
        <v>4.92</v>
      </c>
      <c r="BM6" s="86"/>
      <c r="BN6" s="86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6.39412499999999E-8</v>
      </c>
      <c r="L7" s="11">
        <v>1.18812110462665E-9</v>
      </c>
      <c r="M7" s="10">
        <f t="shared" si="1"/>
        <v>0.06394125</v>
      </c>
      <c r="N7" s="10">
        <v>7.0162E-5</v>
      </c>
      <c r="O7" s="10">
        <v>0.034412004</v>
      </c>
      <c r="P7" s="10">
        <v>3.8856E-5</v>
      </c>
      <c r="Q7" s="12">
        <f t="shared" si="2"/>
        <v>-0.4618184036</v>
      </c>
      <c r="R7" s="13">
        <f t="shared" si="3"/>
        <v>-368.1820656</v>
      </c>
      <c r="S7" s="8">
        <v>1000000.0</v>
      </c>
      <c r="T7" s="14">
        <f t="shared" si="4"/>
        <v>0.1158850079</v>
      </c>
      <c r="U7" s="14">
        <f t="shared" si="5"/>
        <v>1</v>
      </c>
      <c r="V7" s="10">
        <f t="shared" si="6"/>
        <v>1.858108874</v>
      </c>
      <c r="W7" s="8">
        <f t="shared" si="7"/>
        <v>0</v>
      </c>
      <c r="X7" s="8">
        <f t="shared" si="8"/>
        <v>2</v>
      </c>
      <c r="Y7" s="82">
        <v>0.063524798</v>
      </c>
      <c r="Z7" s="83">
        <f t="shared" si="9"/>
        <v>1.006555739</v>
      </c>
      <c r="AA7" s="84">
        <f t="shared" si="10"/>
        <v>1</v>
      </c>
      <c r="AB7" s="82">
        <v>0.062914997</v>
      </c>
      <c r="AC7" s="83">
        <f t="shared" si="11"/>
        <v>1.016311739</v>
      </c>
      <c r="AD7" s="84">
        <f t="shared" si="12"/>
        <v>1</v>
      </c>
      <c r="AE7" s="82">
        <v>0.059107292</v>
      </c>
      <c r="AF7" s="83">
        <f t="shared" si="13"/>
        <v>1.081782769</v>
      </c>
      <c r="AG7" s="84">
        <f t="shared" si="14"/>
        <v>1</v>
      </c>
      <c r="AH7" s="82">
        <v>0.06720534</v>
      </c>
      <c r="AI7" s="83">
        <f t="shared" si="15"/>
        <v>0.9514310916</v>
      </c>
      <c r="AJ7" s="84">
        <f t="shared" si="16"/>
        <v>1</v>
      </c>
      <c r="AK7" s="82">
        <v>0.067483842</v>
      </c>
      <c r="AL7" s="83">
        <f t="shared" si="17"/>
        <v>0.9475045893</v>
      </c>
      <c r="AM7" s="84">
        <f t="shared" si="18"/>
        <v>1</v>
      </c>
      <c r="AN7" s="82">
        <v>0.176095113</v>
      </c>
      <c r="AO7" s="83">
        <f t="shared" si="19"/>
        <v>0.3631063288</v>
      </c>
      <c r="AP7" s="84">
        <f t="shared" si="20"/>
        <v>0</v>
      </c>
      <c r="AQ7" s="82">
        <v>0.05578183</v>
      </c>
      <c r="AR7" s="83">
        <f t="shared" si="21"/>
        <v>1.146273796</v>
      </c>
      <c r="AS7" s="84">
        <f t="shared" si="22"/>
        <v>0</v>
      </c>
      <c r="AT7" s="82">
        <v>1.018815517</v>
      </c>
      <c r="AU7" s="83">
        <f t="shared" si="23"/>
        <v>0.06276038098</v>
      </c>
      <c r="AV7" s="84">
        <f t="shared" si="24"/>
        <v>0</v>
      </c>
      <c r="AW7" s="10">
        <v>0.041822765</v>
      </c>
      <c r="AX7" s="83">
        <f t="shared" si="25"/>
        <v>1.528862331</v>
      </c>
      <c r="AY7" s="15">
        <f t="shared" si="26"/>
        <v>0</v>
      </c>
      <c r="AZ7" s="10">
        <v>0.031423319</v>
      </c>
      <c r="BA7" s="83">
        <f t="shared" si="27"/>
        <v>2.034834385</v>
      </c>
      <c r="BB7" s="15">
        <f t="shared" si="28"/>
        <v>0</v>
      </c>
      <c r="BC7" s="10">
        <v>0.031255551</v>
      </c>
      <c r="BD7" s="83">
        <f t="shared" si="29"/>
        <v>2.045756608</v>
      </c>
      <c r="BE7" s="15">
        <f t="shared" si="30"/>
        <v>0</v>
      </c>
      <c r="BF7" s="10">
        <v>0.031483218</v>
      </c>
      <c r="BG7" s="83">
        <f t="shared" si="31"/>
        <v>2.030962972</v>
      </c>
      <c r="BH7" s="15">
        <f t="shared" si="32"/>
        <v>0</v>
      </c>
      <c r="BI7" s="10">
        <v>0.034550872</v>
      </c>
      <c r="BJ7" s="83">
        <f t="shared" si="33"/>
        <v>1.850640702</v>
      </c>
      <c r="BK7" s="15">
        <f t="shared" si="34"/>
        <v>0</v>
      </c>
      <c r="BL7" s="86">
        <v>5.028</v>
      </c>
      <c r="BM7" s="86">
        <f t="shared" ref="BM7:BM12" si="35">BL7/(H7*H7*F7*C7)</f>
        <v>67.04</v>
      </c>
      <c r="BN7" s="86">
        <f t="shared" ref="BN7:BN12" si="36">BL7/(H7*H7*F7*C7*C7)</f>
        <v>44.69333333</v>
      </c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5.29738970588235E-7</v>
      </c>
      <c r="L8" s="11">
        <v>1.06412904591579E-8</v>
      </c>
      <c r="M8" s="10">
        <f t="shared" si="1"/>
        <v>0.5297389706</v>
      </c>
      <c r="N8" s="10">
        <v>5.82757E-4</v>
      </c>
      <c r="O8" s="10">
        <v>0.381429911</v>
      </c>
      <c r="P8" s="10">
        <v>7.02189E-4</v>
      </c>
      <c r="Q8" s="12">
        <f t="shared" si="2"/>
        <v>-0.2799663001</v>
      </c>
      <c r="R8" s="13">
        <f t="shared" si="3"/>
        <v>-162.5286353</v>
      </c>
      <c r="S8" s="8">
        <v>1000000.0</v>
      </c>
      <c r="T8" s="14">
        <f t="shared" si="4"/>
        <v>0.9600813996</v>
      </c>
      <c r="U8" s="14">
        <f t="shared" si="5"/>
        <v>8.284776581</v>
      </c>
      <c r="V8" s="10">
        <f t="shared" si="6"/>
        <v>1.388823884</v>
      </c>
      <c r="W8" s="8">
        <f t="shared" si="7"/>
        <v>0</v>
      </c>
      <c r="X8" s="88">
        <f t="shared" si="8"/>
        <v>3</v>
      </c>
      <c r="Y8" s="82">
        <v>0.528882384</v>
      </c>
      <c r="Z8" s="83">
        <f t="shared" si="9"/>
        <v>1.001619616</v>
      </c>
      <c r="AA8" s="84">
        <f t="shared" si="10"/>
        <v>1</v>
      </c>
      <c r="AB8" s="82">
        <v>0.53056699</v>
      </c>
      <c r="AC8" s="83">
        <f t="shared" si="11"/>
        <v>0.9984393688</v>
      </c>
      <c r="AD8" s="84">
        <f t="shared" si="12"/>
        <v>1</v>
      </c>
      <c r="AE8" s="82">
        <v>0.494352907</v>
      </c>
      <c r="AF8" s="83">
        <f t="shared" si="13"/>
        <v>1.071580571</v>
      </c>
      <c r="AG8" s="84">
        <f t="shared" si="14"/>
        <v>1</v>
      </c>
      <c r="AH8" s="82">
        <v>0.539585054</v>
      </c>
      <c r="AI8" s="83">
        <f t="shared" si="15"/>
        <v>0.9817524905</v>
      </c>
      <c r="AJ8" s="84">
        <f t="shared" si="16"/>
        <v>1</v>
      </c>
      <c r="AK8" s="82">
        <v>0.542354882</v>
      </c>
      <c r="AL8" s="83">
        <f t="shared" si="17"/>
        <v>0.9767386414</v>
      </c>
      <c r="AM8" s="84">
        <f t="shared" si="18"/>
        <v>1</v>
      </c>
      <c r="AN8" s="82">
        <v>1.432068229</v>
      </c>
      <c r="AO8" s="83">
        <f t="shared" si="19"/>
        <v>0.3699118239</v>
      </c>
      <c r="AP8" s="84">
        <f t="shared" si="20"/>
        <v>0</v>
      </c>
      <c r="AQ8" s="82">
        <v>0.498264343</v>
      </c>
      <c r="AR8" s="83">
        <f t="shared" si="21"/>
        <v>1.063168533</v>
      </c>
      <c r="AS8" s="84">
        <f t="shared" si="22"/>
        <v>1</v>
      </c>
      <c r="AT8" s="82">
        <v>3.727031469</v>
      </c>
      <c r="AU8" s="83">
        <f t="shared" si="23"/>
        <v>0.1421342897</v>
      </c>
      <c r="AV8" s="84">
        <f t="shared" si="24"/>
        <v>0</v>
      </c>
      <c r="AW8" s="10">
        <v>0.447159678</v>
      </c>
      <c r="AX8" s="83">
        <f t="shared" si="25"/>
        <v>1.184675177</v>
      </c>
      <c r="AY8" s="15">
        <f t="shared" si="26"/>
        <v>0</v>
      </c>
      <c r="AZ8" s="10">
        <v>0.356962174</v>
      </c>
      <c r="BA8" s="83">
        <f t="shared" si="27"/>
        <v>1.484019902</v>
      </c>
      <c r="BB8" s="15">
        <f t="shared" si="28"/>
        <v>0</v>
      </c>
      <c r="BC8" s="10">
        <v>0.356618345</v>
      </c>
      <c r="BD8" s="83">
        <f t="shared" si="29"/>
        <v>1.485450701</v>
      </c>
      <c r="BE8" s="15">
        <f t="shared" si="30"/>
        <v>0</v>
      </c>
      <c r="BF8" s="10">
        <v>0.359210789</v>
      </c>
      <c r="BG8" s="83">
        <f t="shared" si="31"/>
        <v>1.474730122</v>
      </c>
      <c r="BH8" s="15">
        <f t="shared" si="32"/>
        <v>0</v>
      </c>
      <c r="BI8" s="10">
        <v>0.398655385</v>
      </c>
      <c r="BJ8" s="83">
        <f t="shared" si="33"/>
        <v>1.328814286</v>
      </c>
      <c r="BK8" s="15">
        <f t="shared" si="34"/>
        <v>0</v>
      </c>
      <c r="BL8" s="86">
        <v>6.748</v>
      </c>
      <c r="BM8" s="86">
        <f t="shared" si="35"/>
        <v>29.99111111</v>
      </c>
      <c r="BN8" s="86">
        <f t="shared" si="36"/>
        <v>19.99407407</v>
      </c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2.07155147058823E-6</v>
      </c>
      <c r="L9" s="11">
        <v>3.63757794576925E-8</v>
      </c>
      <c r="M9" s="10">
        <f t="shared" si="1"/>
        <v>2.071551471</v>
      </c>
      <c r="N9" s="10">
        <v>0.002270186</v>
      </c>
      <c r="O9" s="10">
        <v>1.797771931</v>
      </c>
      <c r="P9" s="10">
        <v>0.004838029</v>
      </c>
      <c r="Q9" s="12">
        <f t="shared" si="2"/>
        <v>-0.1321615917</v>
      </c>
      <c r="R9" s="13">
        <f t="shared" si="3"/>
        <v>-51.22946747</v>
      </c>
      <c r="S9" s="8">
        <v>1000000.0</v>
      </c>
      <c r="T9" s="14">
        <f t="shared" si="4"/>
        <v>3.75441141</v>
      </c>
      <c r="U9" s="14">
        <f t="shared" si="5"/>
        <v>32.39773183</v>
      </c>
      <c r="V9" s="10">
        <f t="shared" si="6"/>
        <v>1.152288249</v>
      </c>
      <c r="W9" s="8">
        <f t="shared" si="7"/>
        <v>0</v>
      </c>
      <c r="X9" s="88">
        <f t="shared" si="8"/>
        <v>4</v>
      </c>
      <c r="Y9" s="82">
        <v>2.067125559</v>
      </c>
      <c r="Z9" s="83">
        <f t="shared" si="9"/>
        <v>1.002141095</v>
      </c>
      <c r="AA9" s="84">
        <f t="shared" si="10"/>
        <v>1</v>
      </c>
      <c r="AB9" s="82">
        <v>2.059507608</v>
      </c>
      <c r="AC9" s="83">
        <f t="shared" si="11"/>
        <v>1.005847933</v>
      </c>
      <c r="AD9" s="84">
        <f t="shared" si="12"/>
        <v>1</v>
      </c>
      <c r="AE9" s="82">
        <v>1.989518642</v>
      </c>
      <c r="AF9" s="83">
        <f t="shared" si="13"/>
        <v>1.041232501</v>
      </c>
      <c r="AG9" s="84">
        <f t="shared" si="14"/>
        <v>1</v>
      </c>
      <c r="AH9" s="82">
        <v>2.068090916</v>
      </c>
      <c r="AI9" s="83">
        <f t="shared" si="15"/>
        <v>1.001673309</v>
      </c>
      <c r="AJ9" s="84">
        <f t="shared" si="16"/>
        <v>1</v>
      </c>
      <c r="AK9" s="82">
        <v>2.090314627</v>
      </c>
      <c r="AL9" s="83">
        <f t="shared" si="17"/>
        <v>0.9910237645</v>
      </c>
      <c r="AM9" s="84">
        <f t="shared" si="18"/>
        <v>1</v>
      </c>
      <c r="AN9" s="82">
        <v>4.281514645</v>
      </c>
      <c r="AO9" s="83">
        <f t="shared" si="19"/>
        <v>0.4838361286</v>
      </c>
      <c r="AP9" s="84">
        <f t="shared" si="20"/>
        <v>0</v>
      </c>
      <c r="AQ9" s="82">
        <v>2.01795125</v>
      </c>
      <c r="AR9" s="83">
        <f t="shared" si="21"/>
        <v>1.026561702</v>
      </c>
      <c r="AS9" s="84">
        <f t="shared" si="22"/>
        <v>1</v>
      </c>
      <c r="AT9" s="82">
        <v>5.538468838</v>
      </c>
      <c r="AU9" s="83">
        <f t="shared" si="23"/>
        <v>0.3740296337</v>
      </c>
      <c r="AV9" s="84">
        <f t="shared" si="24"/>
        <v>0</v>
      </c>
      <c r="AW9" s="90">
        <v>2.077682734</v>
      </c>
      <c r="AX9" s="91">
        <f t="shared" si="25"/>
        <v>0.9970489896</v>
      </c>
      <c r="AY9" s="92">
        <f t="shared" si="26"/>
        <v>1</v>
      </c>
      <c r="AZ9" s="10">
        <v>1.69907856</v>
      </c>
      <c r="BA9" s="83">
        <f t="shared" si="27"/>
        <v>1.219220535</v>
      </c>
      <c r="BB9" s="15">
        <f t="shared" si="28"/>
        <v>0</v>
      </c>
      <c r="BC9" s="10">
        <v>1.700197697</v>
      </c>
      <c r="BD9" s="83">
        <f t="shared" si="29"/>
        <v>1.218417996</v>
      </c>
      <c r="BE9" s="15">
        <f t="shared" si="30"/>
        <v>0</v>
      </c>
      <c r="BF9" s="10">
        <v>1.70950067</v>
      </c>
      <c r="BG9" s="83">
        <f t="shared" si="31"/>
        <v>1.211787458</v>
      </c>
      <c r="BH9" s="15">
        <f t="shared" si="32"/>
        <v>0</v>
      </c>
      <c r="BI9" s="10">
        <v>1.902675748</v>
      </c>
      <c r="BJ9" s="83">
        <f t="shared" si="33"/>
        <v>1.088756964</v>
      </c>
      <c r="BK9" s="15">
        <f t="shared" si="34"/>
        <v>1</v>
      </c>
      <c r="BL9" s="86">
        <v>9.988</v>
      </c>
      <c r="BM9" s="86">
        <f t="shared" si="35"/>
        <v>26.63466667</v>
      </c>
      <c r="BN9" s="86">
        <f t="shared" si="36"/>
        <v>17.75644444</v>
      </c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5.97877205882352E-6</v>
      </c>
      <c r="L10" s="11">
        <v>1.09950895902688E-7</v>
      </c>
      <c r="M10" s="10">
        <f t="shared" si="1"/>
        <v>5.978772059</v>
      </c>
      <c r="N10" s="10">
        <v>0.006531294</v>
      </c>
      <c r="O10" s="10">
        <v>5.73966217</v>
      </c>
      <c r="P10" s="10">
        <v>0.018063243</v>
      </c>
      <c r="Q10" s="12">
        <f t="shared" si="2"/>
        <v>-0.03999314349</v>
      </c>
      <c r="R10" s="13">
        <f t="shared" si="3"/>
        <v>-12.44860021</v>
      </c>
      <c r="S10" s="8">
        <v>1000000.0</v>
      </c>
      <c r="T10" s="14">
        <f t="shared" si="4"/>
        <v>10.83572885</v>
      </c>
      <c r="U10" s="14">
        <f t="shared" si="5"/>
        <v>93.5041473</v>
      </c>
      <c r="V10" s="10">
        <f t="shared" si="6"/>
        <v>1.041659227</v>
      </c>
      <c r="W10" s="8">
        <f t="shared" si="7"/>
        <v>1</v>
      </c>
      <c r="X10" s="88">
        <f t="shared" si="8"/>
        <v>5</v>
      </c>
      <c r="Y10" s="82">
        <v>5.977303028</v>
      </c>
      <c r="Z10" s="83">
        <f t="shared" si="9"/>
        <v>1.000245768</v>
      </c>
      <c r="AA10" s="84">
        <f t="shared" si="10"/>
        <v>1</v>
      </c>
      <c r="AB10" s="82">
        <v>5.984738827</v>
      </c>
      <c r="AC10" s="83">
        <f t="shared" si="11"/>
        <v>0.9990030027</v>
      </c>
      <c r="AD10" s="84">
        <f t="shared" si="12"/>
        <v>1</v>
      </c>
      <c r="AE10" s="82">
        <v>5.834819794</v>
      </c>
      <c r="AF10" s="83">
        <f t="shared" si="13"/>
        <v>1.024671244</v>
      </c>
      <c r="AG10" s="84">
        <f t="shared" si="14"/>
        <v>1</v>
      </c>
      <c r="AH10" s="82">
        <v>5.886034966</v>
      </c>
      <c r="AI10" s="83">
        <f t="shared" si="15"/>
        <v>1.015755444</v>
      </c>
      <c r="AJ10" s="84">
        <f t="shared" si="16"/>
        <v>1</v>
      </c>
      <c r="AK10" s="82">
        <v>6.00407505</v>
      </c>
      <c r="AL10" s="83">
        <f t="shared" si="17"/>
        <v>0.9957856971</v>
      </c>
      <c r="AM10" s="84">
        <f t="shared" si="18"/>
        <v>1</v>
      </c>
      <c r="AN10" s="82">
        <v>9.561974525</v>
      </c>
      <c r="AO10" s="83">
        <f t="shared" si="19"/>
        <v>0.6252654243</v>
      </c>
      <c r="AP10" s="84">
        <f t="shared" si="20"/>
        <v>0</v>
      </c>
      <c r="AQ10" s="82">
        <v>5.872253895</v>
      </c>
      <c r="AR10" s="83">
        <f t="shared" si="21"/>
        <v>1.01813923</v>
      </c>
      <c r="AS10" s="84">
        <f t="shared" si="22"/>
        <v>1</v>
      </c>
      <c r="AT10" s="82">
        <v>9.556417465</v>
      </c>
      <c r="AU10" s="83">
        <f t="shared" si="23"/>
        <v>0.6256290164</v>
      </c>
      <c r="AV10" s="84">
        <f t="shared" si="24"/>
        <v>0</v>
      </c>
      <c r="AW10" s="10">
        <v>6.573469639</v>
      </c>
      <c r="AX10" s="83">
        <f t="shared" si="25"/>
        <v>0.9095306417</v>
      </c>
      <c r="AY10" s="15">
        <f t="shared" si="26"/>
        <v>1</v>
      </c>
      <c r="AZ10" s="10">
        <v>5.434495449</v>
      </c>
      <c r="BA10" s="83">
        <f t="shared" si="27"/>
        <v>1.100152188</v>
      </c>
      <c r="BB10" s="15">
        <f t="shared" si="28"/>
        <v>1</v>
      </c>
      <c r="BC10" s="10">
        <v>5.44341135</v>
      </c>
      <c r="BD10" s="83">
        <f t="shared" si="29"/>
        <v>1.098350221</v>
      </c>
      <c r="BE10" s="15">
        <f t="shared" si="30"/>
        <v>1</v>
      </c>
      <c r="BF10" s="10">
        <v>5.473602772</v>
      </c>
      <c r="BG10" s="83">
        <f t="shared" si="31"/>
        <v>1.092291916</v>
      </c>
      <c r="BH10" s="15">
        <f t="shared" si="32"/>
        <v>1</v>
      </c>
      <c r="BI10" s="10">
        <v>6.092413902</v>
      </c>
      <c r="BJ10" s="83">
        <f t="shared" si="33"/>
        <v>0.9813469923</v>
      </c>
      <c r="BK10" s="15">
        <f t="shared" si="34"/>
        <v>1</v>
      </c>
      <c r="BL10" s="86">
        <v>14.99</v>
      </c>
      <c r="BM10" s="86">
        <f t="shared" si="35"/>
        <v>28.55238095</v>
      </c>
      <c r="BN10" s="86">
        <f t="shared" si="36"/>
        <v>19.03492063</v>
      </c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1.42044852941176E-5</v>
      </c>
      <c r="L11" s="11">
        <v>2.78766648339753E-7</v>
      </c>
      <c r="M11" s="10">
        <f t="shared" si="1"/>
        <v>14.20448529</v>
      </c>
      <c r="N11" s="10">
        <v>0.015477623</v>
      </c>
      <c r="O11" s="10">
        <v>14.405495644</v>
      </c>
      <c r="P11" s="10">
        <v>0.048706364</v>
      </c>
      <c r="Q11" s="12">
        <f t="shared" si="2"/>
        <v>0.01415118857</v>
      </c>
      <c r="R11" s="13">
        <f t="shared" si="3"/>
        <v>3.933171782</v>
      </c>
      <c r="S11" s="8">
        <v>1000000.0</v>
      </c>
      <c r="T11" s="14">
        <f t="shared" si="4"/>
        <v>25.74373961</v>
      </c>
      <c r="U11" s="14">
        <f t="shared" si="5"/>
        <v>222.1490086</v>
      </c>
      <c r="V11" s="10">
        <f t="shared" si="6"/>
        <v>0.9860462733</v>
      </c>
      <c r="W11" s="8">
        <f t="shared" si="7"/>
        <v>1</v>
      </c>
      <c r="X11" s="88">
        <f t="shared" si="8"/>
        <v>6</v>
      </c>
      <c r="Y11" s="82">
        <v>14.273911476</v>
      </c>
      <c r="Z11" s="83">
        <f t="shared" si="9"/>
        <v>0.9951361488</v>
      </c>
      <c r="AA11" s="84">
        <f t="shared" si="10"/>
        <v>1</v>
      </c>
      <c r="AB11" s="82">
        <v>14.216500282</v>
      </c>
      <c r="AC11" s="83">
        <f t="shared" si="11"/>
        <v>0.9991548561</v>
      </c>
      <c r="AD11" s="84">
        <f t="shared" si="12"/>
        <v>1</v>
      </c>
      <c r="AE11" s="82">
        <v>13.958098412</v>
      </c>
      <c r="AF11" s="83">
        <f t="shared" si="13"/>
        <v>1.017651895</v>
      </c>
      <c r="AG11" s="84">
        <f t="shared" si="14"/>
        <v>1</v>
      </c>
      <c r="AH11" s="82">
        <v>13.9472332</v>
      </c>
      <c r="AI11" s="83">
        <f t="shared" si="15"/>
        <v>1.018444669</v>
      </c>
      <c r="AJ11" s="84">
        <f t="shared" si="16"/>
        <v>1</v>
      </c>
      <c r="AK11" s="82">
        <v>14.228624344</v>
      </c>
      <c r="AL11" s="83">
        <f t="shared" si="17"/>
        <v>0.9983034867</v>
      </c>
      <c r="AM11" s="84">
        <f t="shared" si="18"/>
        <v>1</v>
      </c>
      <c r="AN11" s="82">
        <v>19.336233139</v>
      </c>
      <c r="AO11" s="83">
        <f t="shared" si="19"/>
        <v>0.7346045733</v>
      </c>
      <c r="AP11" s="84">
        <f t="shared" si="20"/>
        <v>0</v>
      </c>
      <c r="AQ11" s="82">
        <v>13.985431671</v>
      </c>
      <c r="AR11" s="83">
        <f t="shared" si="21"/>
        <v>1.015662986</v>
      </c>
      <c r="AS11" s="84">
        <f t="shared" si="22"/>
        <v>1</v>
      </c>
      <c r="AT11" s="82">
        <v>18.771976471</v>
      </c>
      <c r="AU11" s="83">
        <f t="shared" si="23"/>
        <v>0.7566856541</v>
      </c>
      <c r="AV11" s="84">
        <f t="shared" si="24"/>
        <v>0</v>
      </c>
      <c r="AW11" s="10">
        <v>16.38690567</v>
      </c>
      <c r="AX11" s="83">
        <f t="shared" si="25"/>
        <v>0.8668192507</v>
      </c>
      <c r="AY11" s="15">
        <f t="shared" si="26"/>
        <v>0</v>
      </c>
      <c r="AZ11" s="10">
        <v>13.61930275</v>
      </c>
      <c r="BA11" s="83">
        <f t="shared" si="27"/>
        <v>1.042967144</v>
      </c>
      <c r="BB11" s="15">
        <f t="shared" si="28"/>
        <v>1</v>
      </c>
      <c r="BC11" s="10">
        <v>13.647192955</v>
      </c>
      <c r="BD11" s="83">
        <f t="shared" si="29"/>
        <v>1.040835675</v>
      </c>
      <c r="BE11" s="15">
        <f t="shared" si="30"/>
        <v>1</v>
      </c>
      <c r="BF11" s="10">
        <v>13.717573166</v>
      </c>
      <c r="BG11" s="83">
        <f t="shared" si="31"/>
        <v>1.035495501</v>
      </c>
      <c r="BH11" s="15">
        <f t="shared" si="32"/>
        <v>1</v>
      </c>
      <c r="BI11" s="10">
        <v>15.273105621</v>
      </c>
      <c r="BJ11" s="83">
        <f t="shared" si="33"/>
        <v>0.9300325452</v>
      </c>
      <c r="BK11" s="15">
        <f t="shared" si="34"/>
        <v>1</v>
      </c>
      <c r="BL11" s="86">
        <v>21.57</v>
      </c>
      <c r="BM11" s="86">
        <f t="shared" si="35"/>
        <v>31.95555556</v>
      </c>
      <c r="BN11" s="86">
        <f t="shared" si="36"/>
        <v>21.3037037</v>
      </c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2.94155147058823E-5</v>
      </c>
      <c r="L12" s="11">
        <v>5.76944467258897E-7</v>
      </c>
      <c r="M12" s="10">
        <f t="shared" si="1"/>
        <v>29.41551471</v>
      </c>
      <c r="N12" s="10">
        <v>0.032061454</v>
      </c>
      <c r="O12" s="10">
        <v>30.412557602</v>
      </c>
      <c r="P12" s="10">
        <v>0.107829477</v>
      </c>
      <c r="Q12" s="12">
        <f t="shared" si="2"/>
        <v>0.03389513684</v>
      </c>
      <c r="R12" s="13">
        <f t="shared" si="3"/>
        <v>8.862994659</v>
      </c>
      <c r="S12" s="8">
        <v>1000000.0</v>
      </c>
      <c r="T12" s="14">
        <f t="shared" si="4"/>
        <v>53.31170652</v>
      </c>
      <c r="U12" s="14">
        <f t="shared" si="5"/>
        <v>460.0397194</v>
      </c>
      <c r="V12" s="10">
        <f t="shared" si="6"/>
        <v>0.9672160787</v>
      </c>
      <c r="W12" s="8">
        <f t="shared" si="7"/>
        <v>1</v>
      </c>
      <c r="X12" s="88">
        <f t="shared" si="8"/>
        <v>7</v>
      </c>
      <c r="Y12" s="82">
        <v>29.372018814</v>
      </c>
      <c r="Z12" s="83">
        <f t="shared" si="9"/>
        <v>1.001480862</v>
      </c>
      <c r="AA12" s="84">
        <f t="shared" si="10"/>
        <v>1</v>
      </c>
      <c r="AB12" s="82">
        <v>29.336948395</v>
      </c>
      <c r="AC12" s="83">
        <f t="shared" si="11"/>
        <v>1.002678067</v>
      </c>
      <c r="AD12" s="84">
        <f t="shared" si="12"/>
        <v>1</v>
      </c>
      <c r="AE12" s="82">
        <v>28.880350113</v>
      </c>
      <c r="AF12" s="83">
        <f t="shared" si="13"/>
        <v>1.018530405</v>
      </c>
      <c r="AG12" s="84">
        <f t="shared" si="14"/>
        <v>1</v>
      </c>
      <c r="AH12" s="82">
        <v>28.945184708</v>
      </c>
      <c r="AI12" s="83">
        <f t="shared" si="15"/>
        <v>1.016248989</v>
      </c>
      <c r="AJ12" s="84">
        <f t="shared" si="16"/>
        <v>1</v>
      </c>
      <c r="AK12" s="82">
        <v>29.319307327</v>
      </c>
      <c r="AL12" s="83">
        <f t="shared" si="17"/>
        <v>1.003281366</v>
      </c>
      <c r="AM12" s="84">
        <f t="shared" si="18"/>
        <v>1</v>
      </c>
      <c r="AN12" s="82">
        <v>36.14119339</v>
      </c>
      <c r="AO12" s="83">
        <f t="shared" si="19"/>
        <v>0.8139054621</v>
      </c>
      <c r="AP12" s="84">
        <f t="shared" si="20"/>
        <v>0</v>
      </c>
      <c r="AQ12" s="82">
        <v>28.836715698</v>
      </c>
      <c r="AR12" s="83">
        <f t="shared" si="21"/>
        <v>1.020071599</v>
      </c>
      <c r="AS12" s="84">
        <f t="shared" si="22"/>
        <v>1</v>
      </c>
      <c r="AT12" s="82">
        <v>35.681686401</v>
      </c>
      <c r="AU12" s="83">
        <f t="shared" si="23"/>
        <v>0.8243868963</v>
      </c>
      <c r="AV12" s="84">
        <f t="shared" si="24"/>
        <v>0</v>
      </c>
      <c r="AW12" s="10">
        <v>34.74155426</v>
      </c>
      <c r="AX12" s="83">
        <f t="shared" si="25"/>
        <v>0.8466954151</v>
      </c>
      <c r="AY12" s="15">
        <f t="shared" si="26"/>
        <v>0</v>
      </c>
      <c r="AZ12" s="10">
        <v>28.982667923</v>
      </c>
      <c r="BA12" s="83">
        <f t="shared" si="27"/>
        <v>1.014934677</v>
      </c>
      <c r="BB12" s="15">
        <f t="shared" si="28"/>
        <v>1</v>
      </c>
      <c r="BC12" s="10">
        <v>29.054857254</v>
      </c>
      <c r="BD12" s="83">
        <f t="shared" si="29"/>
        <v>1.012412983</v>
      </c>
      <c r="BE12" s="15">
        <f t="shared" si="30"/>
        <v>1</v>
      </c>
      <c r="BF12" s="10">
        <v>29.198312759</v>
      </c>
      <c r="BG12" s="83">
        <f t="shared" si="31"/>
        <v>1.007438853</v>
      </c>
      <c r="BH12" s="15">
        <f t="shared" si="32"/>
        <v>1</v>
      </c>
      <c r="BI12" s="10">
        <v>32.508811951</v>
      </c>
      <c r="BJ12" s="83">
        <f t="shared" si="33"/>
        <v>0.9048474226</v>
      </c>
      <c r="BK12" s="15">
        <f t="shared" si="34"/>
        <v>0</v>
      </c>
      <c r="BL12" s="86">
        <v>29.88</v>
      </c>
      <c r="BM12" s="86">
        <f t="shared" si="35"/>
        <v>36.21818182</v>
      </c>
      <c r="BN12" s="86">
        <f t="shared" si="36"/>
        <v>24.14545455</v>
      </c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5.99477205882352E-8</v>
      </c>
      <c r="L13" s="24">
        <v>9.13164596669199E-10</v>
      </c>
      <c r="M13" s="23">
        <f t="shared" si="1"/>
        <v>0.05994772059</v>
      </c>
      <c r="N13" s="23">
        <v>6.3171E-5</v>
      </c>
      <c r="O13" s="23">
        <v>0.059424497</v>
      </c>
      <c r="P13" s="23">
        <v>1.36633E-4</v>
      </c>
      <c r="Q13" s="26">
        <f t="shared" si="2"/>
        <v>-0.008727998047</v>
      </c>
      <c r="R13" s="27">
        <f t="shared" si="3"/>
        <v>-3.475885719</v>
      </c>
      <c r="S13" s="22">
        <v>916732.0</v>
      </c>
      <c r="T13" s="28">
        <f t="shared" si="4"/>
        <v>0.1086472672</v>
      </c>
      <c r="U13" s="28">
        <f t="shared" ref="U13:U19" si="37">K13/$K$14</f>
        <v>0.1086472672</v>
      </c>
      <c r="V13" s="23">
        <f t="shared" si="6"/>
        <v>1.008804847</v>
      </c>
      <c r="W13" s="22">
        <f t="shared" si="7"/>
        <v>1</v>
      </c>
      <c r="X13" s="22">
        <f t="shared" si="8"/>
        <v>8</v>
      </c>
      <c r="Y13" s="105">
        <v>0.059962768</v>
      </c>
      <c r="Z13" s="107">
        <f t="shared" si="9"/>
        <v>0.9997490541</v>
      </c>
      <c r="AA13" s="109">
        <f t="shared" si="10"/>
        <v>1</v>
      </c>
      <c r="AB13" s="105">
        <v>0.056942921</v>
      </c>
      <c r="AC13" s="107">
        <f t="shared" si="11"/>
        <v>1.052768624</v>
      </c>
      <c r="AD13" s="109">
        <f t="shared" si="12"/>
        <v>1</v>
      </c>
      <c r="AE13" s="105">
        <v>0.059496373</v>
      </c>
      <c r="AF13" s="107">
        <f t="shared" si="13"/>
        <v>1.007586136</v>
      </c>
      <c r="AG13" s="109">
        <f t="shared" si="14"/>
        <v>1</v>
      </c>
      <c r="AH13" s="105">
        <v>0.063400365</v>
      </c>
      <c r="AI13" s="107">
        <f t="shared" si="15"/>
        <v>0.9455421998</v>
      </c>
      <c r="AJ13" s="109">
        <f t="shared" si="16"/>
        <v>1</v>
      </c>
      <c r="AK13" s="105">
        <v>0.059753414</v>
      </c>
      <c r="AL13" s="107">
        <f t="shared" si="17"/>
        <v>1.003251807</v>
      </c>
      <c r="AM13" s="109">
        <f t="shared" si="18"/>
        <v>1</v>
      </c>
      <c r="AN13" s="105">
        <v>0.067048237</v>
      </c>
      <c r="AO13" s="107">
        <f t="shared" si="19"/>
        <v>0.8940983875</v>
      </c>
      <c r="AP13" s="109">
        <f t="shared" si="20"/>
        <v>0</v>
      </c>
      <c r="AQ13" s="105">
        <v>0.059581164</v>
      </c>
      <c r="AR13" s="107">
        <f t="shared" si="21"/>
        <v>1.006152223</v>
      </c>
      <c r="AS13" s="109">
        <f t="shared" si="22"/>
        <v>1</v>
      </c>
      <c r="AT13" s="105">
        <v>0.07621263</v>
      </c>
      <c r="AU13" s="107">
        <f t="shared" si="23"/>
        <v>0.7865851183</v>
      </c>
      <c r="AV13" s="109">
        <f t="shared" si="24"/>
        <v>0</v>
      </c>
      <c r="AW13" s="23">
        <v>0.078709267</v>
      </c>
      <c r="AX13" s="107">
        <f t="shared" si="25"/>
        <v>0.7616348478</v>
      </c>
      <c r="AY13" s="71">
        <f t="shared" si="26"/>
        <v>0</v>
      </c>
      <c r="AZ13" s="23">
        <v>0.042922579</v>
      </c>
      <c r="BA13" s="107">
        <f t="shared" si="27"/>
        <v>1.396647685</v>
      </c>
      <c r="BB13" s="71">
        <f t="shared" si="28"/>
        <v>0</v>
      </c>
      <c r="BC13" s="23">
        <v>0.041791413</v>
      </c>
      <c r="BD13" s="107">
        <f t="shared" si="29"/>
        <v>1.434450675</v>
      </c>
      <c r="BE13" s="71">
        <f t="shared" si="30"/>
        <v>0</v>
      </c>
      <c r="BF13" s="23">
        <v>0.040886942</v>
      </c>
      <c r="BG13" s="107">
        <f t="shared" si="31"/>
        <v>1.466182543</v>
      </c>
      <c r="BH13" s="71">
        <f t="shared" si="32"/>
        <v>0</v>
      </c>
      <c r="BI13" s="23">
        <v>0.039368756</v>
      </c>
      <c r="BJ13" s="107">
        <f t="shared" si="33"/>
        <v>1.522723263</v>
      </c>
      <c r="BK13" s="71">
        <f t="shared" si="34"/>
        <v>0</v>
      </c>
      <c r="BL13" s="111">
        <v>19.68</v>
      </c>
      <c r="BM13" s="111"/>
      <c r="BN13" s="11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5.51764642857142E-7</v>
      </c>
      <c r="L14" s="31">
        <v>1.4848433773805E-8</v>
      </c>
      <c r="M14" s="30">
        <f t="shared" si="1"/>
        <v>0.5517646429</v>
      </c>
      <c r="N14" s="30">
        <v>6.21689E-4</v>
      </c>
      <c r="O14" s="30">
        <v>0.550592065</v>
      </c>
      <c r="P14" s="30">
        <v>6.21689E-4</v>
      </c>
      <c r="Q14" s="32">
        <f t="shared" si="2"/>
        <v>-0.002125141348</v>
      </c>
      <c r="R14" s="34">
        <f t="shared" si="3"/>
        <v>-1.33368574</v>
      </c>
      <c r="S14" s="29">
        <v>40000.0</v>
      </c>
      <c r="T14" s="35">
        <f t="shared" si="4"/>
        <v>1</v>
      </c>
      <c r="U14" s="35">
        <f t="shared" si="37"/>
        <v>1</v>
      </c>
      <c r="V14" s="30">
        <f t="shared" si="6"/>
        <v>1.002129667</v>
      </c>
      <c r="W14" s="29">
        <f t="shared" si="7"/>
        <v>1</v>
      </c>
      <c r="X14" s="88">
        <f t="shared" si="8"/>
        <v>9</v>
      </c>
      <c r="Y14" s="112">
        <v>0.549850047</v>
      </c>
      <c r="Z14" s="113">
        <f t="shared" si="9"/>
        <v>1.003482033</v>
      </c>
      <c r="AA14" s="114">
        <f t="shared" si="10"/>
        <v>1</v>
      </c>
      <c r="AB14" s="105">
        <v>0.544442594</v>
      </c>
      <c r="AC14" s="107">
        <f t="shared" si="11"/>
        <v>1.013448707</v>
      </c>
      <c r="AD14" s="109">
        <f t="shared" si="12"/>
        <v>1</v>
      </c>
      <c r="AE14" s="105">
        <v>0.546801329</v>
      </c>
      <c r="AF14" s="107">
        <f t="shared" si="13"/>
        <v>1.009076997</v>
      </c>
      <c r="AG14" s="109">
        <f t="shared" si="14"/>
        <v>1</v>
      </c>
      <c r="AH14" s="105">
        <v>0.541317999</v>
      </c>
      <c r="AI14" s="107">
        <f t="shared" si="15"/>
        <v>1.019298534</v>
      </c>
      <c r="AJ14" s="109">
        <f t="shared" si="16"/>
        <v>1</v>
      </c>
      <c r="AK14" s="105">
        <v>0.546889365</v>
      </c>
      <c r="AL14" s="107">
        <f t="shared" si="17"/>
        <v>1.00891456</v>
      </c>
      <c r="AM14" s="109">
        <f t="shared" si="18"/>
        <v>1</v>
      </c>
      <c r="AN14" s="105">
        <v>0.805984616</v>
      </c>
      <c r="AO14" s="107">
        <f t="shared" si="19"/>
        <v>0.6845845838</v>
      </c>
      <c r="AP14" s="109">
        <f t="shared" si="20"/>
        <v>0</v>
      </c>
      <c r="AQ14" s="105">
        <v>0.531437278</v>
      </c>
      <c r="AR14" s="107">
        <f t="shared" si="21"/>
        <v>1.038249791</v>
      </c>
      <c r="AS14" s="109">
        <f t="shared" si="22"/>
        <v>1</v>
      </c>
      <c r="AT14" s="105">
        <v>0.959507883</v>
      </c>
      <c r="AU14" s="107">
        <f t="shared" si="23"/>
        <v>0.5750496193</v>
      </c>
      <c r="AV14" s="109">
        <f t="shared" si="24"/>
        <v>0</v>
      </c>
      <c r="AW14" s="23">
        <v>0.66916424</v>
      </c>
      <c r="AX14" s="107">
        <f t="shared" si="25"/>
        <v>0.8245578737</v>
      </c>
      <c r="AY14" s="71">
        <f t="shared" si="26"/>
        <v>0</v>
      </c>
      <c r="AZ14" s="23">
        <v>0.502773166</v>
      </c>
      <c r="BA14" s="107">
        <f t="shared" si="27"/>
        <v>1.097442505</v>
      </c>
      <c r="BB14" s="71">
        <f t="shared" si="28"/>
        <v>1</v>
      </c>
      <c r="BC14" s="23">
        <v>0.500088811</v>
      </c>
      <c r="BD14" s="107">
        <f t="shared" si="29"/>
        <v>1.103333309</v>
      </c>
      <c r="BE14" s="71">
        <f t="shared" si="30"/>
        <v>1</v>
      </c>
      <c r="BF14" s="23">
        <v>0.503731489</v>
      </c>
      <c r="BG14" s="107">
        <f t="shared" si="31"/>
        <v>1.095354678</v>
      </c>
      <c r="BH14" s="71">
        <f t="shared" si="32"/>
        <v>1</v>
      </c>
      <c r="BI14" s="23">
        <v>0.552813947</v>
      </c>
      <c r="BJ14" s="107">
        <f t="shared" si="33"/>
        <v>0.9981018855</v>
      </c>
      <c r="BK14" s="71">
        <f t="shared" si="34"/>
        <v>1</v>
      </c>
      <c r="BL14" s="111">
        <v>20.51</v>
      </c>
      <c r="BM14" s="111">
        <f t="shared" ref="BM14:BM19" si="38">BL14/(H14*H14*F14*C14)</f>
        <v>68.36666667</v>
      </c>
      <c r="BN14" s="111">
        <f t="shared" ref="BN14:BN19" si="39">BL14/(H14*H14*F14*C14*C14)</f>
        <v>45.57777778</v>
      </c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5.87491911764705E-6</v>
      </c>
      <c r="L15" s="24">
        <v>1.03674423085825E-7</v>
      </c>
      <c r="M15" s="23">
        <f t="shared" si="1"/>
        <v>5.874919118</v>
      </c>
      <c r="N15" s="23">
        <v>0.006536093</v>
      </c>
      <c r="O15" s="23">
        <v>6.102878571</v>
      </c>
      <c r="P15" s="23">
        <v>0.011235017</v>
      </c>
      <c r="Q15" s="26">
        <f t="shared" si="2"/>
        <v>0.03880214328</v>
      </c>
      <c r="R15" s="27">
        <f t="shared" si="3"/>
        <v>17.53813858</v>
      </c>
      <c r="S15" s="22">
        <v>1000000.0</v>
      </c>
      <c r="T15" s="28">
        <f t="shared" si="4"/>
        <v>10.64750921</v>
      </c>
      <c r="U15" s="28">
        <f t="shared" si="37"/>
        <v>10.64750921</v>
      </c>
      <c r="V15" s="23">
        <f t="shared" si="6"/>
        <v>0.9626472245</v>
      </c>
      <c r="W15" s="22">
        <f t="shared" si="7"/>
        <v>1</v>
      </c>
      <c r="X15" s="88">
        <f t="shared" si="8"/>
        <v>10</v>
      </c>
      <c r="Y15" s="105">
        <v>5.910046101</v>
      </c>
      <c r="Z15" s="107">
        <f t="shared" si="9"/>
        <v>0.9940563944</v>
      </c>
      <c r="AA15" s="109">
        <f t="shared" si="10"/>
        <v>1</v>
      </c>
      <c r="AB15" s="105">
        <v>5.889930725</v>
      </c>
      <c r="AC15" s="107">
        <f t="shared" si="11"/>
        <v>0.99745131</v>
      </c>
      <c r="AD15" s="109">
        <f t="shared" si="12"/>
        <v>1</v>
      </c>
      <c r="AE15" s="105">
        <v>5.822916508</v>
      </c>
      <c r="AF15" s="107">
        <f t="shared" si="13"/>
        <v>1.008930681</v>
      </c>
      <c r="AG15" s="109">
        <f t="shared" si="14"/>
        <v>1</v>
      </c>
      <c r="AH15" s="105">
        <v>5.74510622</v>
      </c>
      <c r="AI15" s="107">
        <f t="shared" si="15"/>
        <v>1.022595387</v>
      </c>
      <c r="AJ15" s="109">
        <f t="shared" si="16"/>
        <v>1</v>
      </c>
      <c r="AK15" s="105">
        <v>5.840869427</v>
      </c>
      <c r="AL15" s="107">
        <f t="shared" si="17"/>
        <v>1.005829559</v>
      </c>
      <c r="AM15" s="109">
        <f t="shared" si="18"/>
        <v>1</v>
      </c>
      <c r="AN15" s="105">
        <v>7.72412014</v>
      </c>
      <c r="AO15" s="107">
        <f t="shared" si="19"/>
        <v>0.7605939591</v>
      </c>
      <c r="AP15" s="109">
        <f t="shared" si="20"/>
        <v>0</v>
      </c>
      <c r="AQ15" s="105">
        <v>5.695704937</v>
      </c>
      <c r="AR15" s="107">
        <f t="shared" si="21"/>
        <v>1.031464794</v>
      </c>
      <c r="AS15" s="109">
        <f t="shared" si="22"/>
        <v>1</v>
      </c>
      <c r="AT15" s="105">
        <v>8.005317688</v>
      </c>
      <c r="AU15" s="107">
        <f t="shared" si="23"/>
        <v>0.7338770735</v>
      </c>
      <c r="AV15" s="109">
        <f t="shared" si="24"/>
        <v>0</v>
      </c>
      <c r="AW15" s="23">
        <v>7.154554844</v>
      </c>
      <c r="AX15" s="107">
        <f t="shared" si="25"/>
        <v>0.821143907</v>
      </c>
      <c r="AY15" s="71">
        <f t="shared" si="26"/>
        <v>0</v>
      </c>
      <c r="AZ15" s="23">
        <v>5.711394787</v>
      </c>
      <c r="BA15" s="107">
        <f t="shared" si="27"/>
        <v>1.028631243</v>
      </c>
      <c r="BB15" s="71">
        <f t="shared" si="28"/>
        <v>1</v>
      </c>
      <c r="BC15" s="23">
        <v>5.705893517</v>
      </c>
      <c r="BD15" s="107">
        <f t="shared" si="29"/>
        <v>1.029622985</v>
      </c>
      <c r="BE15" s="71">
        <f t="shared" si="30"/>
        <v>1</v>
      </c>
      <c r="BF15" s="23">
        <v>5.747372627</v>
      </c>
      <c r="BG15" s="107">
        <f t="shared" si="31"/>
        <v>1.022192139</v>
      </c>
      <c r="BH15" s="71">
        <f t="shared" si="32"/>
        <v>1</v>
      </c>
      <c r="BI15" s="23">
        <v>6.378486156</v>
      </c>
      <c r="BJ15" s="107">
        <f t="shared" si="33"/>
        <v>0.9210522644</v>
      </c>
      <c r="BK15" s="71">
        <f t="shared" si="34"/>
        <v>1</v>
      </c>
      <c r="BL15" s="111">
        <v>27.1</v>
      </c>
      <c r="BM15" s="111">
        <f t="shared" si="38"/>
        <v>30.11111111</v>
      </c>
      <c r="BN15" s="111">
        <f t="shared" si="39"/>
        <v>20.07407407</v>
      </c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2.71073529411764E-5</v>
      </c>
      <c r="L16" s="24">
        <v>4.82731787034485E-7</v>
      </c>
      <c r="M16" s="23">
        <f t="shared" si="1"/>
        <v>27.10735294</v>
      </c>
      <c r="N16" s="23">
        <v>0.029864523</v>
      </c>
      <c r="O16" s="23">
        <v>28.764348984</v>
      </c>
      <c r="P16" s="23">
        <v>0.077408462</v>
      </c>
      <c r="Q16" s="26">
        <f t="shared" si="2"/>
        <v>0.06112718001</v>
      </c>
      <c r="R16" s="27">
        <f t="shared" si="3"/>
        <v>19.97111493</v>
      </c>
      <c r="S16" s="22">
        <v>1000000.0</v>
      </c>
      <c r="T16" s="28">
        <f t="shared" si="4"/>
        <v>49.12847043</v>
      </c>
      <c r="U16" s="28">
        <f t="shared" si="37"/>
        <v>49.12847043</v>
      </c>
      <c r="V16" s="23">
        <f t="shared" si="6"/>
        <v>0.9423941059</v>
      </c>
      <c r="W16" s="22">
        <f t="shared" si="7"/>
        <v>1</v>
      </c>
      <c r="X16" s="88">
        <f t="shared" si="8"/>
        <v>11</v>
      </c>
      <c r="Y16" s="105">
        <v>27.215351105</v>
      </c>
      <c r="Z16" s="107">
        <f t="shared" si="9"/>
        <v>0.9960317189</v>
      </c>
      <c r="AA16" s="109">
        <f t="shared" si="10"/>
        <v>1</v>
      </c>
      <c r="AB16" s="112">
        <v>27.077770233</v>
      </c>
      <c r="AC16" s="113">
        <f t="shared" si="11"/>
        <v>1.001092509</v>
      </c>
      <c r="AD16" s="114">
        <f t="shared" si="12"/>
        <v>1</v>
      </c>
      <c r="AE16" s="105">
        <v>26.777784348</v>
      </c>
      <c r="AF16" s="107">
        <f t="shared" si="13"/>
        <v>1.012307538</v>
      </c>
      <c r="AG16" s="109">
        <f t="shared" si="14"/>
        <v>1</v>
      </c>
      <c r="AH16" s="105">
        <v>26.620100021</v>
      </c>
      <c r="AI16" s="107">
        <f t="shared" si="15"/>
        <v>1.018303948</v>
      </c>
      <c r="AJ16" s="109">
        <f t="shared" si="16"/>
        <v>1</v>
      </c>
      <c r="AK16" s="105">
        <v>26.901027679</v>
      </c>
      <c r="AL16" s="107">
        <f t="shared" si="17"/>
        <v>1.007669791</v>
      </c>
      <c r="AM16" s="109">
        <f t="shared" si="18"/>
        <v>1</v>
      </c>
      <c r="AN16" s="105">
        <v>31.777023315</v>
      </c>
      <c r="AO16" s="107">
        <f t="shared" si="19"/>
        <v>0.853048842</v>
      </c>
      <c r="AP16" s="109">
        <f t="shared" si="20"/>
        <v>0</v>
      </c>
      <c r="AQ16" s="105">
        <v>26.332807541</v>
      </c>
      <c r="AR16" s="107">
        <f t="shared" si="21"/>
        <v>1.029413704</v>
      </c>
      <c r="AS16" s="109">
        <f t="shared" si="22"/>
        <v>1</v>
      </c>
      <c r="AT16" s="105">
        <v>32.048770905</v>
      </c>
      <c r="AU16" s="107">
        <f t="shared" si="23"/>
        <v>0.8458156795</v>
      </c>
      <c r="AV16" s="109">
        <f t="shared" si="24"/>
        <v>0</v>
      </c>
      <c r="AW16" s="23">
        <v>33.242923737</v>
      </c>
      <c r="AX16" s="107">
        <f t="shared" si="25"/>
        <v>0.8154322753</v>
      </c>
      <c r="AY16" s="71">
        <f t="shared" si="26"/>
        <v>0</v>
      </c>
      <c r="AZ16" s="30">
        <v>27.185256958</v>
      </c>
      <c r="BA16" s="113">
        <f t="shared" si="27"/>
        <v>0.9971343285</v>
      </c>
      <c r="BB16" s="72">
        <f t="shared" si="28"/>
        <v>1</v>
      </c>
      <c r="BC16" s="23">
        <v>27.203163147</v>
      </c>
      <c r="BD16" s="107">
        <f t="shared" si="29"/>
        <v>0.9964779755</v>
      </c>
      <c r="BE16" s="71">
        <f t="shared" si="30"/>
        <v>1</v>
      </c>
      <c r="BF16" s="23">
        <v>27.352010727</v>
      </c>
      <c r="BG16" s="107">
        <f t="shared" si="31"/>
        <v>0.9910552175</v>
      </c>
      <c r="BH16" s="71">
        <f t="shared" si="32"/>
        <v>1</v>
      </c>
      <c r="BI16" s="23">
        <v>30.442810059</v>
      </c>
      <c r="BJ16" s="107">
        <f t="shared" si="33"/>
        <v>0.8904353077</v>
      </c>
      <c r="BK16" s="71">
        <f t="shared" si="34"/>
        <v>0</v>
      </c>
      <c r="BL16" s="111">
        <v>40.25</v>
      </c>
      <c r="BM16" s="111">
        <f t="shared" si="38"/>
        <v>26.83333333</v>
      </c>
      <c r="BN16" s="111">
        <f t="shared" si="39"/>
        <v>17.88888889</v>
      </c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8.50312499999999E-5</v>
      </c>
      <c r="L17" s="24">
        <v>1.38914438761045E-6</v>
      </c>
      <c r="M17" s="23">
        <f t="shared" si="1"/>
        <v>85.03125</v>
      </c>
      <c r="N17" s="23">
        <v>0.093199446</v>
      </c>
      <c r="O17" s="23">
        <v>91.834594727</v>
      </c>
      <c r="P17" s="23">
        <v>0.289011895</v>
      </c>
      <c r="Q17" s="26">
        <f t="shared" si="2"/>
        <v>0.08000993431</v>
      </c>
      <c r="R17" s="27">
        <f t="shared" si="3"/>
        <v>22.40392025</v>
      </c>
      <c r="S17" s="22">
        <v>1000000.0</v>
      </c>
      <c r="T17" s="28">
        <f t="shared" si="4"/>
        <v>154.1078268</v>
      </c>
      <c r="U17" s="28">
        <f t="shared" si="37"/>
        <v>154.1078268</v>
      </c>
      <c r="V17" s="23">
        <f t="shared" si="6"/>
        <v>0.9259174089</v>
      </c>
      <c r="W17" s="22">
        <f t="shared" si="7"/>
        <v>1</v>
      </c>
      <c r="X17" s="88">
        <f t="shared" si="8"/>
        <v>12</v>
      </c>
      <c r="Y17" s="105">
        <v>85.592834473</v>
      </c>
      <c r="Z17" s="107">
        <f t="shared" si="9"/>
        <v>0.9934388845</v>
      </c>
      <c r="AA17" s="109">
        <f t="shared" si="10"/>
        <v>1</v>
      </c>
      <c r="AB17" s="105">
        <v>85.544532776</v>
      </c>
      <c r="AC17" s="107">
        <f t="shared" si="11"/>
        <v>0.9939998179</v>
      </c>
      <c r="AD17" s="109">
        <f t="shared" si="12"/>
        <v>1</v>
      </c>
      <c r="AE17" s="105">
        <v>83.988426208</v>
      </c>
      <c r="AF17" s="107">
        <f t="shared" si="13"/>
        <v>1.01241628</v>
      </c>
      <c r="AG17" s="109">
        <f t="shared" si="14"/>
        <v>1</v>
      </c>
      <c r="AH17" s="105">
        <v>83.171340942</v>
      </c>
      <c r="AI17" s="107">
        <f t="shared" si="15"/>
        <v>1.022362379</v>
      </c>
      <c r="AJ17" s="109">
        <f t="shared" si="16"/>
        <v>1</v>
      </c>
      <c r="AK17" s="105">
        <v>84.463722229</v>
      </c>
      <c r="AL17" s="107">
        <f t="shared" si="17"/>
        <v>1.00671919</v>
      </c>
      <c r="AM17" s="109">
        <f t="shared" si="18"/>
        <v>1</v>
      </c>
      <c r="AN17" s="105">
        <v>94.813232422</v>
      </c>
      <c r="AO17" s="107">
        <f t="shared" si="19"/>
        <v>0.8968289323</v>
      </c>
      <c r="AP17" s="109">
        <f t="shared" si="20"/>
        <v>0</v>
      </c>
      <c r="AQ17" s="105">
        <v>82.737487793</v>
      </c>
      <c r="AR17" s="107">
        <f t="shared" si="21"/>
        <v>1.027723373</v>
      </c>
      <c r="AS17" s="109">
        <f t="shared" si="22"/>
        <v>1</v>
      </c>
      <c r="AT17" s="105">
        <v>95.271934509</v>
      </c>
      <c r="AU17" s="107">
        <f t="shared" si="23"/>
        <v>0.8925110048</v>
      </c>
      <c r="AV17" s="109">
        <f t="shared" si="24"/>
        <v>0</v>
      </c>
      <c r="AW17" s="23">
        <v>105.175514221</v>
      </c>
      <c r="AX17" s="107">
        <f t="shared" si="25"/>
        <v>0.8084700192</v>
      </c>
      <c r="AY17" s="71">
        <f t="shared" si="26"/>
        <v>0</v>
      </c>
      <c r="AZ17" s="23">
        <v>86.951927185</v>
      </c>
      <c r="BA17" s="107">
        <f t="shared" si="27"/>
        <v>0.9779110453</v>
      </c>
      <c r="BB17" s="71">
        <f t="shared" si="28"/>
        <v>1</v>
      </c>
      <c r="BC17" s="23">
        <v>87.094581604</v>
      </c>
      <c r="BD17" s="107">
        <f t="shared" si="29"/>
        <v>0.9763093</v>
      </c>
      <c r="BE17" s="71">
        <f t="shared" si="30"/>
        <v>1</v>
      </c>
      <c r="BF17" s="23">
        <v>87.577651978</v>
      </c>
      <c r="BG17" s="107">
        <f t="shared" si="31"/>
        <v>0.9709240666</v>
      </c>
      <c r="BH17" s="71">
        <f t="shared" si="32"/>
        <v>1</v>
      </c>
      <c r="BI17" s="23">
        <v>97.478622437</v>
      </c>
      <c r="BJ17" s="107">
        <f t="shared" si="33"/>
        <v>0.872306644</v>
      </c>
      <c r="BK17" s="71">
        <f t="shared" si="34"/>
        <v>0</v>
      </c>
      <c r="BL17" s="111">
        <v>60.14</v>
      </c>
      <c r="BM17" s="111">
        <f t="shared" si="38"/>
        <v>28.63809524</v>
      </c>
      <c r="BN17" s="111">
        <f t="shared" si="39"/>
        <v>19.09206349</v>
      </c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2.0821544117647E-4</v>
      </c>
      <c r="L18" s="24">
        <v>3.87835166736764E-6</v>
      </c>
      <c r="M18" s="23">
        <f t="shared" si="1"/>
        <v>208.2154412</v>
      </c>
      <c r="N18" s="23">
        <v>0.227238301</v>
      </c>
      <c r="O18" s="23">
        <v>230.487930298</v>
      </c>
      <c r="P18" s="23">
        <v>0.779301817</v>
      </c>
      <c r="Q18" s="26">
        <f t="shared" si="2"/>
        <v>0.1069684794</v>
      </c>
      <c r="R18" s="27">
        <f t="shared" si="3"/>
        <v>27.43740263</v>
      </c>
      <c r="S18" s="22">
        <v>1000000.0</v>
      </c>
      <c r="T18" s="28">
        <f t="shared" si="4"/>
        <v>377.362783</v>
      </c>
      <c r="U18" s="28">
        <f t="shared" si="37"/>
        <v>377.362783</v>
      </c>
      <c r="V18" s="23">
        <f t="shared" si="6"/>
        <v>0.9033680892</v>
      </c>
      <c r="W18" s="22">
        <f t="shared" si="7"/>
        <v>0</v>
      </c>
      <c r="X18" s="22">
        <f t="shared" si="8"/>
        <v>13</v>
      </c>
      <c r="Y18" s="105">
        <v>212.672317505</v>
      </c>
      <c r="Z18" s="107">
        <f t="shared" si="9"/>
        <v>0.9790434581</v>
      </c>
      <c r="AA18" s="109">
        <f t="shared" si="10"/>
        <v>1</v>
      </c>
      <c r="AB18" s="105">
        <v>211.708358765</v>
      </c>
      <c r="AC18" s="107">
        <f t="shared" si="11"/>
        <v>0.9835012769</v>
      </c>
      <c r="AD18" s="109">
        <f t="shared" si="12"/>
        <v>1</v>
      </c>
      <c r="AE18" s="105">
        <v>207.845046997</v>
      </c>
      <c r="AF18" s="107">
        <f t="shared" si="13"/>
        <v>1.001782069</v>
      </c>
      <c r="AG18" s="109">
        <f t="shared" si="14"/>
        <v>1</v>
      </c>
      <c r="AH18" s="105">
        <v>205.94682312</v>
      </c>
      <c r="AI18" s="107">
        <f t="shared" si="15"/>
        <v>1.011015553</v>
      </c>
      <c r="AJ18" s="109">
        <f t="shared" si="16"/>
        <v>1</v>
      </c>
      <c r="AK18" s="105">
        <v>209.096908569</v>
      </c>
      <c r="AL18" s="107">
        <f t="shared" si="17"/>
        <v>0.9957844073</v>
      </c>
      <c r="AM18" s="109">
        <f t="shared" si="18"/>
        <v>1</v>
      </c>
      <c r="AN18" s="105">
        <v>227.476043701</v>
      </c>
      <c r="AO18" s="107">
        <f t="shared" si="19"/>
        <v>0.9153290948</v>
      </c>
      <c r="AP18" s="109">
        <f t="shared" si="20"/>
        <v>1</v>
      </c>
      <c r="AQ18" s="105">
        <v>204.796630859</v>
      </c>
      <c r="AR18" s="107">
        <f t="shared" si="21"/>
        <v>1.016693684</v>
      </c>
      <c r="AS18" s="109">
        <f t="shared" si="22"/>
        <v>1</v>
      </c>
      <c r="AT18" s="105">
        <v>229.756591797</v>
      </c>
      <c r="AU18" s="107">
        <f t="shared" si="23"/>
        <v>0.9062436013</v>
      </c>
      <c r="AV18" s="109">
        <f t="shared" si="24"/>
        <v>0</v>
      </c>
      <c r="AW18" s="23">
        <v>262.190490723</v>
      </c>
      <c r="AX18" s="107">
        <f t="shared" si="25"/>
        <v>0.7941380353</v>
      </c>
      <c r="AY18" s="71">
        <f t="shared" si="26"/>
        <v>0</v>
      </c>
      <c r="AZ18" s="23">
        <v>217.908843994</v>
      </c>
      <c r="BA18" s="107">
        <f t="shared" si="27"/>
        <v>0.9555162487</v>
      </c>
      <c r="BB18" s="71">
        <f t="shared" si="28"/>
        <v>1</v>
      </c>
      <c r="BC18" s="23">
        <v>218.355072021</v>
      </c>
      <c r="BD18" s="107">
        <f t="shared" si="29"/>
        <v>0.9535635662</v>
      </c>
      <c r="BE18" s="71">
        <f t="shared" si="30"/>
        <v>1</v>
      </c>
      <c r="BF18" s="23">
        <v>219.481185913</v>
      </c>
      <c r="BG18" s="107">
        <f t="shared" si="31"/>
        <v>0.948671023</v>
      </c>
      <c r="BH18" s="71">
        <f t="shared" si="32"/>
        <v>1</v>
      </c>
      <c r="BI18" s="23">
        <v>244.369689941</v>
      </c>
      <c r="BJ18" s="107">
        <f t="shared" si="33"/>
        <v>0.8520510102</v>
      </c>
      <c r="BK18" s="71">
        <f t="shared" si="34"/>
        <v>0</v>
      </c>
      <c r="BL18" s="111">
        <v>86.53</v>
      </c>
      <c r="BM18" s="111">
        <f t="shared" si="38"/>
        <v>32.04814815</v>
      </c>
      <c r="BN18" s="111">
        <f t="shared" si="39"/>
        <v>21.3654321</v>
      </c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4.2819044117647E-4</v>
      </c>
      <c r="L19" s="24">
        <v>6.9882322109065E-6</v>
      </c>
      <c r="M19" s="23">
        <f t="shared" si="1"/>
        <v>428.1904412</v>
      </c>
      <c r="N19" s="23">
        <v>0.46610294</v>
      </c>
      <c r="O19" s="23">
        <v>486.600921631</v>
      </c>
      <c r="P19" s="23">
        <v>1.725271641</v>
      </c>
      <c r="Q19" s="26">
        <f t="shared" si="2"/>
        <v>0.1364123877</v>
      </c>
      <c r="R19" s="27">
        <f t="shared" si="3"/>
        <v>32.68405674</v>
      </c>
      <c r="S19" s="22">
        <v>1000000.0</v>
      </c>
      <c r="T19" s="28">
        <f t="shared" si="4"/>
        <v>776.0382016</v>
      </c>
      <c r="U19" s="28">
        <f t="shared" si="37"/>
        <v>776.0382016</v>
      </c>
      <c r="V19" s="23">
        <f t="shared" si="6"/>
        <v>0.8799622486</v>
      </c>
      <c r="W19" s="22">
        <f t="shared" si="7"/>
        <v>0</v>
      </c>
      <c r="X19" s="22">
        <f t="shared" si="8"/>
        <v>14</v>
      </c>
      <c r="Y19" s="105">
        <v>445.911376953</v>
      </c>
      <c r="Z19" s="107">
        <f t="shared" si="9"/>
        <v>0.9602590634</v>
      </c>
      <c r="AA19" s="109">
        <f t="shared" si="10"/>
        <v>1</v>
      </c>
      <c r="AB19" s="105">
        <v>445.682281494</v>
      </c>
      <c r="AC19" s="107">
        <f t="shared" si="11"/>
        <v>0.9607526683</v>
      </c>
      <c r="AD19" s="109">
        <f t="shared" si="12"/>
        <v>1</v>
      </c>
      <c r="AE19" s="105">
        <v>437.858703613</v>
      </c>
      <c r="AF19" s="107">
        <f t="shared" si="13"/>
        <v>0.9779192183</v>
      </c>
      <c r="AG19" s="109">
        <f t="shared" si="14"/>
        <v>1</v>
      </c>
      <c r="AH19" s="105">
        <v>436.848114014</v>
      </c>
      <c r="AI19" s="107">
        <f t="shared" si="15"/>
        <v>0.9801815035</v>
      </c>
      <c r="AJ19" s="109">
        <f t="shared" si="16"/>
        <v>1</v>
      </c>
      <c r="AK19" s="105">
        <v>441.005065918</v>
      </c>
      <c r="AL19" s="107">
        <f t="shared" si="17"/>
        <v>0.9709422278</v>
      </c>
      <c r="AM19" s="109">
        <f t="shared" si="18"/>
        <v>1</v>
      </c>
      <c r="AN19" s="105">
        <v>470.919067383</v>
      </c>
      <c r="AO19" s="107">
        <f t="shared" si="19"/>
        <v>0.9092654573</v>
      </c>
      <c r="AP19" s="109">
        <f t="shared" si="20"/>
        <v>1</v>
      </c>
      <c r="AQ19" s="105">
        <v>431.107116699</v>
      </c>
      <c r="AR19" s="107">
        <f t="shared" si="21"/>
        <v>0.9932344529</v>
      </c>
      <c r="AS19" s="109">
        <f t="shared" si="22"/>
        <v>1</v>
      </c>
      <c r="AT19" s="105">
        <v>477.449768066</v>
      </c>
      <c r="AU19" s="107">
        <f t="shared" si="23"/>
        <v>0.8968282526</v>
      </c>
      <c r="AV19" s="109">
        <f t="shared" si="24"/>
        <v>0</v>
      </c>
      <c r="AW19" s="23">
        <v>555.864868164</v>
      </c>
      <c r="AX19" s="107">
        <f t="shared" si="25"/>
        <v>0.7703139121</v>
      </c>
      <c r="AY19" s="71">
        <f t="shared" si="26"/>
        <v>0</v>
      </c>
      <c r="AZ19" s="23">
        <v>463.72265625</v>
      </c>
      <c r="BA19" s="107">
        <f t="shared" si="27"/>
        <v>0.9233761504</v>
      </c>
      <c r="BB19" s="71">
        <f t="shared" si="28"/>
        <v>1</v>
      </c>
      <c r="BC19" s="23">
        <v>464.877716064</v>
      </c>
      <c r="BD19" s="107">
        <f t="shared" si="29"/>
        <v>0.9210818811</v>
      </c>
      <c r="BE19" s="71">
        <f t="shared" si="30"/>
        <v>1</v>
      </c>
      <c r="BF19" s="23">
        <v>467.172973633</v>
      </c>
      <c r="BG19" s="107">
        <f t="shared" si="31"/>
        <v>0.9165565333</v>
      </c>
      <c r="BH19" s="71">
        <f t="shared" si="32"/>
        <v>1</v>
      </c>
      <c r="BI19" s="23">
        <v>520.140930176</v>
      </c>
      <c r="BJ19" s="107">
        <f t="shared" si="33"/>
        <v>0.8232200474</v>
      </c>
      <c r="BK19" s="71">
        <f t="shared" si="34"/>
        <v>0</v>
      </c>
      <c r="BL19" s="111">
        <v>119.5</v>
      </c>
      <c r="BM19" s="111">
        <f t="shared" si="38"/>
        <v>36.21212121</v>
      </c>
      <c r="BN19" s="111">
        <f t="shared" si="39"/>
        <v>24.14141414</v>
      </c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2.47038970588235E-7</v>
      </c>
      <c r="L20" s="39">
        <v>3.6613127132647E-9</v>
      </c>
      <c r="M20" s="38">
        <f t="shared" si="1"/>
        <v>0.2470389706</v>
      </c>
      <c r="N20" s="38">
        <v>2.62894E-4</v>
      </c>
      <c r="O20" s="38">
        <v>0.301532477</v>
      </c>
      <c r="P20" s="38">
        <v>6.91705E-4</v>
      </c>
      <c r="Q20" s="40">
        <f t="shared" si="2"/>
        <v>0.2205866802</v>
      </c>
      <c r="R20" s="41">
        <f t="shared" si="3"/>
        <v>73.64195383</v>
      </c>
      <c r="S20" s="37">
        <v>916732.0</v>
      </c>
      <c r="T20" s="42">
        <f t="shared" si="4"/>
        <v>0.4477252644</v>
      </c>
      <c r="U20" s="42">
        <f t="shared" ref="U20:U26" si="40">K20/$K$21</f>
        <v>0.09658309832</v>
      </c>
      <c r="V20" s="38">
        <f t="shared" si="6"/>
        <v>0.8192781522</v>
      </c>
      <c r="W20" s="37">
        <f t="shared" si="7"/>
        <v>0</v>
      </c>
      <c r="X20" s="88">
        <f t="shared" si="8"/>
        <v>15</v>
      </c>
      <c r="Y20" s="123">
        <v>0.247722313</v>
      </c>
      <c r="Z20" s="124">
        <f t="shared" si="9"/>
        <v>0.9972414983</v>
      </c>
      <c r="AA20" s="125">
        <f t="shared" si="10"/>
        <v>1</v>
      </c>
      <c r="AB20" s="123">
        <v>0.235916451</v>
      </c>
      <c r="AC20" s="124">
        <f t="shared" si="11"/>
        <v>1.047146011</v>
      </c>
      <c r="AD20" s="125">
        <f t="shared" si="12"/>
        <v>1</v>
      </c>
      <c r="AE20" s="123">
        <v>0.244484589</v>
      </c>
      <c r="AF20" s="124">
        <f t="shared" si="13"/>
        <v>1.010448027</v>
      </c>
      <c r="AG20" s="125">
        <f t="shared" si="14"/>
        <v>1</v>
      </c>
      <c r="AH20" s="123">
        <v>0.250488549</v>
      </c>
      <c r="AI20" s="124">
        <f t="shared" si="15"/>
        <v>0.9862285984</v>
      </c>
      <c r="AJ20" s="125">
        <f t="shared" si="16"/>
        <v>1</v>
      </c>
      <c r="AK20" s="123">
        <v>0.245084837</v>
      </c>
      <c r="AL20" s="124">
        <f t="shared" si="17"/>
        <v>1.007973295</v>
      </c>
      <c r="AM20" s="125">
        <f t="shared" si="18"/>
        <v>1</v>
      </c>
      <c r="AN20" s="123">
        <v>0.261233538</v>
      </c>
      <c r="AO20" s="124">
        <f t="shared" si="19"/>
        <v>0.9456633037</v>
      </c>
      <c r="AP20" s="125">
        <f t="shared" si="20"/>
        <v>1</v>
      </c>
      <c r="AQ20" s="123">
        <v>0.241883993</v>
      </c>
      <c r="AR20" s="124">
        <f t="shared" si="21"/>
        <v>1.021311776</v>
      </c>
      <c r="AS20" s="125">
        <f t="shared" si="22"/>
        <v>1</v>
      </c>
      <c r="AT20" s="123">
        <v>0.270124018</v>
      </c>
      <c r="AU20" s="124">
        <f t="shared" si="23"/>
        <v>0.9145390788</v>
      </c>
      <c r="AV20" s="125">
        <f t="shared" si="24"/>
        <v>1</v>
      </c>
      <c r="AW20" s="38">
        <v>0.398447424</v>
      </c>
      <c r="AX20" s="124">
        <f t="shared" si="25"/>
        <v>0.6200039345</v>
      </c>
      <c r="AY20" s="81">
        <f t="shared" si="26"/>
        <v>0</v>
      </c>
      <c r="AZ20" s="38">
        <v>0.217307806</v>
      </c>
      <c r="BA20" s="124">
        <f t="shared" si="27"/>
        <v>1.136815907</v>
      </c>
      <c r="BB20" s="81">
        <f t="shared" si="28"/>
        <v>0</v>
      </c>
      <c r="BC20" s="38">
        <v>0.211580157</v>
      </c>
      <c r="BD20" s="124">
        <f t="shared" si="29"/>
        <v>1.167590449</v>
      </c>
      <c r="BE20" s="81">
        <f t="shared" si="30"/>
        <v>0</v>
      </c>
      <c r="BF20" s="38">
        <v>0.207001731</v>
      </c>
      <c r="BG20" s="124">
        <f t="shared" si="31"/>
        <v>1.193414999</v>
      </c>
      <c r="BH20" s="81">
        <f t="shared" si="32"/>
        <v>0</v>
      </c>
      <c r="BI20" s="38">
        <v>0.199319184</v>
      </c>
      <c r="BJ20" s="124">
        <f t="shared" si="33"/>
        <v>1.239413917</v>
      </c>
      <c r="BK20" s="81">
        <f t="shared" si="34"/>
        <v>0</v>
      </c>
      <c r="BL20" s="126">
        <v>44.28</v>
      </c>
      <c r="BM20" s="126"/>
      <c r="BN20" s="126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2.55778676470588E-6</v>
      </c>
      <c r="L21" s="39">
        <v>5.21103399262863E-8</v>
      </c>
      <c r="M21" s="38">
        <f t="shared" si="1"/>
        <v>2.557786765</v>
      </c>
      <c r="N21" s="38">
        <v>0.002886832</v>
      </c>
      <c r="O21" s="38">
        <v>2.780729532</v>
      </c>
      <c r="P21" s="38">
        <v>0.003147298</v>
      </c>
      <c r="Q21" s="40">
        <f t="shared" si="2"/>
        <v>0.08716237427</v>
      </c>
      <c r="R21" s="41">
        <f t="shared" si="3"/>
        <v>52.20228319</v>
      </c>
      <c r="S21" s="37">
        <v>1000000.0</v>
      </c>
      <c r="T21" s="42">
        <f t="shared" si="4"/>
        <v>4.635648184</v>
      </c>
      <c r="U21" s="42">
        <f t="shared" si="40"/>
        <v>1</v>
      </c>
      <c r="V21" s="38">
        <f t="shared" si="6"/>
        <v>0.9198257994</v>
      </c>
      <c r="W21" s="37">
        <f t="shared" si="7"/>
        <v>1</v>
      </c>
      <c r="X21" s="88">
        <f t="shared" si="8"/>
        <v>16</v>
      </c>
      <c r="Y21" s="123">
        <v>2.566332579</v>
      </c>
      <c r="Z21" s="124">
        <f t="shared" si="9"/>
        <v>0.9966700285</v>
      </c>
      <c r="AA21" s="125">
        <f t="shared" si="10"/>
        <v>1</v>
      </c>
      <c r="AB21" s="123">
        <v>2.551395655</v>
      </c>
      <c r="AC21" s="124">
        <f t="shared" si="11"/>
        <v>1.002504947</v>
      </c>
      <c r="AD21" s="125">
        <f t="shared" si="12"/>
        <v>1</v>
      </c>
      <c r="AE21" s="128">
        <v>2.555994749</v>
      </c>
      <c r="AF21" s="129">
        <f t="shared" si="13"/>
        <v>1.000701103</v>
      </c>
      <c r="AG21" s="130">
        <f t="shared" si="14"/>
        <v>1</v>
      </c>
      <c r="AH21" s="123">
        <v>2.504595995</v>
      </c>
      <c r="AI21" s="124">
        <f t="shared" si="15"/>
        <v>1.021237265</v>
      </c>
      <c r="AJ21" s="125">
        <f t="shared" si="16"/>
        <v>1</v>
      </c>
      <c r="AK21" s="123">
        <v>2.524403334</v>
      </c>
      <c r="AL21" s="124">
        <f t="shared" si="17"/>
        <v>1.013224286</v>
      </c>
      <c r="AM21" s="125">
        <f t="shared" si="18"/>
        <v>1</v>
      </c>
      <c r="AN21" s="123">
        <v>2.975116253</v>
      </c>
      <c r="AO21" s="124">
        <f t="shared" si="19"/>
        <v>0.8597266618</v>
      </c>
      <c r="AP21" s="125">
        <f t="shared" si="20"/>
        <v>0</v>
      </c>
      <c r="AQ21" s="123">
        <v>2.440667391</v>
      </c>
      <c r="AR21" s="124">
        <f t="shared" si="21"/>
        <v>1.047986618</v>
      </c>
      <c r="AS21" s="125">
        <f t="shared" si="22"/>
        <v>1</v>
      </c>
      <c r="AT21" s="123">
        <v>3.033867359</v>
      </c>
      <c r="AU21" s="124">
        <f t="shared" si="23"/>
        <v>0.84307798</v>
      </c>
      <c r="AV21" s="125">
        <f t="shared" si="24"/>
        <v>0</v>
      </c>
      <c r="AW21" s="38">
        <v>3.387121677</v>
      </c>
      <c r="AX21" s="124">
        <f t="shared" si="25"/>
        <v>0.7551505404</v>
      </c>
      <c r="AY21" s="81">
        <f t="shared" si="26"/>
        <v>0</v>
      </c>
      <c r="AZ21" s="38">
        <v>2.546406031</v>
      </c>
      <c r="BA21" s="124">
        <f t="shared" si="27"/>
        <v>1.004469332</v>
      </c>
      <c r="BB21" s="81">
        <f t="shared" si="28"/>
        <v>1</v>
      </c>
      <c r="BC21" s="38">
        <v>2.532906055</v>
      </c>
      <c r="BD21" s="124">
        <f t="shared" si="29"/>
        <v>1.00982299</v>
      </c>
      <c r="BE21" s="81">
        <f t="shared" si="30"/>
        <v>1</v>
      </c>
      <c r="BF21" s="38">
        <v>2.55112505</v>
      </c>
      <c r="BG21" s="124">
        <f t="shared" si="31"/>
        <v>1.002611285</v>
      </c>
      <c r="BH21" s="81">
        <f t="shared" si="32"/>
        <v>1</v>
      </c>
      <c r="BI21" s="38">
        <v>2.799217463</v>
      </c>
      <c r="BJ21" s="124">
        <f t="shared" si="33"/>
        <v>0.9137506459</v>
      </c>
      <c r="BK21" s="81">
        <f t="shared" si="34"/>
        <v>1</v>
      </c>
      <c r="BL21" s="126">
        <v>46.15</v>
      </c>
      <c r="BM21" s="126">
        <f t="shared" ref="BM21:BM26" si="41">BL21/(H21*H21*F21*C21)</f>
        <v>68.37037037</v>
      </c>
      <c r="BN21" s="126">
        <f t="shared" ref="BN21:BN26" si="42">BL21/(H21*H21*F21*C21*C21)</f>
        <v>45.58024691</v>
      </c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2.83663235294117E-5</v>
      </c>
      <c r="L22" s="39">
        <v>4.96619399426472E-7</v>
      </c>
      <c r="M22" s="38">
        <f t="shared" si="1"/>
        <v>28.36632353</v>
      </c>
      <c r="N22" s="38">
        <v>0.031598684</v>
      </c>
      <c r="O22" s="38">
        <v>30.641321182</v>
      </c>
      <c r="P22" s="38">
        <v>0.056877276</v>
      </c>
      <c r="Q22" s="40">
        <f t="shared" si="2"/>
        <v>0.08020065238</v>
      </c>
      <c r="R22" s="41">
        <f t="shared" si="3"/>
        <v>34.96480426</v>
      </c>
      <c r="S22" s="37">
        <v>1000000.0</v>
      </c>
      <c r="T22" s="42">
        <f t="shared" si="4"/>
        <v>51.41018711</v>
      </c>
      <c r="U22" s="42">
        <f t="shared" si="40"/>
        <v>11.09018309</v>
      </c>
      <c r="V22" s="38">
        <f t="shared" si="6"/>
        <v>0.9257539308</v>
      </c>
      <c r="W22" s="37">
        <f t="shared" si="7"/>
        <v>1</v>
      </c>
      <c r="X22" s="88">
        <f t="shared" si="8"/>
        <v>17</v>
      </c>
      <c r="Y22" s="123">
        <v>28.39453125</v>
      </c>
      <c r="Z22" s="124">
        <f t="shared" si="9"/>
        <v>0.9990065791</v>
      </c>
      <c r="AA22" s="125">
        <f t="shared" si="10"/>
        <v>1</v>
      </c>
      <c r="AB22" s="123">
        <v>28.369001389</v>
      </c>
      <c r="AC22" s="124">
        <f t="shared" si="11"/>
        <v>0.9999056061</v>
      </c>
      <c r="AD22" s="125">
        <f t="shared" si="12"/>
        <v>1</v>
      </c>
      <c r="AE22" s="123">
        <v>28.161424637</v>
      </c>
      <c r="AF22" s="124">
        <f t="shared" si="13"/>
        <v>1.007275871</v>
      </c>
      <c r="AG22" s="125">
        <f t="shared" si="14"/>
        <v>1</v>
      </c>
      <c r="AH22" s="123">
        <v>27.796262741</v>
      </c>
      <c r="AI22" s="124">
        <f t="shared" si="15"/>
        <v>1.020508541</v>
      </c>
      <c r="AJ22" s="125">
        <f t="shared" si="16"/>
        <v>1</v>
      </c>
      <c r="AK22" s="123">
        <v>28.027788162</v>
      </c>
      <c r="AL22" s="124">
        <f t="shared" si="17"/>
        <v>1.012078562</v>
      </c>
      <c r="AM22" s="125">
        <f t="shared" si="18"/>
        <v>1</v>
      </c>
      <c r="AN22" s="123">
        <v>31.631139755</v>
      </c>
      <c r="AO22" s="124">
        <f t="shared" si="19"/>
        <v>0.8967847428</v>
      </c>
      <c r="AP22" s="125">
        <f t="shared" si="20"/>
        <v>0</v>
      </c>
      <c r="AQ22" s="123">
        <v>27.242141724</v>
      </c>
      <c r="AR22" s="124">
        <f t="shared" si="21"/>
        <v>1.041266278</v>
      </c>
      <c r="AS22" s="125">
        <f t="shared" si="22"/>
        <v>1</v>
      </c>
      <c r="AT22" s="123">
        <v>31.953891754</v>
      </c>
      <c r="AU22" s="124">
        <f t="shared" si="23"/>
        <v>0.8877267204</v>
      </c>
      <c r="AV22" s="125">
        <f t="shared" si="24"/>
        <v>0</v>
      </c>
      <c r="AW22" s="38">
        <v>36.206062317</v>
      </c>
      <c r="AX22" s="124">
        <f t="shared" si="25"/>
        <v>0.7834688921</v>
      </c>
      <c r="AY22" s="81">
        <f t="shared" si="26"/>
        <v>0</v>
      </c>
      <c r="AZ22" s="38">
        <v>28.919467926</v>
      </c>
      <c r="BA22" s="124">
        <f t="shared" si="27"/>
        <v>0.9808729401</v>
      </c>
      <c r="BB22" s="81">
        <f t="shared" si="28"/>
        <v>1</v>
      </c>
      <c r="BC22" s="38">
        <v>28.87795639</v>
      </c>
      <c r="BD22" s="124">
        <f t="shared" si="29"/>
        <v>0.982282927</v>
      </c>
      <c r="BE22" s="81">
        <f t="shared" si="30"/>
        <v>1</v>
      </c>
      <c r="BF22" s="38">
        <v>29.092531204</v>
      </c>
      <c r="BG22" s="124">
        <f t="shared" si="31"/>
        <v>0.9750380031</v>
      </c>
      <c r="BH22" s="81">
        <f t="shared" si="32"/>
        <v>1</v>
      </c>
      <c r="BI22" s="38">
        <v>32.289093018</v>
      </c>
      <c r="BJ22" s="124">
        <f t="shared" si="33"/>
        <v>0.8785110041</v>
      </c>
      <c r="BK22" s="81">
        <f t="shared" si="34"/>
        <v>0</v>
      </c>
      <c r="BL22" s="126">
        <v>60.97</v>
      </c>
      <c r="BM22" s="126">
        <f t="shared" si="41"/>
        <v>30.10864198</v>
      </c>
      <c r="BN22" s="126">
        <f t="shared" si="42"/>
        <v>20.07242798</v>
      </c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1.30438970588235E-4</v>
      </c>
      <c r="L23" s="39">
        <v>2.77240830711328E-6</v>
      </c>
      <c r="M23" s="38">
        <f t="shared" si="1"/>
        <v>130.4389706</v>
      </c>
      <c r="N23" s="38">
        <v>0.143696672</v>
      </c>
      <c r="O23" s="38">
        <v>145.233047485</v>
      </c>
      <c r="P23" s="38">
        <v>0.391880336</v>
      </c>
      <c r="Q23" s="40">
        <f t="shared" si="2"/>
        <v>0.1134176146</v>
      </c>
      <c r="R23" s="41">
        <f t="shared" si="3"/>
        <v>35.44379362</v>
      </c>
      <c r="S23" s="37">
        <v>1000000.0</v>
      </c>
      <c r="T23" s="42">
        <f t="shared" si="4"/>
        <v>236.4032786</v>
      </c>
      <c r="U23" s="42">
        <f t="shared" si="40"/>
        <v>50.99681193</v>
      </c>
      <c r="V23" s="38">
        <f t="shared" si="6"/>
        <v>0.8981356024</v>
      </c>
      <c r="W23" s="37">
        <f t="shared" si="7"/>
        <v>0</v>
      </c>
      <c r="X23" s="88">
        <f t="shared" si="8"/>
        <v>18</v>
      </c>
      <c r="Y23" s="123">
        <v>133.714279175</v>
      </c>
      <c r="Z23" s="124">
        <f t="shared" si="9"/>
        <v>0.9755051696</v>
      </c>
      <c r="AA23" s="125">
        <f t="shared" si="10"/>
        <v>1</v>
      </c>
      <c r="AB23" s="123">
        <v>133.494125366</v>
      </c>
      <c r="AC23" s="124">
        <f t="shared" si="11"/>
        <v>0.9771139384</v>
      </c>
      <c r="AD23" s="125">
        <f t="shared" si="12"/>
        <v>1</v>
      </c>
      <c r="AE23" s="123">
        <v>131.566177368</v>
      </c>
      <c r="AF23" s="124">
        <f t="shared" si="13"/>
        <v>0.991432397</v>
      </c>
      <c r="AG23" s="125">
        <f t="shared" si="14"/>
        <v>1</v>
      </c>
      <c r="AH23" s="128">
        <v>129.35848999</v>
      </c>
      <c r="AI23" s="129">
        <f t="shared" si="15"/>
        <v>1.008352607</v>
      </c>
      <c r="AJ23" s="130">
        <f t="shared" si="16"/>
        <v>1</v>
      </c>
      <c r="AK23" s="123">
        <v>131.650939941</v>
      </c>
      <c r="AL23" s="124">
        <f t="shared" si="17"/>
        <v>0.9907940699</v>
      </c>
      <c r="AM23" s="125">
        <f t="shared" si="18"/>
        <v>1</v>
      </c>
      <c r="AN23" s="123">
        <v>143.520294189</v>
      </c>
      <c r="AO23" s="124">
        <f t="shared" si="19"/>
        <v>0.9088538407</v>
      </c>
      <c r="AP23" s="125">
        <f t="shared" si="20"/>
        <v>0</v>
      </c>
      <c r="AQ23" s="123">
        <v>128.430114746</v>
      </c>
      <c r="AR23" s="124">
        <f t="shared" si="21"/>
        <v>1.015641626</v>
      </c>
      <c r="AS23" s="125">
        <f t="shared" si="22"/>
        <v>1</v>
      </c>
      <c r="AT23" s="123">
        <v>144.742050171</v>
      </c>
      <c r="AU23" s="124">
        <f t="shared" si="23"/>
        <v>0.9011822786</v>
      </c>
      <c r="AV23" s="125">
        <f t="shared" si="24"/>
        <v>0</v>
      </c>
      <c r="AW23" s="38">
        <v>168.247406006</v>
      </c>
      <c r="AX23" s="124">
        <f t="shared" si="25"/>
        <v>0.7752807231</v>
      </c>
      <c r="AY23" s="81">
        <f t="shared" si="26"/>
        <v>0</v>
      </c>
      <c r="AZ23" s="38">
        <v>137.586196899</v>
      </c>
      <c r="BA23" s="124">
        <f t="shared" si="27"/>
        <v>0.9480527373</v>
      </c>
      <c r="BB23" s="81">
        <f t="shared" si="28"/>
        <v>1</v>
      </c>
      <c r="BC23" s="38">
        <v>137.660842896</v>
      </c>
      <c r="BD23" s="124">
        <f t="shared" si="29"/>
        <v>0.9475386598</v>
      </c>
      <c r="BE23" s="81">
        <f t="shared" si="30"/>
        <v>1</v>
      </c>
      <c r="BF23" s="38">
        <v>138.488296509</v>
      </c>
      <c r="BG23" s="124">
        <f t="shared" si="31"/>
        <v>0.9418772118</v>
      </c>
      <c r="BH23" s="81">
        <f t="shared" si="32"/>
        <v>1</v>
      </c>
      <c r="BI23" s="38">
        <v>154.006835938</v>
      </c>
      <c r="BJ23" s="124">
        <f t="shared" si="33"/>
        <v>0.8469687063</v>
      </c>
      <c r="BK23" s="81">
        <f t="shared" si="34"/>
        <v>0</v>
      </c>
      <c r="BL23" s="126">
        <v>90.75</v>
      </c>
      <c r="BM23" s="126">
        <f t="shared" si="41"/>
        <v>26.88888889</v>
      </c>
      <c r="BN23" s="126">
        <f t="shared" si="42"/>
        <v>17.92592593</v>
      </c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4.05505147058823E-4</v>
      </c>
      <c r="L24" s="39">
        <v>6.66709242921492E-6</v>
      </c>
      <c r="M24" s="38">
        <f t="shared" si="1"/>
        <v>405.5051471</v>
      </c>
      <c r="N24" s="38">
        <v>0.444053105</v>
      </c>
      <c r="O24" s="38">
        <v>462.466033936</v>
      </c>
      <c r="P24" s="38">
        <v>1.463122716</v>
      </c>
      <c r="Q24" s="40">
        <f t="shared" si="2"/>
        <v>0.1404689615</v>
      </c>
      <c r="R24" s="41">
        <f t="shared" si="3"/>
        <v>37.253127</v>
      </c>
      <c r="S24" s="37">
        <v>1000000.0</v>
      </c>
      <c r="T24" s="42">
        <f t="shared" si="4"/>
        <v>734.9241245</v>
      </c>
      <c r="U24" s="42">
        <f t="shared" si="40"/>
        <v>158.5375109</v>
      </c>
      <c r="V24" s="38">
        <f t="shared" si="6"/>
        <v>0.8768322802</v>
      </c>
      <c r="W24" s="37">
        <f t="shared" si="7"/>
        <v>0</v>
      </c>
      <c r="X24" s="37">
        <f t="shared" si="8"/>
        <v>19</v>
      </c>
      <c r="Y24" s="123">
        <v>422.164916992</v>
      </c>
      <c r="Z24" s="124">
        <f t="shared" si="9"/>
        <v>0.9605372942</v>
      </c>
      <c r="AA24" s="125">
        <f t="shared" si="10"/>
        <v>1</v>
      </c>
      <c r="AB24" s="123">
        <v>421.29309082</v>
      </c>
      <c r="AC24" s="124">
        <f t="shared" si="11"/>
        <v>0.9625250352</v>
      </c>
      <c r="AD24" s="125">
        <f t="shared" si="12"/>
        <v>1</v>
      </c>
      <c r="AE24" s="123">
        <v>415.279693604</v>
      </c>
      <c r="AF24" s="124">
        <f t="shared" si="13"/>
        <v>0.976462739</v>
      </c>
      <c r="AG24" s="125">
        <f t="shared" si="14"/>
        <v>1</v>
      </c>
      <c r="AH24" s="123">
        <v>413.233703613</v>
      </c>
      <c r="AI24" s="124">
        <f t="shared" si="15"/>
        <v>0.9812973712</v>
      </c>
      <c r="AJ24" s="125">
        <f t="shared" si="16"/>
        <v>1</v>
      </c>
      <c r="AK24" s="123">
        <v>416.777160645</v>
      </c>
      <c r="AL24" s="124">
        <f t="shared" si="17"/>
        <v>0.9729543395</v>
      </c>
      <c r="AM24" s="125">
        <f t="shared" si="18"/>
        <v>1</v>
      </c>
      <c r="AN24" s="123">
        <v>443.24420166</v>
      </c>
      <c r="AO24" s="124">
        <f t="shared" si="19"/>
        <v>0.9148571951</v>
      </c>
      <c r="AP24" s="125">
        <f t="shared" si="20"/>
        <v>1</v>
      </c>
      <c r="AQ24" s="123">
        <v>406.485137939</v>
      </c>
      <c r="AR24" s="124">
        <f t="shared" si="21"/>
        <v>0.9975891102</v>
      </c>
      <c r="AS24" s="125">
        <f t="shared" si="22"/>
        <v>1</v>
      </c>
      <c r="AT24" s="123">
        <v>449.889160156</v>
      </c>
      <c r="AU24" s="124">
        <f t="shared" si="23"/>
        <v>0.9013445599</v>
      </c>
      <c r="AV24" s="125">
        <f t="shared" si="24"/>
        <v>0</v>
      </c>
      <c r="AW24" s="38">
        <v>532.693786621</v>
      </c>
      <c r="AX24" s="124">
        <f t="shared" si="25"/>
        <v>0.7612349857</v>
      </c>
      <c r="AY24" s="81">
        <f t="shared" si="26"/>
        <v>0</v>
      </c>
      <c r="AZ24" s="38">
        <v>440.367767334</v>
      </c>
      <c r="BA24" s="124">
        <f t="shared" si="27"/>
        <v>0.9208329427</v>
      </c>
      <c r="BB24" s="81">
        <f t="shared" si="28"/>
        <v>1</v>
      </c>
      <c r="BC24" s="38">
        <v>440.938598633</v>
      </c>
      <c r="BD24" s="124">
        <f t="shared" si="29"/>
        <v>0.9196408487</v>
      </c>
      <c r="BE24" s="81">
        <f t="shared" si="30"/>
        <v>1</v>
      </c>
      <c r="BF24" s="38">
        <v>443.347442627</v>
      </c>
      <c r="BG24" s="124">
        <f t="shared" si="31"/>
        <v>0.9146441551</v>
      </c>
      <c r="BH24" s="81">
        <f t="shared" si="32"/>
        <v>1</v>
      </c>
      <c r="BI24" s="38">
        <v>493.518798828</v>
      </c>
      <c r="BJ24" s="124">
        <f t="shared" si="33"/>
        <v>0.8216609945</v>
      </c>
      <c r="BK24" s="81">
        <f t="shared" si="34"/>
        <v>0</v>
      </c>
      <c r="BL24" s="126">
        <v>135.3</v>
      </c>
      <c r="BM24" s="126">
        <f t="shared" si="41"/>
        <v>28.63492063</v>
      </c>
      <c r="BN24" s="126">
        <f t="shared" si="42"/>
        <v>19.08994709</v>
      </c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0.00109948529411764</v>
      </c>
      <c r="L25" s="39">
        <v>1.90659616396914E-5</v>
      </c>
      <c r="M25" s="38">
        <f t="shared" si="1"/>
        <v>1099.485294</v>
      </c>
      <c r="N25" s="38">
        <v>1.200417711</v>
      </c>
      <c r="O25" s="38">
        <v>1162.54284668</v>
      </c>
      <c r="P25" s="38">
        <v>3.945215452</v>
      </c>
      <c r="Q25" s="40">
        <f t="shared" si="2"/>
        <v>0.05735188356</v>
      </c>
      <c r="R25" s="41">
        <f t="shared" si="3"/>
        <v>15.2911272</v>
      </c>
      <c r="S25" s="37">
        <v>1000000.0</v>
      </c>
      <c r="T25" s="42">
        <f t="shared" si="4"/>
        <v>1992.670803</v>
      </c>
      <c r="U25" s="42">
        <f t="shared" si="40"/>
        <v>429.8580747</v>
      </c>
      <c r="V25" s="38">
        <f t="shared" si="6"/>
        <v>0.9457589432</v>
      </c>
      <c r="W25" s="37">
        <f t="shared" si="7"/>
        <v>1</v>
      </c>
      <c r="X25" s="37">
        <f t="shared" si="8"/>
        <v>20</v>
      </c>
      <c r="Y25" s="123">
        <v>1048.626464844</v>
      </c>
      <c r="Z25" s="124">
        <f t="shared" si="9"/>
        <v>1.048500425</v>
      </c>
      <c r="AA25" s="125">
        <f t="shared" si="10"/>
        <v>1</v>
      </c>
      <c r="AB25" s="123">
        <v>1044.279052734</v>
      </c>
      <c r="AC25" s="124">
        <f t="shared" si="11"/>
        <v>1.052865411</v>
      </c>
      <c r="AD25" s="125">
        <f t="shared" si="12"/>
        <v>1</v>
      </c>
      <c r="AE25" s="123">
        <v>1025.979370117</v>
      </c>
      <c r="AF25" s="124">
        <f t="shared" si="13"/>
        <v>1.071644641</v>
      </c>
      <c r="AG25" s="125">
        <f t="shared" si="14"/>
        <v>1</v>
      </c>
      <c r="AH25" s="123">
        <v>1023.49005127</v>
      </c>
      <c r="AI25" s="124">
        <f t="shared" si="15"/>
        <v>1.074251081</v>
      </c>
      <c r="AJ25" s="125">
        <f t="shared" si="16"/>
        <v>1</v>
      </c>
      <c r="AK25" s="123">
        <v>1031.426025391</v>
      </c>
      <c r="AL25" s="124">
        <f t="shared" si="17"/>
        <v>1.065985603</v>
      </c>
      <c r="AM25" s="125">
        <f t="shared" si="18"/>
        <v>1</v>
      </c>
      <c r="AN25" s="123">
        <v>1087.100708008</v>
      </c>
      <c r="AO25" s="124">
        <f t="shared" si="19"/>
        <v>1.011392308</v>
      </c>
      <c r="AP25" s="125">
        <f t="shared" si="20"/>
        <v>1</v>
      </c>
      <c r="AQ25" s="123">
        <v>1006.319702148</v>
      </c>
      <c r="AR25" s="124">
        <f t="shared" si="21"/>
        <v>1.092580511</v>
      </c>
      <c r="AS25" s="125">
        <f t="shared" si="22"/>
        <v>1</v>
      </c>
      <c r="AT25" s="123">
        <v>1102.067260742</v>
      </c>
      <c r="AU25" s="124">
        <f t="shared" si="23"/>
        <v>0.9976571606</v>
      </c>
      <c r="AV25" s="125">
        <f t="shared" si="24"/>
        <v>1</v>
      </c>
      <c r="AW25" s="38">
        <v>1327.047851562</v>
      </c>
      <c r="AX25" s="124">
        <f t="shared" si="25"/>
        <v>0.8285197047</v>
      </c>
      <c r="AY25" s="81">
        <f t="shared" si="26"/>
        <v>0</v>
      </c>
      <c r="AZ25" s="38">
        <v>1103.298217773</v>
      </c>
      <c r="BA25" s="124">
        <f t="shared" si="27"/>
        <v>0.996544068</v>
      </c>
      <c r="BB25" s="81">
        <f t="shared" si="28"/>
        <v>1</v>
      </c>
      <c r="BC25" s="38">
        <v>1105.138183594</v>
      </c>
      <c r="BD25" s="124">
        <f t="shared" si="29"/>
        <v>0.9948849026</v>
      </c>
      <c r="BE25" s="81">
        <f t="shared" si="30"/>
        <v>1</v>
      </c>
      <c r="BF25" s="38">
        <v>1111.199584961</v>
      </c>
      <c r="BG25" s="124">
        <f t="shared" si="31"/>
        <v>0.9894579777</v>
      </c>
      <c r="BH25" s="81">
        <f t="shared" si="32"/>
        <v>1</v>
      </c>
      <c r="BI25" s="38">
        <v>1237.295532227</v>
      </c>
      <c r="BJ25" s="124">
        <f t="shared" si="33"/>
        <v>0.8886197885</v>
      </c>
      <c r="BK25" s="81">
        <f t="shared" si="34"/>
        <v>0</v>
      </c>
      <c r="BL25" s="126">
        <v>194.7</v>
      </c>
      <c r="BM25" s="126">
        <f t="shared" si="41"/>
        <v>32.04938272</v>
      </c>
      <c r="BN25" s="126">
        <f t="shared" si="42"/>
        <v>21.36625514</v>
      </c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0.00233498529411764</v>
      </c>
      <c r="L26" s="39">
        <v>4.61755082258209E-5</v>
      </c>
      <c r="M26" s="38">
        <f t="shared" si="1"/>
        <v>2334.985294</v>
      </c>
      <c r="N26" s="38">
        <v>2.547963289</v>
      </c>
      <c r="O26" s="38">
        <v>2466.213623047</v>
      </c>
      <c r="P26" s="38">
        <v>8.734187682</v>
      </c>
      <c r="Q26" s="40">
        <f t="shared" si="2"/>
        <v>0.05620092309</v>
      </c>
      <c r="R26" s="41">
        <f t="shared" si="3"/>
        <v>14.42346938</v>
      </c>
      <c r="S26" s="37">
        <v>1000000.0</v>
      </c>
      <c r="T26" s="42">
        <f t="shared" si="4"/>
        <v>4231.850164</v>
      </c>
      <c r="U26" s="42">
        <f t="shared" si="40"/>
        <v>912.8928675</v>
      </c>
      <c r="V26" s="38">
        <f t="shared" si="6"/>
        <v>0.9467895531</v>
      </c>
      <c r="W26" s="37">
        <f t="shared" si="7"/>
        <v>1</v>
      </c>
      <c r="X26" s="37">
        <f t="shared" si="8"/>
        <v>21</v>
      </c>
      <c r="Y26" s="123">
        <v>2187.501464844</v>
      </c>
      <c r="Z26" s="124">
        <f t="shared" si="9"/>
        <v>1.067421134</v>
      </c>
      <c r="AA26" s="125">
        <f t="shared" si="10"/>
        <v>1</v>
      </c>
      <c r="AB26" s="123">
        <v>2197.66015625</v>
      </c>
      <c r="AC26" s="124">
        <f t="shared" si="11"/>
        <v>1.062486976</v>
      </c>
      <c r="AD26" s="125">
        <f t="shared" si="12"/>
        <v>1</v>
      </c>
      <c r="AE26" s="123">
        <v>2143.328125</v>
      </c>
      <c r="AF26" s="124">
        <f t="shared" si="13"/>
        <v>1.089420358</v>
      </c>
      <c r="AG26" s="125">
        <f t="shared" si="14"/>
        <v>1</v>
      </c>
      <c r="AH26" s="123">
        <v>2133.761962891</v>
      </c>
      <c r="AI26" s="124">
        <f t="shared" si="15"/>
        <v>1.094304489</v>
      </c>
      <c r="AJ26" s="125">
        <f t="shared" si="16"/>
        <v>1</v>
      </c>
      <c r="AK26" s="123">
        <v>2158.945800781</v>
      </c>
      <c r="AL26" s="124">
        <f t="shared" si="17"/>
        <v>1.081539561</v>
      </c>
      <c r="AM26" s="125">
        <f t="shared" si="18"/>
        <v>1</v>
      </c>
      <c r="AN26" s="123">
        <v>2273.250732422</v>
      </c>
      <c r="AO26" s="124">
        <f t="shared" si="19"/>
        <v>1.027156952</v>
      </c>
      <c r="AP26" s="125">
        <f t="shared" si="20"/>
        <v>1</v>
      </c>
      <c r="AQ26" s="123">
        <v>2103.727783203</v>
      </c>
      <c r="AR26" s="124">
        <f t="shared" si="21"/>
        <v>1.109927488</v>
      </c>
      <c r="AS26" s="125">
        <f t="shared" si="22"/>
        <v>1</v>
      </c>
      <c r="AT26" s="123">
        <v>2290.623291016</v>
      </c>
      <c r="AU26" s="124">
        <f t="shared" si="23"/>
        <v>1.019366783</v>
      </c>
      <c r="AV26" s="125">
        <f t="shared" si="24"/>
        <v>1</v>
      </c>
      <c r="AW26" s="38">
        <v>2815.082275391</v>
      </c>
      <c r="AX26" s="124">
        <f t="shared" si="25"/>
        <v>0.8294554353</v>
      </c>
      <c r="AY26" s="81">
        <f t="shared" si="26"/>
        <v>0</v>
      </c>
      <c r="AZ26" s="38">
        <v>2348.102539062</v>
      </c>
      <c r="BA26" s="124">
        <f t="shared" si="27"/>
        <v>0.9944136831</v>
      </c>
      <c r="BB26" s="81">
        <f t="shared" si="28"/>
        <v>1</v>
      </c>
      <c r="BC26" s="38">
        <v>2352.991699219</v>
      </c>
      <c r="BD26" s="124">
        <f t="shared" si="29"/>
        <v>0.9923474421</v>
      </c>
      <c r="BE26" s="81">
        <f t="shared" si="30"/>
        <v>1</v>
      </c>
      <c r="BF26" s="38">
        <v>2364.807617188</v>
      </c>
      <c r="BG26" s="124">
        <f t="shared" si="31"/>
        <v>0.9873891124</v>
      </c>
      <c r="BH26" s="81">
        <f t="shared" si="32"/>
        <v>1</v>
      </c>
      <c r="BI26" s="38">
        <v>2632.8515625</v>
      </c>
      <c r="BJ26" s="124">
        <f t="shared" si="33"/>
        <v>0.8868655291</v>
      </c>
      <c r="BK26" s="81">
        <f t="shared" si="34"/>
        <v>0</v>
      </c>
      <c r="BL26" s="126">
        <v>268.9</v>
      </c>
      <c r="BM26" s="126">
        <f t="shared" si="41"/>
        <v>36.21548822</v>
      </c>
      <c r="BN26" s="126">
        <f t="shared" si="42"/>
        <v>24.14365881</v>
      </c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7.12394117647058E-7</v>
      </c>
      <c r="L27" s="46">
        <v>1.08737656750744E-8</v>
      </c>
      <c r="M27" s="45">
        <f t="shared" si="1"/>
        <v>0.7123941176</v>
      </c>
      <c r="N27" s="45">
        <v>7.5927E-4</v>
      </c>
      <c r="O27" s="45">
        <v>0.950792015</v>
      </c>
      <c r="P27" s="45">
        <v>0.00218613</v>
      </c>
      <c r="Q27" s="47">
        <f t="shared" si="2"/>
        <v>0.3346432704</v>
      </c>
      <c r="R27" s="48">
        <f t="shared" si="3"/>
        <v>103.0139669</v>
      </c>
      <c r="S27" s="44">
        <v>916732.0</v>
      </c>
      <c r="T27" s="49">
        <f t="shared" si="4"/>
        <v>1.29111955</v>
      </c>
      <c r="U27" s="49">
        <f t="shared" ref="U27:U33" si="43">K27/$K$28</f>
        <v>0.09132095746</v>
      </c>
      <c r="V27" s="45">
        <f t="shared" si="6"/>
        <v>0.7492638836</v>
      </c>
      <c r="W27" s="44">
        <f t="shared" si="7"/>
        <v>0</v>
      </c>
      <c r="X27" s="88">
        <f t="shared" si="8"/>
        <v>22</v>
      </c>
      <c r="Y27" s="135">
        <v>0.718647659</v>
      </c>
      <c r="Z27" s="136">
        <f t="shared" si="9"/>
        <v>0.9912981817</v>
      </c>
      <c r="AA27" s="137">
        <f t="shared" si="10"/>
        <v>1</v>
      </c>
      <c r="AB27" s="135">
        <v>0.689161837</v>
      </c>
      <c r="AC27" s="136">
        <f t="shared" si="11"/>
        <v>1.033710922</v>
      </c>
      <c r="AD27" s="137">
        <f t="shared" si="12"/>
        <v>1</v>
      </c>
      <c r="AE27" s="135">
        <v>0.711273909</v>
      </c>
      <c r="AF27" s="136">
        <f t="shared" si="13"/>
        <v>1.001574933</v>
      </c>
      <c r="AG27" s="137">
        <f t="shared" si="14"/>
        <v>1</v>
      </c>
      <c r="AH27" s="135">
        <v>0.713725686</v>
      </c>
      <c r="AI27" s="136">
        <f t="shared" si="15"/>
        <v>0.9981343416</v>
      </c>
      <c r="AJ27" s="137">
        <f t="shared" si="16"/>
        <v>1</v>
      </c>
      <c r="AK27" s="135">
        <v>0.712772012</v>
      </c>
      <c r="AL27" s="136">
        <f t="shared" si="17"/>
        <v>0.9994698244</v>
      </c>
      <c r="AM27" s="137">
        <f t="shared" si="18"/>
        <v>1</v>
      </c>
      <c r="AN27" s="135">
        <v>0.739804089</v>
      </c>
      <c r="AO27" s="136">
        <f t="shared" si="19"/>
        <v>0.9629496893</v>
      </c>
      <c r="AP27" s="137">
        <f t="shared" si="20"/>
        <v>1</v>
      </c>
      <c r="AQ27" s="135">
        <v>0.699987054</v>
      </c>
      <c r="AR27" s="136">
        <f t="shared" si="21"/>
        <v>1.017724704</v>
      </c>
      <c r="AS27" s="137">
        <f t="shared" si="22"/>
        <v>1</v>
      </c>
      <c r="AT27" s="135">
        <v>0.757491887</v>
      </c>
      <c r="AU27" s="136">
        <f t="shared" si="23"/>
        <v>0.9404643533</v>
      </c>
      <c r="AV27" s="137">
        <f t="shared" si="24"/>
        <v>1</v>
      </c>
      <c r="AW27" s="45">
        <v>1.259348273</v>
      </c>
      <c r="AX27" s="136">
        <f t="shared" si="25"/>
        <v>0.5656847537</v>
      </c>
      <c r="AY27" s="85">
        <f t="shared" si="26"/>
        <v>0</v>
      </c>
      <c r="AZ27" s="45">
        <v>0.68676126</v>
      </c>
      <c r="BA27" s="136">
        <f t="shared" si="27"/>
        <v>1.037324263</v>
      </c>
      <c r="BB27" s="85">
        <f t="shared" si="28"/>
        <v>1</v>
      </c>
      <c r="BC27" s="45">
        <v>0.668662608</v>
      </c>
      <c r="BD27" s="136">
        <f t="shared" si="29"/>
        <v>1.065401458</v>
      </c>
      <c r="BE27" s="85">
        <f t="shared" si="30"/>
        <v>1</v>
      </c>
      <c r="BF27" s="45">
        <v>0.654191077</v>
      </c>
      <c r="BG27" s="136">
        <f t="shared" si="31"/>
        <v>1.088969481</v>
      </c>
      <c r="BH27" s="85">
        <f t="shared" si="32"/>
        <v>1</v>
      </c>
      <c r="BI27" s="45">
        <v>0.629900098</v>
      </c>
      <c r="BJ27" s="136">
        <f t="shared" si="33"/>
        <v>1.130963656</v>
      </c>
      <c r="BK27" s="85">
        <f t="shared" si="34"/>
        <v>0</v>
      </c>
      <c r="BL27" s="138">
        <v>78.72</v>
      </c>
      <c r="BM27" s="138"/>
      <c r="BN27" s="138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7.80099264705882E-6</v>
      </c>
      <c r="L28" s="46">
        <v>1.57265498385916E-7</v>
      </c>
      <c r="M28" s="45">
        <f t="shared" si="1"/>
        <v>7.800992647</v>
      </c>
      <c r="N28" s="45">
        <v>0.008810613</v>
      </c>
      <c r="O28" s="45">
        <v>8.809473038</v>
      </c>
      <c r="P28" s="45">
        <v>0.009947017</v>
      </c>
      <c r="Q28" s="47">
        <f t="shared" si="2"/>
        <v>0.1292759058</v>
      </c>
      <c r="R28" s="48">
        <f t="shared" si="3"/>
        <v>75.89426158</v>
      </c>
      <c r="S28" s="44">
        <v>1000000.0</v>
      </c>
      <c r="T28" s="49">
        <f t="shared" si="4"/>
        <v>14.13826121</v>
      </c>
      <c r="U28" s="49">
        <f t="shared" si="43"/>
        <v>1</v>
      </c>
      <c r="V28" s="45">
        <f t="shared" si="6"/>
        <v>0.8855231878</v>
      </c>
      <c r="W28" s="44">
        <f t="shared" si="7"/>
        <v>0</v>
      </c>
      <c r="X28" s="88">
        <f t="shared" si="8"/>
        <v>23</v>
      </c>
      <c r="Y28" s="135">
        <v>7.900463104</v>
      </c>
      <c r="Z28" s="136">
        <f t="shared" si="9"/>
        <v>0.987409541</v>
      </c>
      <c r="AA28" s="137">
        <f t="shared" si="10"/>
        <v>1</v>
      </c>
      <c r="AB28" s="135">
        <v>7.814203262</v>
      </c>
      <c r="AC28" s="136">
        <f t="shared" si="11"/>
        <v>0.9983094099</v>
      </c>
      <c r="AD28" s="137">
        <f t="shared" si="12"/>
        <v>1</v>
      </c>
      <c r="AE28" s="135">
        <v>7.870698929</v>
      </c>
      <c r="AF28" s="136">
        <f t="shared" si="13"/>
        <v>0.9911435715</v>
      </c>
      <c r="AG28" s="137">
        <f t="shared" si="14"/>
        <v>1</v>
      </c>
      <c r="AH28" s="135">
        <v>7.659834862</v>
      </c>
      <c r="AI28" s="136">
        <f t="shared" si="15"/>
        <v>1.018428307</v>
      </c>
      <c r="AJ28" s="137">
        <f t="shared" si="16"/>
        <v>1</v>
      </c>
      <c r="AK28" s="140">
        <v>7.755706787</v>
      </c>
      <c r="AL28" s="141">
        <f t="shared" si="17"/>
        <v>1.005839037</v>
      </c>
      <c r="AM28" s="142">
        <f t="shared" si="18"/>
        <v>1</v>
      </c>
      <c r="AN28" s="135">
        <v>8.505818367</v>
      </c>
      <c r="AO28" s="136">
        <f t="shared" si="19"/>
        <v>0.9171360486</v>
      </c>
      <c r="AP28" s="137">
        <f t="shared" si="20"/>
        <v>1</v>
      </c>
      <c r="AQ28" s="135">
        <v>7.478592396</v>
      </c>
      <c r="AR28" s="136">
        <f t="shared" si="21"/>
        <v>1.04310975</v>
      </c>
      <c r="AS28" s="137">
        <f t="shared" si="22"/>
        <v>1</v>
      </c>
      <c r="AT28" s="135">
        <v>8.623296738</v>
      </c>
      <c r="AU28" s="136">
        <f t="shared" si="23"/>
        <v>0.9046415639</v>
      </c>
      <c r="AV28" s="137">
        <f t="shared" si="24"/>
        <v>0</v>
      </c>
      <c r="AW28" s="45">
        <v>10.706627846</v>
      </c>
      <c r="AX28" s="136">
        <f t="shared" si="25"/>
        <v>0.7286134121</v>
      </c>
      <c r="AY28" s="85">
        <f t="shared" si="26"/>
        <v>0</v>
      </c>
      <c r="AZ28" s="45">
        <v>8.044370651</v>
      </c>
      <c r="BA28" s="136">
        <f t="shared" si="27"/>
        <v>0.9697455507</v>
      </c>
      <c r="BB28" s="85">
        <f t="shared" si="28"/>
        <v>1</v>
      </c>
      <c r="BC28" s="45">
        <v>8.001420975</v>
      </c>
      <c r="BD28" s="136">
        <f t="shared" si="29"/>
        <v>0.9749509083</v>
      </c>
      <c r="BE28" s="85">
        <f t="shared" si="30"/>
        <v>1</v>
      </c>
      <c r="BF28" s="45">
        <v>8.059703827</v>
      </c>
      <c r="BG28" s="136">
        <f t="shared" si="31"/>
        <v>0.9679006592</v>
      </c>
      <c r="BH28" s="85">
        <f t="shared" si="32"/>
        <v>1</v>
      </c>
      <c r="BI28" s="45">
        <v>8.845023155</v>
      </c>
      <c r="BJ28" s="136">
        <f t="shared" si="33"/>
        <v>0.8819640729</v>
      </c>
      <c r="BK28" s="85">
        <f t="shared" si="34"/>
        <v>0</v>
      </c>
      <c r="BL28" s="138">
        <v>82.04</v>
      </c>
      <c r="BM28" s="138">
        <f t="shared" ref="BM28:BM33" si="44">BL28/(H28*H28*F28*C28)</f>
        <v>68.36666667</v>
      </c>
      <c r="BN28" s="138">
        <f t="shared" ref="BN28:BN33" si="45">BL28/(H28*H28*F28*C28*C28)</f>
        <v>45.57777778</v>
      </c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8.38569852941176E-5</v>
      </c>
      <c r="L29" s="46">
        <v>1.59186604678071E-6</v>
      </c>
      <c r="M29" s="45">
        <f t="shared" si="1"/>
        <v>83.85698529</v>
      </c>
      <c r="N29" s="45">
        <v>0.093431858</v>
      </c>
      <c r="O29" s="45">
        <v>97.646057129</v>
      </c>
      <c r="P29" s="45">
        <v>0.179760279</v>
      </c>
      <c r="Q29" s="47">
        <f t="shared" si="2"/>
        <v>0.1644355779</v>
      </c>
      <c r="R29" s="48">
        <f t="shared" si="3"/>
        <v>68.06346535</v>
      </c>
      <c r="S29" s="44">
        <v>1000000.0</v>
      </c>
      <c r="T29" s="49">
        <f t="shared" si="4"/>
        <v>151.9796282</v>
      </c>
      <c r="U29" s="49">
        <f t="shared" si="43"/>
        <v>10.74952754</v>
      </c>
      <c r="V29" s="45">
        <f t="shared" si="6"/>
        <v>0.8587851651</v>
      </c>
      <c r="W29" s="44">
        <f t="shared" si="7"/>
        <v>0</v>
      </c>
      <c r="X29" s="88">
        <f t="shared" si="8"/>
        <v>24</v>
      </c>
      <c r="Y29" s="135">
        <v>88.792404175</v>
      </c>
      <c r="Z29" s="136">
        <f t="shared" si="9"/>
        <v>0.944416204</v>
      </c>
      <c r="AA29" s="137">
        <f t="shared" si="10"/>
        <v>1</v>
      </c>
      <c r="AB29" s="135">
        <v>88.421661377</v>
      </c>
      <c r="AC29" s="136">
        <f t="shared" si="11"/>
        <v>0.9483760426</v>
      </c>
      <c r="AD29" s="137">
        <f t="shared" si="12"/>
        <v>1</v>
      </c>
      <c r="AE29" s="135">
        <v>87.450393677</v>
      </c>
      <c r="AF29" s="136">
        <f t="shared" si="13"/>
        <v>0.95890918</v>
      </c>
      <c r="AG29" s="137">
        <f t="shared" si="14"/>
        <v>1</v>
      </c>
      <c r="AH29" s="135">
        <v>85.862976074</v>
      </c>
      <c r="AI29" s="136">
        <f t="shared" si="15"/>
        <v>0.976637302</v>
      </c>
      <c r="AJ29" s="137">
        <f t="shared" si="16"/>
        <v>1</v>
      </c>
      <c r="AK29" s="135">
        <v>86.920227051</v>
      </c>
      <c r="AL29" s="136">
        <f t="shared" si="17"/>
        <v>0.9647580102</v>
      </c>
      <c r="AM29" s="137">
        <f t="shared" si="18"/>
        <v>1</v>
      </c>
      <c r="AN29" s="135">
        <v>94.270645142</v>
      </c>
      <c r="AO29" s="136">
        <f t="shared" si="19"/>
        <v>0.8895344374</v>
      </c>
      <c r="AP29" s="137">
        <f t="shared" si="20"/>
        <v>0</v>
      </c>
      <c r="AQ29" s="135">
        <v>84.278305054</v>
      </c>
      <c r="AR29" s="136">
        <f t="shared" si="21"/>
        <v>0.9950008515</v>
      </c>
      <c r="AS29" s="137">
        <f t="shared" si="22"/>
        <v>1</v>
      </c>
      <c r="AT29" s="135">
        <v>94.876014709</v>
      </c>
      <c r="AU29" s="136">
        <f t="shared" si="23"/>
        <v>0.8838586396</v>
      </c>
      <c r="AV29" s="137">
        <f t="shared" si="24"/>
        <v>0</v>
      </c>
      <c r="AW29" s="45">
        <v>114.472877502</v>
      </c>
      <c r="AX29" s="136">
        <f t="shared" si="25"/>
        <v>0.7325489419</v>
      </c>
      <c r="AY29" s="85">
        <f t="shared" si="26"/>
        <v>0</v>
      </c>
      <c r="AZ29" s="45">
        <v>91.382316589</v>
      </c>
      <c r="BA29" s="136">
        <f t="shared" si="27"/>
        <v>0.9176500271</v>
      </c>
      <c r="BB29" s="85">
        <f t="shared" si="28"/>
        <v>1</v>
      </c>
      <c r="BC29" s="45">
        <v>91.294296265</v>
      </c>
      <c r="BD29" s="136">
        <f t="shared" si="29"/>
        <v>0.9185347686</v>
      </c>
      <c r="BE29" s="85">
        <f t="shared" si="30"/>
        <v>1</v>
      </c>
      <c r="BF29" s="45">
        <v>91.957962036</v>
      </c>
      <c r="BG29" s="136">
        <f t="shared" si="31"/>
        <v>0.9119056516</v>
      </c>
      <c r="BH29" s="85">
        <f t="shared" si="32"/>
        <v>1</v>
      </c>
      <c r="BI29" s="45">
        <v>102.055778503</v>
      </c>
      <c r="BJ29" s="136">
        <f t="shared" si="33"/>
        <v>0.8216779738</v>
      </c>
      <c r="BK29" s="85">
        <f t="shared" si="34"/>
        <v>0</v>
      </c>
      <c r="BL29" s="138">
        <v>108.5</v>
      </c>
      <c r="BM29" s="138">
        <f t="shared" si="44"/>
        <v>30.13888889</v>
      </c>
      <c r="BN29" s="138">
        <f t="shared" si="45"/>
        <v>20.09259259</v>
      </c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4.34485294117647E-4</v>
      </c>
      <c r="L30" s="46">
        <v>7.14934370892948E-6</v>
      </c>
      <c r="M30" s="45">
        <f t="shared" si="1"/>
        <v>434.4852941</v>
      </c>
      <c r="N30" s="45">
        <v>0.478617394</v>
      </c>
      <c r="O30" s="45">
        <v>460.229614258</v>
      </c>
      <c r="P30" s="45">
        <v>1.238535385</v>
      </c>
      <c r="Q30" s="47">
        <f t="shared" si="2"/>
        <v>0.05925245455</v>
      </c>
      <c r="R30" s="48">
        <f t="shared" si="3"/>
        <v>19.38874903</v>
      </c>
      <c r="S30" s="44">
        <v>1000000.0</v>
      </c>
      <c r="T30" s="49">
        <f t="shared" si="4"/>
        <v>787.446785</v>
      </c>
      <c r="U30" s="49">
        <f t="shared" si="43"/>
        <v>55.69615481</v>
      </c>
      <c r="V30" s="45">
        <f t="shared" si="6"/>
        <v>0.9440620087</v>
      </c>
      <c r="W30" s="44">
        <f t="shared" si="7"/>
        <v>1</v>
      </c>
      <c r="X30" s="44">
        <f t="shared" si="8"/>
        <v>25</v>
      </c>
      <c r="Y30" s="135">
        <v>416.524169922</v>
      </c>
      <c r="Z30" s="136">
        <f t="shared" si="9"/>
        <v>1.043121445</v>
      </c>
      <c r="AA30" s="137">
        <f t="shared" si="10"/>
        <v>1</v>
      </c>
      <c r="AB30" s="135">
        <v>413.436889648</v>
      </c>
      <c r="AC30" s="136">
        <f t="shared" si="11"/>
        <v>1.050910804</v>
      </c>
      <c r="AD30" s="137">
        <f t="shared" si="12"/>
        <v>1</v>
      </c>
      <c r="AE30" s="135">
        <v>408.811157227</v>
      </c>
      <c r="AF30" s="136">
        <f t="shared" si="13"/>
        <v>1.062801948</v>
      </c>
      <c r="AG30" s="137">
        <f t="shared" si="14"/>
        <v>1</v>
      </c>
      <c r="AH30" s="135">
        <v>405.679046631</v>
      </c>
      <c r="AI30" s="136">
        <f t="shared" si="15"/>
        <v>1.071007482</v>
      </c>
      <c r="AJ30" s="137">
        <f t="shared" si="16"/>
        <v>1</v>
      </c>
      <c r="AK30" s="135">
        <v>409.021331787</v>
      </c>
      <c r="AL30" s="136">
        <f t="shared" si="17"/>
        <v>1.06225583</v>
      </c>
      <c r="AM30" s="137">
        <f t="shared" si="18"/>
        <v>1</v>
      </c>
      <c r="AN30" s="140">
        <v>432.620147705</v>
      </c>
      <c r="AO30" s="141">
        <f t="shared" si="19"/>
        <v>1.00431128</v>
      </c>
      <c r="AP30" s="142">
        <f t="shared" si="20"/>
        <v>1</v>
      </c>
      <c r="AQ30" s="135">
        <v>397.835388184</v>
      </c>
      <c r="AR30" s="136">
        <f t="shared" si="21"/>
        <v>1.092123293</v>
      </c>
      <c r="AS30" s="137">
        <f t="shared" si="22"/>
        <v>1</v>
      </c>
      <c r="AT30" s="135">
        <v>439.243041992</v>
      </c>
      <c r="AU30" s="136">
        <f t="shared" si="23"/>
        <v>0.9891683022</v>
      </c>
      <c r="AV30" s="137">
        <f t="shared" si="24"/>
        <v>1</v>
      </c>
      <c r="AW30" s="45">
        <v>531.886779785</v>
      </c>
      <c r="AX30" s="136">
        <f t="shared" si="25"/>
        <v>0.8168755281</v>
      </c>
      <c r="AY30" s="85">
        <f t="shared" si="26"/>
        <v>0</v>
      </c>
      <c r="AZ30" s="45">
        <v>434.964111328</v>
      </c>
      <c r="BA30" s="136">
        <f t="shared" si="27"/>
        <v>0.99889918</v>
      </c>
      <c r="BB30" s="85">
        <f t="shared" si="28"/>
        <v>1</v>
      </c>
      <c r="BC30" s="145">
        <v>435.250610352</v>
      </c>
      <c r="BD30" s="141">
        <f t="shared" si="29"/>
        <v>0.9982416653</v>
      </c>
      <c r="BE30" s="146">
        <f t="shared" si="30"/>
        <v>1</v>
      </c>
      <c r="BF30" s="45">
        <v>437.632171631</v>
      </c>
      <c r="BG30" s="136">
        <f t="shared" si="31"/>
        <v>0.9928093095</v>
      </c>
      <c r="BH30" s="85">
        <f t="shared" si="32"/>
        <v>1</v>
      </c>
      <c r="BI30" s="45">
        <v>487.084991455</v>
      </c>
      <c r="BJ30" s="136">
        <f t="shared" si="33"/>
        <v>0.8920112542</v>
      </c>
      <c r="BK30" s="85">
        <f t="shared" si="34"/>
        <v>0</v>
      </c>
      <c r="BL30" s="138">
        <v>161.3</v>
      </c>
      <c r="BM30" s="138">
        <f t="shared" si="44"/>
        <v>26.88333333</v>
      </c>
      <c r="BN30" s="138">
        <f t="shared" si="45"/>
        <v>17.92222222</v>
      </c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0.00138447058823529</v>
      </c>
      <c r="L31" s="46">
        <v>2.43121494323678E-5</v>
      </c>
      <c r="M31" s="45">
        <f t="shared" si="1"/>
        <v>1384.470588</v>
      </c>
      <c r="N31" s="45">
        <v>1.516533373</v>
      </c>
      <c r="O31" s="45">
        <v>1469.353515625</v>
      </c>
      <c r="P31" s="45">
        <v>4.624190321</v>
      </c>
      <c r="Q31" s="47">
        <f t="shared" si="2"/>
        <v>0.06131074803</v>
      </c>
      <c r="R31" s="48">
        <f t="shared" si="3"/>
        <v>17.44222576</v>
      </c>
      <c r="S31" s="44">
        <v>1000000.0</v>
      </c>
      <c r="T31" s="49">
        <f t="shared" si="4"/>
        <v>2509.16873</v>
      </c>
      <c r="U31" s="49">
        <f t="shared" si="43"/>
        <v>177.4736435</v>
      </c>
      <c r="V31" s="45">
        <f t="shared" si="6"/>
        <v>0.9422311061</v>
      </c>
      <c r="W31" s="44">
        <f t="shared" si="7"/>
        <v>1</v>
      </c>
      <c r="X31" s="44">
        <f t="shared" si="8"/>
        <v>26</v>
      </c>
      <c r="Y31" s="135">
        <v>1311.243774414</v>
      </c>
      <c r="Z31" s="136">
        <f t="shared" si="9"/>
        <v>1.055845309</v>
      </c>
      <c r="AA31" s="137">
        <f t="shared" si="10"/>
        <v>1</v>
      </c>
      <c r="AB31" s="135">
        <v>1305.68371582</v>
      </c>
      <c r="AC31" s="136">
        <f t="shared" si="11"/>
        <v>1.060341468</v>
      </c>
      <c r="AD31" s="137">
        <f t="shared" si="12"/>
        <v>1</v>
      </c>
      <c r="AE31" s="135">
        <v>1282.204956055</v>
      </c>
      <c r="AF31" s="136">
        <f t="shared" si="13"/>
        <v>1.079757633</v>
      </c>
      <c r="AG31" s="137">
        <f t="shared" si="14"/>
        <v>1</v>
      </c>
      <c r="AH31" s="135">
        <v>1272.051391602</v>
      </c>
      <c r="AI31" s="136">
        <f t="shared" si="15"/>
        <v>1.088376301</v>
      </c>
      <c r="AJ31" s="137">
        <f t="shared" si="16"/>
        <v>1</v>
      </c>
      <c r="AK31" s="135">
        <v>1287.536865234</v>
      </c>
      <c r="AL31" s="136">
        <f t="shared" si="17"/>
        <v>1.075286173</v>
      </c>
      <c r="AM31" s="137">
        <f t="shared" si="18"/>
        <v>1</v>
      </c>
      <c r="AN31" s="135">
        <v>1352.678100586</v>
      </c>
      <c r="AO31" s="136">
        <f t="shared" si="19"/>
        <v>1.023503365</v>
      </c>
      <c r="AP31" s="137">
        <f t="shared" si="20"/>
        <v>1</v>
      </c>
      <c r="AQ31" s="135">
        <v>1252.801635742</v>
      </c>
      <c r="AR31" s="136">
        <f t="shared" si="21"/>
        <v>1.105099601</v>
      </c>
      <c r="AS31" s="137">
        <f t="shared" si="22"/>
        <v>1</v>
      </c>
      <c r="AT31" s="135">
        <v>1369.184448242</v>
      </c>
      <c r="AU31" s="136">
        <f t="shared" si="23"/>
        <v>1.011164413</v>
      </c>
      <c r="AV31" s="137">
        <f t="shared" si="24"/>
        <v>1</v>
      </c>
      <c r="AW31" s="45">
        <v>1682.808227539</v>
      </c>
      <c r="AX31" s="136">
        <f t="shared" si="25"/>
        <v>0.822714416</v>
      </c>
      <c r="AY31" s="85">
        <f t="shared" si="26"/>
        <v>0</v>
      </c>
      <c r="AZ31" s="45">
        <v>1391.230834961</v>
      </c>
      <c r="BA31" s="136">
        <f t="shared" si="27"/>
        <v>0.9951408159</v>
      </c>
      <c r="BB31" s="85">
        <f t="shared" si="28"/>
        <v>1</v>
      </c>
      <c r="BC31" s="45">
        <v>1393.513305664</v>
      </c>
      <c r="BD31" s="136">
        <f t="shared" si="29"/>
        <v>0.9935108496</v>
      </c>
      <c r="BE31" s="85">
        <f t="shared" si="30"/>
        <v>1</v>
      </c>
      <c r="BF31" s="45">
        <v>1401.242431641</v>
      </c>
      <c r="BG31" s="136">
        <f t="shared" si="31"/>
        <v>0.988030734</v>
      </c>
      <c r="BH31" s="85">
        <f t="shared" si="32"/>
        <v>1</v>
      </c>
      <c r="BI31" s="45">
        <v>1559.657958984</v>
      </c>
      <c r="BJ31" s="136">
        <f t="shared" si="33"/>
        <v>0.8876757755</v>
      </c>
      <c r="BK31" s="85">
        <f t="shared" si="34"/>
        <v>0</v>
      </c>
      <c r="BL31" s="138">
        <v>240.5</v>
      </c>
      <c r="BM31" s="138">
        <f t="shared" si="44"/>
        <v>28.63095238</v>
      </c>
      <c r="BN31" s="138">
        <f t="shared" si="45"/>
        <v>19.08730159</v>
      </c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0.00350651470588235</v>
      </c>
      <c r="L32" s="46">
        <v>6.79955320203296E-5</v>
      </c>
      <c r="M32" s="45">
        <f t="shared" si="1"/>
        <v>3506.514706</v>
      </c>
      <c r="N32" s="45">
        <v>3.833310113</v>
      </c>
      <c r="O32" s="45">
        <v>3687.806884766</v>
      </c>
      <c r="P32" s="45">
        <v>12.468829039</v>
      </c>
      <c r="Q32" s="47">
        <f t="shared" si="2"/>
        <v>0.05170153103</v>
      </c>
      <c r="R32" s="48">
        <f t="shared" si="3"/>
        <v>13.89769318</v>
      </c>
      <c r="S32" s="44">
        <v>1000000.0</v>
      </c>
      <c r="T32" s="49">
        <f t="shared" si="4"/>
        <v>6355.091344</v>
      </c>
      <c r="U32" s="49">
        <f t="shared" si="43"/>
        <v>449.4959635</v>
      </c>
      <c r="V32" s="45">
        <f t="shared" si="6"/>
        <v>0.9508401105</v>
      </c>
      <c r="W32" s="44">
        <f t="shared" si="7"/>
        <v>1</v>
      </c>
      <c r="X32" s="44">
        <f t="shared" si="8"/>
        <v>27</v>
      </c>
      <c r="Y32" s="135">
        <v>3178.501953125</v>
      </c>
      <c r="Z32" s="136">
        <f t="shared" si="9"/>
        <v>1.103197279</v>
      </c>
      <c r="AA32" s="137">
        <f t="shared" si="10"/>
        <v>1</v>
      </c>
      <c r="AB32" s="135">
        <v>3180.082519531</v>
      </c>
      <c r="AC32" s="136">
        <f t="shared" si="11"/>
        <v>1.102648967</v>
      </c>
      <c r="AD32" s="137">
        <f t="shared" si="12"/>
        <v>1</v>
      </c>
      <c r="AE32" s="135">
        <v>3120.955810547</v>
      </c>
      <c r="AF32" s="136">
        <f t="shared" si="13"/>
        <v>1.123538723</v>
      </c>
      <c r="AG32" s="137">
        <f t="shared" si="14"/>
        <v>0</v>
      </c>
      <c r="AH32" s="135">
        <v>3112.033447266</v>
      </c>
      <c r="AI32" s="136">
        <f t="shared" si="15"/>
        <v>1.126759967</v>
      </c>
      <c r="AJ32" s="137">
        <f t="shared" si="16"/>
        <v>0</v>
      </c>
      <c r="AK32" s="135">
        <v>3137.917724609</v>
      </c>
      <c r="AL32" s="136">
        <f t="shared" si="17"/>
        <v>1.11746547</v>
      </c>
      <c r="AM32" s="137">
        <f t="shared" si="18"/>
        <v>0</v>
      </c>
      <c r="AN32" s="135">
        <v>3275.810791016</v>
      </c>
      <c r="AO32" s="136">
        <f t="shared" si="19"/>
        <v>1.070426508</v>
      </c>
      <c r="AP32" s="137">
        <f t="shared" si="20"/>
        <v>1</v>
      </c>
      <c r="AQ32" s="135">
        <v>3055.120361328</v>
      </c>
      <c r="AR32" s="136">
        <f t="shared" si="21"/>
        <v>1.147750102</v>
      </c>
      <c r="AS32" s="137">
        <f t="shared" si="22"/>
        <v>0</v>
      </c>
      <c r="AT32" s="135">
        <v>3320.520019531</v>
      </c>
      <c r="AU32" s="136">
        <f t="shared" si="23"/>
        <v>1.056013722</v>
      </c>
      <c r="AV32" s="137">
        <f t="shared" si="24"/>
        <v>1</v>
      </c>
      <c r="AW32" s="45">
        <v>4195.047851562</v>
      </c>
      <c r="AX32" s="136">
        <f t="shared" si="25"/>
        <v>0.8358700139</v>
      </c>
      <c r="AY32" s="85">
        <f t="shared" si="26"/>
        <v>0</v>
      </c>
      <c r="AZ32" s="45">
        <v>3486.541503906</v>
      </c>
      <c r="BA32" s="136">
        <f t="shared" si="27"/>
        <v>1.005728657</v>
      </c>
      <c r="BB32" s="85">
        <f t="shared" si="28"/>
        <v>1</v>
      </c>
      <c r="BC32" s="45">
        <v>3493.681152344</v>
      </c>
      <c r="BD32" s="136">
        <f t="shared" si="29"/>
        <v>1.003673361</v>
      </c>
      <c r="BE32" s="85">
        <f t="shared" si="30"/>
        <v>1</v>
      </c>
      <c r="BF32" s="45">
        <v>3511.698974609</v>
      </c>
      <c r="BG32" s="136">
        <f t="shared" si="31"/>
        <v>0.9985237149</v>
      </c>
      <c r="BH32" s="85">
        <f t="shared" si="32"/>
        <v>1</v>
      </c>
      <c r="BI32" s="45">
        <v>3909.915039062</v>
      </c>
      <c r="BJ32" s="136">
        <f t="shared" si="33"/>
        <v>0.8968263174</v>
      </c>
      <c r="BK32" s="85">
        <f t="shared" si="34"/>
        <v>0</v>
      </c>
      <c r="BL32" s="138">
        <v>346.1</v>
      </c>
      <c r="BM32" s="138">
        <f t="shared" si="44"/>
        <v>32.0462963</v>
      </c>
      <c r="BN32" s="138">
        <f t="shared" si="45"/>
        <v>21.36419753</v>
      </c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0.00756208088235294</v>
      </c>
      <c r="L33" s="46">
        <v>1.04112763308156E-4</v>
      </c>
      <c r="M33" s="45">
        <f t="shared" si="1"/>
        <v>7562.080882</v>
      </c>
      <c r="N33" s="45">
        <v>8.243768382</v>
      </c>
      <c r="O33" s="45">
        <v>7785.614746094</v>
      </c>
      <c r="P33" s="45">
        <v>27.604346235</v>
      </c>
      <c r="Q33" s="47">
        <f t="shared" si="2"/>
        <v>0.02955983508</v>
      </c>
      <c r="R33" s="48">
        <f t="shared" si="3"/>
        <v>7.759162295</v>
      </c>
      <c r="S33" s="44">
        <v>1000000.0</v>
      </c>
      <c r="T33" s="49">
        <f t="shared" si="4"/>
        <v>13705.26542</v>
      </c>
      <c r="U33" s="49">
        <f t="shared" si="43"/>
        <v>969.3741841</v>
      </c>
      <c r="V33" s="45">
        <f t="shared" si="6"/>
        <v>0.9712888614</v>
      </c>
      <c r="W33" s="44">
        <f t="shared" si="7"/>
        <v>1</v>
      </c>
      <c r="X33" s="44">
        <f t="shared" si="8"/>
        <v>28</v>
      </c>
      <c r="Y33" s="135">
        <v>6479.6015625</v>
      </c>
      <c r="Z33" s="136">
        <f t="shared" si="9"/>
        <v>1.16705955</v>
      </c>
      <c r="AA33" s="137">
        <f t="shared" si="10"/>
        <v>0</v>
      </c>
      <c r="AB33" s="135">
        <v>6470.932617188</v>
      </c>
      <c r="AC33" s="136">
        <f t="shared" si="11"/>
        <v>1.16862303</v>
      </c>
      <c r="AD33" s="137">
        <f t="shared" si="12"/>
        <v>0</v>
      </c>
      <c r="AE33" s="135">
        <v>6342.932617188</v>
      </c>
      <c r="AF33" s="136">
        <f t="shared" si="13"/>
        <v>1.192205773</v>
      </c>
      <c r="AG33" s="137">
        <f t="shared" si="14"/>
        <v>0</v>
      </c>
      <c r="AH33" s="135">
        <v>6335.6484375</v>
      </c>
      <c r="AI33" s="136">
        <f t="shared" si="15"/>
        <v>1.193576468</v>
      </c>
      <c r="AJ33" s="137">
        <f t="shared" si="16"/>
        <v>0</v>
      </c>
      <c r="AK33" s="135">
        <v>6390.686523438</v>
      </c>
      <c r="AL33" s="136">
        <f t="shared" si="17"/>
        <v>1.183297108</v>
      </c>
      <c r="AM33" s="137">
        <f t="shared" si="18"/>
        <v>0</v>
      </c>
      <c r="AN33" s="135">
        <v>6646.328125</v>
      </c>
      <c r="AO33" s="136">
        <f t="shared" si="19"/>
        <v>1.13778326</v>
      </c>
      <c r="AP33" s="137">
        <f t="shared" si="20"/>
        <v>0</v>
      </c>
      <c r="AQ33" s="135">
        <v>6218.360351562</v>
      </c>
      <c r="AR33" s="136">
        <f t="shared" si="21"/>
        <v>1.216089203</v>
      </c>
      <c r="AS33" s="137">
        <f t="shared" si="22"/>
        <v>0</v>
      </c>
      <c r="AT33" s="135">
        <v>6731.441894531</v>
      </c>
      <c r="AU33" s="136">
        <f t="shared" si="23"/>
        <v>1.123396889</v>
      </c>
      <c r="AV33" s="137">
        <f t="shared" si="24"/>
        <v>0</v>
      </c>
      <c r="AW33" s="45">
        <v>8893.837890625</v>
      </c>
      <c r="AX33" s="136">
        <f t="shared" si="25"/>
        <v>0.8502607058</v>
      </c>
      <c r="AY33" s="85">
        <f t="shared" si="26"/>
        <v>0</v>
      </c>
      <c r="AZ33" s="45">
        <v>7419.562988281</v>
      </c>
      <c r="BA33" s="136">
        <f t="shared" si="27"/>
        <v>1.019208395</v>
      </c>
      <c r="BB33" s="85">
        <f t="shared" si="28"/>
        <v>1</v>
      </c>
      <c r="BC33" s="45">
        <v>7438.043457031</v>
      </c>
      <c r="BD33" s="136">
        <f t="shared" si="29"/>
        <v>1.016676082</v>
      </c>
      <c r="BE33" s="85">
        <f t="shared" si="30"/>
        <v>1</v>
      </c>
      <c r="BF33" s="45">
        <v>7474.768066406</v>
      </c>
      <c r="BG33" s="136">
        <f t="shared" si="31"/>
        <v>1.011681007</v>
      </c>
      <c r="BH33" s="85">
        <f t="shared" si="32"/>
        <v>1</v>
      </c>
      <c r="BI33" s="45">
        <v>8322.255859375</v>
      </c>
      <c r="BJ33" s="136">
        <f t="shared" si="33"/>
        <v>0.9086575816</v>
      </c>
      <c r="BK33" s="85">
        <f t="shared" si="34"/>
        <v>0</v>
      </c>
      <c r="BL33" s="138">
        <v>478.1</v>
      </c>
      <c r="BM33" s="138">
        <f t="shared" si="44"/>
        <v>36.21969697</v>
      </c>
      <c r="BN33" s="138">
        <f t="shared" si="45"/>
        <v>24.14646465</v>
      </c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1.64088970588235E-6</v>
      </c>
      <c r="L34" s="53">
        <v>2.88386758811759E-8</v>
      </c>
      <c r="M34" s="52">
        <f t="shared" si="1"/>
        <v>1.640889706</v>
      </c>
      <c r="N34" s="52">
        <v>0.001747885</v>
      </c>
      <c r="O34" s="52">
        <v>2.330094099</v>
      </c>
      <c r="P34" s="52">
        <v>0.005337232</v>
      </c>
      <c r="Q34" s="54">
        <f t="shared" si="2"/>
        <v>0.4200187195</v>
      </c>
      <c r="R34" s="55">
        <f t="shared" si="3"/>
        <v>122.7182895</v>
      </c>
      <c r="S34" s="51">
        <v>916732.0</v>
      </c>
      <c r="T34" s="56">
        <f t="shared" si="4"/>
        <v>2.973894263</v>
      </c>
      <c r="U34" s="56">
        <f t="shared" ref="U34:U40" si="46">K34/$K$35</f>
        <v>0.09136169917</v>
      </c>
      <c r="V34" s="52">
        <f t="shared" si="6"/>
        <v>0.7042160686</v>
      </c>
      <c r="W34" s="51">
        <f t="shared" si="7"/>
        <v>0</v>
      </c>
      <c r="X34" s="88">
        <f t="shared" si="8"/>
        <v>29</v>
      </c>
      <c r="Y34" s="150">
        <v>1.688488364</v>
      </c>
      <c r="Z34" s="151">
        <f t="shared" si="9"/>
        <v>0.9718098986</v>
      </c>
      <c r="AA34" s="152">
        <f t="shared" si="10"/>
        <v>1</v>
      </c>
      <c r="AB34" s="150">
        <v>1.615549207</v>
      </c>
      <c r="AC34" s="151">
        <f t="shared" si="11"/>
        <v>1.015685377</v>
      </c>
      <c r="AD34" s="152">
        <f t="shared" si="12"/>
        <v>1</v>
      </c>
      <c r="AE34" s="150">
        <v>1.662318707</v>
      </c>
      <c r="AF34" s="151">
        <f t="shared" si="13"/>
        <v>0.9871089695</v>
      </c>
      <c r="AG34" s="152">
        <f t="shared" si="14"/>
        <v>1</v>
      </c>
      <c r="AH34" s="150">
        <v>1.653280497</v>
      </c>
      <c r="AI34" s="151">
        <f t="shared" si="15"/>
        <v>0.9925053304</v>
      </c>
      <c r="AJ34" s="152">
        <f t="shared" si="16"/>
        <v>1</v>
      </c>
      <c r="AK34" s="150">
        <v>1.666160226</v>
      </c>
      <c r="AL34" s="151">
        <f t="shared" si="17"/>
        <v>0.9848330792</v>
      </c>
      <c r="AM34" s="152">
        <f t="shared" si="18"/>
        <v>1</v>
      </c>
      <c r="AN34" s="150">
        <v>1.703949809</v>
      </c>
      <c r="AO34" s="151">
        <f t="shared" si="19"/>
        <v>0.9629918072</v>
      </c>
      <c r="AP34" s="152">
        <f t="shared" si="20"/>
        <v>1</v>
      </c>
      <c r="AQ34" s="150">
        <v>1.63088429</v>
      </c>
      <c r="AR34" s="151">
        <f t="shared" si="21"/>
        <v>1.006134964</v>
      </c>
      <c r="AS34" s="152">
        <f t="shared" si="22"/>
        <v>1</v>
      </c>
      <c r="AT34" s="150">
        <v>1.744763255</v>
      </c>
      <c r="AU34" s="151">
        <f t="shared" si="23"/>
        <v>0.9404655338</v>
      </c>
      <c r="AV34" s="152">
        <f t="shared" si="24"/>
        <v>1</v>
      </c>
      <c r="AW34" s="52">
        <v>3.074964762</v>
      </c>
      <c r="AX34" s="151">
        <f t="shared" si="25"/>
        <v>0.5336287837</v>
      </c>
      <c r="AY34" s="87">
        <f t="shared" si="26"/>
        <v>0</v>
      </c>
      <c r="AZ34" s="52">
        <v>1.676851749</v>
      </c>
      <c r="BA34" s="151">
        <f t="shared" si="27"/>
        <v>0.9785538327</v>
      </c>
      <c r="BB34" s="87">
        <f t="shared" si="28"/>
        <v>1</v>
      </c>
      <c r="BC34" s="52">
        <v>1.632454038</v>
      </c>
      <c r="BD34" s="151">
        <f t="shared" si="29"/>
        <v>1.005167477</v>
      </c>
      <c r="BE34" s="87">
        <f t="shared" si="30"/>
        <v>1</v>
      </c>
      <c r="BF34" s="52">
        <v>1.597279191</v>
      </c>
      <c r="BG34" s="151">
        <f t="shared" si="31"/>
        <v>1.027303001</v>
      </c>
      <c r="BH34" s="87">
        <f t="shared" si="32"/>
        <v>1</v>
      </c>
      <c r="BI34" s="52">
        <v>1.537959695</v>
      </c>
      <c r="BJ34" s="151">
        <f t="shared" si="33"/>
        <v>1.066926338</v>
      </c>
      <c r="BK34" s="87">
        <f t="shared" si="34"/>
        <v>1</v>
      </c>
      <c r="BL34" s="143">
        <v>123.1</v>
      </c>
      <c r="BM34" s="143"/>
      <c r="BN34" s="143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1.79603676470588E-5</v>
      </c>
      <c r="L35" s="53">
        <v>3.14205424872976E-7</v>
      </c>
      <c r="M35" s="52">
        <f t="shared" si="1"/>
        <v>17.96036765</v>
      </c>
      <c r="N35" s="52">
        <v>0.020317543</v>
      </c>
      <c r="O35" s="52">
        <v>21.471698761</v>
      </c>
      <c r="P35" s="52">
        <v>0.02428471</v>
      </c>
      <c r="Q35" s="54">
        <f t="shared" si="2"/>
        <v>0.1955044119</v>
      </c>
      <c r="R35" s="55">
        <f t="shared" si="3"/>
        <v>110.896753</v>
      </c>
      <c r="S35" s="51">
        <v>1000000.0</v>
      </c>
      <c r="T35" s="56">
        <f t="shared" si="4"/>
        <v>32.55077664</v>
      </c>
      <c r="U35" s="56">
        <f t="shared" si="46"/>
        <v>1</v>
      </c>
      <c r="V35" s="52">
        <f t="shared" si="6"/>
        <v>0.8364670093</v>
      </c>
      <c r="W35" s="51">
        <f t="shared" si="7"/>
        <v>0</v>
      </c>
      <c r="X35" s="88">
        <f t="shared" si="8"/>
        <v>30</v>
      </c>
      <c r="Y35" s="150">
        <v>19.006555557</v>
      </c>
      <c r="Z35" s="151">
        <f t="shared" si="9"/>
        <v>0.9449564701</v>
      </c>
      <c r="AA35" s="152">
        <f t="shared" si="10"/>
        <v>1</v>
      </c>
      <c r="AB35" s="150">
        <v>18.914690018</v>
      </c>
      <c r="AC35" s="151">
        <f t="shared" si="11"/>
        <v>0.9495459682</v>
      </c>
      <c r="AD35" s="152">
        <f t="shared" si="12"/>
        <v>1</v>
      </c>
      <c r="AE35" s="150">
        <v>18.936735153</v>
      </c>
      <c r="AF35" s="151">
        <f t="shared" si="13"/>
        <v>0.9484405576</v>
      </c>
      <c r="AG35" s="152">
        <f t="shared" si="14"/>
        <v>1</v>
      </c>
      <c r="AH35" s="150">
        <v>18.490772247</v>
      </c>
      <c r="AI35" s="151">
        <f t="shared" si="15"/>
        <v>0.9713151732</v>
      </c>
      <c r="AJ35" s="152">
        <f t="shared" si="16"/>
        <v>1</v>
      </c>
      <c r="AK35" s="150">
        <v>18.643533707</v>
      </c>
      <c r="AL35" s="151">
        <f t="shared" si="17"/>
        <v>0.9633564071</v>
      </c>
      <c r="AM35" s="152">
        <f t="shared" si="18"/>
        <v>1</v>
      </c>
      <c r="AN35" s="150">
        <v>20.029024124</v>
      </c>
      <c r="AO35" s="151">
        <f t="shared" si="19"/>
        <v>0.896717061</v>
      </c>
      <c r="AP35" s="152">
        <f t="shared" si="20"/>
        <v>0</v>
      </c>
      <c r="AQ35" s="154">
        <v>17.946369171</v>
      </c>
      <c r="AR35" s="155">
        <f t="shared" si="21"/>
        <v>1.000780017</v>
      </c>
      <c r="AS35" s="156">
        <f t="shared" si="22"/>
        <v>1</v>
      </c>
      <c r="AT35" s="150">
        <v>20.184452057</v>
      </c>
      <c r="AU35" s="151">
        <f t="shared" si="23"/>
        <v>0.8898119997</v>
      </c>
      <c r="AV35" s="152">
        <f t="shared" si="24"/>
        <v>0</v>
      </c>
      <c r="AW35" s="52">
        <v>26.141662598</v>
      </c>
      <c r="AX35" s="151">
        <f t="shared" si="25"/>
        <v>0.6870399914</v>
      </c>
      <c r="AY35" s="87">
        <f t="shared" si="26"/>
        <v>0</v>
      </c>
      <c r="AZ35" s="52">
        <v>19.647432327</v>
      </c>
      <c r="BA35" s="151">
        <f t="shared" si="27"/>
        <v>0.9141330708</v>
      </c>
      <c r="BB35" s="87">
        <f t="shared" si="28"/>
        <v>1</v>
      </c>
      <c r="BC35" s="52">
        <v>19.539958954</v>
      </c>
      <c r="BD35" s="151">
        <f t="shared" si="29"/>
        <v>0.9191609711</v>
      </c>
      <c r="BE35" s="87">
        <f t="shared" si="30"/>
        <v>1</v>
      </c>
      <c r="BF35" s="52">
        <v>19.680274963</v>
      </c>
      <c r="BG35" s="151">
        <f t="shared" si="31"/>
        <v>0.9126075566</v>
      </c>
      <c r="BH35" s="87">
        <f t="shared" si="32"/>
        <v>1</v>
      </c>
      <c r="BI35" s="52">
        <v>21.596452713</v>
      </c>
      <c r="BJ35" s="151">
        <f t="shared" si="33"/>
        <v>0.8316350785</v>
      </c>
      <c r="BK35" s="87">
        <f t="shared" si="34"/>
        <v>0</v>
      </c>
      <c r="BL35" s="143">
        <v>128.2</v>
      </c>
      <c r="BM35" s="143">
        <f t="shared" ref="BM35:BM40" si="47">BL35/(H35*H35*F35*C35)</f>
        <v>68.37333333</v>
      </c>
      <c r="BN35" s="143">
        <f t="shared" ref="BN35:BN40" si="48">BL35/(H35*H35*F35*C35*C35)</f>
        <v>45.58222222</v>
      </c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2.22598529411764E-4</v>
      </c>
      <c r="L36" s="53">
        <v>3.54304713580499E-6</v>
      </c>
      <c r="M36" s="52">
        <f t="shared" si="1"/>
        <v>222.5985294</v>
      </c>
      <c r="N36" s="52">
        <v>0.247854666</v>
      </c>
      <c r="O36" s="52">
        <v>236.941864014</v>
      </c>
      <c r="P36" s="52">
        <v>0.43886787</v>
      </c>
      <c r="Q36" s="54">
        <f t="shared" si="2"/>
        <v>0.06443589111</v>
      </c>
      <c r="R36" s="55">
        <f t="shared" si="3"/>
        <v>28.45782412</v>
      </c>
      <c r="S36" s="51">
        <v>1000000.0</v>
      </c>
      <c r="T36" s="56">
        <f t="shared" si="4"/>
        <v>403.4302167</v>
      </c>
      <c r="U36" s="56">
        <f t="shared" si="46"/>
        <v>12.39387377</v>
      </c>
      <c r="V36" s="52">
        <f t="shared" si="6"/>
        <v>0.9394647516</v>
      </c>
      <c r="W36" s="51">
        <f t="shared" si="7"/>
        <v>1</v>
      </c>
      <c r="X36" s="88">
        <f t="shared" si="8"/>
        <v>31</v>
      </c>
      <c r="Y36" s="150">
        <v>213.048034668</v>
      </c>
      <c r="Z36" s="151">
        <f t="shared" si="9"/>
        <v>1.044827894</v>
      </c>
      <c r="AA36" s="152">
        <f t="shared" si="10"/>
        <v>1</v>
      </c>
      <c r="AB36" s="150">
        <v>213.429992676</v>
      </c>
      <c r="AC36" s="151">
        <f t="shared" si="11"/>
        <v>1.042958052</v>
      </c>
      <c r="AD36" s="152">
        <f t="shared" si="12"/>
        <v>1</v>
      </c>
      <c r="AE36" s="150">
        <v>210.654418945</v>
      </c>
      <c r="AF36" s="151">
        <f t="shared" si="13"/>
        <v>1.056700023</v>
      </c>
      <c r="AG36" s="152">
        <f t="shared" si="14"/>
        <v>1</v>
      </c>
      <c r="AH36" s="150">
        <v>206.327102661</v>
      </c>
      <c r="AI36" s="151">
        <f t="shared" si="15"/>
        <v>1.078862285</v>
      </c>
      <c r="AJ36" s="152">
        <f t="shared" si="16"/>
        <v>1</v>
      </c>
      <c r="AK36" s="150">
        <v>209.240707397</v>
      </c>
      <c r="AL36" s="151">
        <f t="shared" si="17"/>
        <v>1.063839499</v>
      </c>
      <c r="AM36" s="152">
        <f t="shared" si="18"/>
        <v>1</v>
      </c>
      <c r="AN36" s="150">
        <v>223.258499146</v>
      </c>
      <c r="AO36" s="151">
        <f t="shared" si="19"/>
        <v>0.9970439211</v>
      </c>
      <c r="AP36" s="152">
        <f t="shared" si="20"/>
        <v>1</v>
      </c>
      <c r="AQ36" s="150">
        <v>202.511383057</v>
      </c>
      <c r="AR36" s="151">
        <f t="shared" si="21"/>
        <v>1.099190209</v>
      </c>
      <c r="AS36" s="152">
        <f t="shared" si="22"/>
        <v>1</v>
      </c>
      <c r="AT36" s="150">
        <v>224.654556274</v>
      </c>
      <c r="AU36" s="151">
        <f t="shared" si="23"/>
        <v>0.9908480518</v>
      </c>
      <c r="AV36" s="152">
        <f t="shared" si="24"/>
        <v>1</v>
      </c>
      <c r="AW36" s="52">
        <v>279.557495117</v>
      </c>
      <c r="AX36" s="151">
        <f t="shared" si="25"/>
        <v>0.7962531261</v>
      </c>
      <c r="AY36" s="87">
        <f t="shared" si="26"/>
        <v>0</v>
      </c>
      <c r="AZ36" s="52">
        <v>223.162338257</v>
      </c>
      <c r="BA36" s="151">
        <f t="shared" si="27"/>
        <v>0.9974735484</v>
      </c>
      <c r="BB36" s="87">
        <f t="shared" si="28"/>
        <v>1</v>
      </c>
      <c r="BC36" s="52">
        <v>222.812911987</v>
      </c>
      <c r="BD36" s="151">
        <f t="shared" si="29"/>
        <v>0.9990378359</v>
      </c>
      <c r="BE36" s="87">
        <f t="shared" si="30"/>
        <v>1</v>
      </c>
      <c r="BF36" s="52">
        <v>224.394515991</v>
      </c>
      <c r="BG36" s="151">
        <f t="shared" si="31"/>
        <v>0.9919962991</v>
      </c>
      <c r="BH36" s="87">
        <f t="shared" si="32"/>
        <v>1</v>
      </c>
      <c r="BI36" s="52">
        <v>249.215148926</v>
      </c>
      <c r="BJ36" s="151">
        <f t="shared" si="33"/>
        <v>0.893198228</v>
      </c>
      <c r="BK36" s="87">
        <f t="shared" si="34"/>
        <v>0</v>
      </c>
      <c r="BL36" s="143">
        <v>169.6</v>
      </c>
      <c r="BM36" s="143">
        <f t="shared" si="47"/>
        <v>30.15111111</v>
      </c>
      <c r="BN36" s="143">
        <f t="shared" si="48"/>
        <v>20.10074074</v>
      </c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0.00105622058823529</v>
      </c>
      <c r="L37" s="53">
        <v>1.61174812738957E-5</v>
      </c>
      <c r="M37" s="52">
        <f t="shared" si="1"/>
        <v>1056.220588</v>
      </c>
      <c r="N37" s="52">
        <v>1.163667359</v>
      </c>
      <c r="O37" s="52">
        <v>1122.082275391</v>
      </c>
      <c r="P37" s="52">
        <v>3.023768026</v>
      </c>
      <c r="Q37" s="54">
        <f t="shared" si="2"/>
        <v>0.06235599636</v>
      </c>
      <c r="R37" s="55">
        <f t="shared" si="3"/>
        <v>20.32797673</v>
      </c>
      <c r="S37" s="51">
        <v>1000000.0</v>
      </c>
      <c r="T37" s="56">
        <f t="shared" si="4"/>
        <v>1914.25928</v>
      </c>
      <c r="U37" s="56">
        <f t="shared" si="46"/>
        <v>58.80840576</v>
      </c>
      <c r="V37" s="52">
        <f t="shared" si="6"/>
        <v>0.9413040482</v>
      </c>
      <c r="W37" s="51">
        <f t="shared" si="7"/>
        <v>1</v>
      </c>
      <c r="X37" s="51">
        <f t="shared" si="8"/>
        <v>32</v>
      </c>
      <c r="Y37" s="150">
        <v>997.710754395</v>
      </c>
      <c r="Z37" s="151">
        <f t="shared" si="9"/>
        <v>1.058644085</v>
      </c>
      <c r="AA37" s="152">
        <f t="shared" si="10"/>
        <v>1</v>
      </c>
      <c r="AB37" s="150">
        <v>990.920166016</v>
      </c>
      <c r="AC37" s="151">
        <f t="shared" si="11"/>
        <v>1.065898772</v>
      </c>
      <c r="AD37" s="152">
        <f t="shared" si="12"/>
        <v>1</v>
      </c>
      <c r="AE37" s="150">
        <v>978.12878418</v>
      </c>
      <c r="AF37" s="151">
        <f t="shared" si="13"/>
        <v>1.079837957</v>
      </c>
      <c r="AG37" s="152">
        <f t="shared" si="14"/>
        <v>1</v>
      </c>
      <c r="AH37" s="150">
        <v>970.341247559</v>
      </c>
      <c r="AI37" s="151">
        <f t="shared" si="15"/>
        <v>1.088504267</v>
      </c>
      <c r="AJ37" s="152">
        <f t="shared" si="16"/>
        <v>1</v>
      </c>
      <c r="AK37" s="150">
        <v>978.947631836</v>
      </c>
      <c r="AL37" s="151">
        <f t="shared" si="17"/>
        <v>1.078934719</v>
      </c>
      <c r="AM37" s="152">
        <f t="shared" si="18"/>
        <v>1</v>
      </c>
      <c r="AN37" s="150">
        <v>1026.698974609</v>
      </c>
      <c r="AO37" s="151">
        <f t="shared" si="19"/>
        <v>1.028753914</v>
      </c>
      <c r="AP37" s="152">
        <f t="shared" si="20"/>
        <v>1</v>
      </c>
      <c r="AQ37" s="150">
        <v>950.241760254</v>
      </c>
      <c r="AR37" s="151">
        <f t="shared" si="21"/>
        <v>1.111528279</v>
      </c>
      <c r="AS37" s="152">
        <f t="shared" si="22"/>
        <v>0</v>
      </c>
      <c r="AT37" s="150">
        <v>1040.602539062</v>
      </c>
      <c r="AU37" s="151">
        <f t="shared" si="23"/>
        <v>1.015008659</v>
      </c>
      <c r="AV37" s="152">
        <f t="shared" si="24"/>
        <v>1</v>
      </c>
      <c r="AW37" s="52">
        <v>1298.592895508</v>
      </c>
      <c r="AX37" s="151">
        <f t="shared" si="25"/>
        <v>0.8133577443</v>
      </c>
      <c r="AY37" s="87">
        <f t="shared" si="26"/>
        <v>0</v>
      </c>
      <c r="AZ37" s="52">
        <v>1061.478393555</v>
      </c>
      <c r="BA37" s="151">
        <f t="shared" si="27"/>
        <v>0.9950467147</v>
      </c>
      <c r="BB37" s="87">
        <f t="shared" si="28"/>
        <v>1</v>
      </c>
      <c r="BC37" s="52">
        <v>1062.05871582</v>
      </c>
      <c r="BD37" s="151">
        <f t="shared" si="29"/>
        <v>0.9945030086</v>
      </c>
      <c r="BE37" s="87">
        <f t="shared" si="30"/>
        <v>1</v>
      </c>
      <c r="BF37" s="52">
        <v>1068.542602539</v>
      </c>
      <c r="BG37" s="151">
        <f t="shared" si="31"/>
        <v>0.9884683921</v>
      </c>
      <c r="BH37" s="87">
        <f t="shared" si="32"/>
        <v>1</v>
      </c>
      <c r="BI37" s="52">
        <v>1188.738891602</v>
      </c>
      <c r="BJ37" s="151">
        <f t="shared" si="33"/>
        <v>0.8885219418</v>
      </c>
      <c r="BK37" s="87">
        <f t="shared" si="34"/>
        <v>0</v>
      </c>
      <c r="BL37" s="143">
        <v>252.1</v>
      </c>
      <c r="BM37" s="143">
        <f t="shared" si="47"/>
        <v>26.89066667</v>
      </c>
      <c r="BN37" s="143">
        <f t="shared" si="48"/>
        <v>17.92711111</v>
      </c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0.003408</v>
      </c>
      <c r="L38" s="53">
        <v>6.54842927165942E-5</v>
      </c>
      <c r="M38" s="52">
        <f t="shared" si="1"/>
        <v>3408</v>
      </c>
      <c r="N38" s="52">
        <v>3.73053739</v>
      </c>
      <c r="O38" s="52">
        <v>3574.763427734</v>
      </c>
      <c r="P38" s="52">
        <v>11.289527153</v>
      </c>
      <c r="Q38" s="54">
        <f t="shared" si="2"/>
        <v>0.04893293067</v>
      </c>
      <c r="R38" s="55">
        <f t="shared" si="3"/>
        <v>14.02560725</v>
      </c>
      <c r="S38" s="51">
        <v>1000000.0</v>
      </c>
      <c r="T38" s="56">
        <f t="shared" si="4"/>
        <v>6176.546548</v>
      </c>
      <c r="U38" s="56">
        <f t="shared" si="46"/>
        <v>189.7511269</v>
      </c>
      <c r="V38" s="52">
        <f t="shared" si="6"/>
        <v>0.9533498003</v>
      </c>
      <c r="W38" s="51">
        <f t="shared" si="7"/>
        <v>1</v>
      </c>
      <c r="X38" s="51">
        <f t="shared" si="8"/>
        <v>33</v>
      </c>
      <c r="Y38" s="150">
        <v>3072.091552734</v>
      </c>
      <c r="Z38" s="151">
        <f t="shared" si="9"/>
        <v>1.109341939</v>
      </c>
      <c r="AA38" s="152">
        <f t="shared" si="10"/>
        <v>1</v>
      </c>
      <c r="AB38" s="150">
        <v>3069.638427734</v>
      </c>
      <c r="AC38" s="151">
        <f t="shared" si="11"/>
        <v>1.110228478</v>
      </c>
      <c r="AD38" s="152">
        <f t="shared" si="12"/>
        <v>1</v>
      </c>
      <c r="AE38" s="150">
        <v>3016.190185547</v>
      </c>
      <c r="AF38" s="151">
        <f t="shared" si="13"/>
        <v>1.129902224</v>
      </c>
      <c r="AG38" s="152">
        <f t="shared" si="14"/>
        <v>0</v>
      </c>
      <c r="AH38" s="150">
        <v>2997.509521484</v>
      </c>
      <c r="AI38" s="151">
        <f t="shared" si="15"/>
        <v>1.136943845</v>
      </c>
      <c r="AJ38" s="152">
        <f t="shared" si="16"/>
        <v>0</v>
      </c>
      <c r="AK38" s="150">
        <v>3028.236328125</v>
      </c>
      <c r="AL38" s="151">
        <f t="shared" si="17"/>
        <v>1.125407541</v>
      </c>
      <c r="AM38" s="152">
        <f t="shared" si="18"/>
        <v>0</v>
      </c>
      <c r="AN38" s="150">
        <v>3160.904296875</v>
      </c>
      <c r="AO38" s="151">
        <f t="shared" si="19"/>
        <v>1.078172472</v>
      </c>
      <c r="AP38" s="152">
        <f t="shared" si="20"/>
        <v>1</v>
      </c>
      <c r="AQ38" s="150">
        <v>2945.327392578</v>
      </c>
      <c r="AR38" s="151">
        <f t="shared" si="21"/>
        <v>1.157086988</v>
      </c>
      <c r="AS38" s="152">
        <f t="shared" si="22"/>
        <v>0</v>
      </c>
      <c r="AT38" s="150">
        <v>3200.687744141</v>
      </c>
      <c r="AU38" s="151">
        <f t="shared" si="23"/>
        <v>1.064771159</v>
      </c>
      <c r="AV38" s="152">
        <f t="shared" si="24"/>
        <v>1</v>
      </c>
      <c r="AW38" s="52">
        <v>4111.1875</v>
      </c>
      <c r="AX38" s="151">
        <f t="shared" si="25"/>
        <v>0.82895757</v>
      </c>
      <c r="AY38" s="87">
        <f t="shared" si="26"/>
        <v>0</v>
      </c>
      <c r="AZ38" s="52">
        <v>3398.117919922</v>
      </c>
      <c r="BA38" s="151">
        <f t="shared" si="27"/>
        <v>1.002908104</v>
      </c>
      <c r="BB38" s="87">
        <f t="shared" si="28"/>
        <v>1</v>
      </c>
      <c r="BC38" s="52">
        <v>3403.029296875</v>
      </c>
      <c r="BD38" s="151">
        <f t="shared" si="29"/>
        <v>1.00146067</v>
      </c>
      <c r="BE38" s="87">
        <f t="shared" si="30"/>
        <v>1</v>
      </c>
      <c r="BF38" s="52">
        <v>3421.118652344</v>
      </c>
      <c r="BG38" s="151">
        <f t="shared" si="31"/>
        <v>0.996165391</v>
      </c>
      <c r="BH38" s="87">
        <f t="shared" si="32"/>
        <v>1</v>
      </c>
      <c r="BI38" s="52">
        <v>3808.617919922</v>
      </c>
      <c r="BJ38" s="151">
        <f t="shared" si="33"/>
        <v>0.8948127829</v>
      </c>
      <c r="BK38" s="87">
        <f t="shared" si="34"/>
        <v>0</v>
      </c>
      <c r="BL38" s="143">
        <v>375.8</v>
      </c>
      <c r="BM38" s="143">
        <f t="shared" si="47"/>
        <v>28.63238095</v>
      </c>
      <c r="BN38" s="143">
        <f t="shared" si="48"/>
        <v>19.08825397</v>
      </c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0.00876872794117647</v>
      </c>
      <c r="L39" s="53">
        <v>1.38585364355358E-4</v>
      </c>
      <c r="M39" s="52">
        <f t="shared" si="1"/>
        <v>8768.727941</v>
      </c>
      <c r="N39" s="52">
        <v>9.577026697</v>
      </c>
      <c r="O39" s="52">
        <v>8974.75</v>
      </c>
      <c r="P39" s="52">
        <v>30.441477216</v>
      </c>
      <c r="Q39" s="54">
        <f t="shared" si="2"/>
        <v>0.02349509076</v>
      </c>
      <c r="R39" s="55">
        <f t="shared" si="3"/>
        <v>6.455856868</v>
      </c>
      <c r="S39" s="51">
        <v>1000000.0</v>
      </c>
      <c r="T39" s="56">
        <f t="shared" si="4"/>
        <v>15892.15267</v>
      </c>
      <c r="U39" s="56">
        <f t="shared" si="46"/>
        <v>488.2265282</v>
      </c>
      <c r="V39" s="52">
        <f t="shared" si="6"/>
        <v>0.9770442565</v>
      </c>
      <c r="W39" s="51">
        <f t="shared" si="7"/>
        <v>1</v>
      </c>
      <c r="X39" s="51">
        <f t="shared" si="8"/>
        <v>34</v>
      </c>
      <c r="Y39" s="150">
        <v>7275.095703125</v>
      </c>
      <c r="Z39" s="151">
        <f t="shared" si="9"/>
        <v>1.205307572</v>
      </c>
      <c r="AA39" s="152">
        <f t="shared" si="10"/>
        <v>0</v>
      </c>
      <c r="AB39" s="150">
        <v>7233.900878906</v>
      </c>
      <c r="AC39" s="151">
        <f t="shared" si="11"/>
        <v>1.212171426</v>
      </c>
      <c r="AD39" s="152">
        <f t="shared" si="12"/>
        <v>0</v>
      </c>
      <c r="AE39" s="150">
        <v>7107.319335938</v>
      </c>
      <c r="AF39" s="151">
        <f t="shared" si="13"/>
        <v>1.23376023</v>
      </c>
      <c r="AG39" s="152">
        <f t="shared" si="14"/>
        <v>0</v>
      </c>
      <c r="AH39" s="150">
        <v>7055.595703125</v>
      </c>
      <c r="AI39" s="151">
        <f t="shared" si="15"/>
        <v>1.242804762</v>
      </c>
      <c r="AJ39" s="152">
        <f t="shared" si="16"/>
        <v>0</v>
      </c>
      <c r="AK39" s="150">
        <v>7146.461914062</v>
      </c>
      <c r="AL39" s="151">
        <f t="shared" si="17"/>
        <v>1.227002683</v>
      </c>
      <c r="AM39" s="152">
        <f t="shared" si="18"/>
        <v>0</v>
      </c>
      <c r="AN39" s="150">
        <v>7423.551269531</v>
      </c>
      <c r="AO39" s="151">
        <f t="shared" si="19"/>
        <v>1.181203931</v>
      </c>
      <c r="AP39" s="152">
        <f t="shared" si="20"/>
        <v>0</v>
      </c>
      <c r="AQ39" s="150">
        <v>6953.883789062</v>
      </c>
      <c r="AR39" s="151">
        <f t="shared" si="21"/>
        <v>1.260982813</v>
      </c>
      <c r="AS39" s="152">
        <f t="shared" si="22"/>
        <v>0</v>
      </c>
      <c r="AT39" s="150">
        <v>7527.486328125</v>
      </c>
      <c r="AU39" s="151">
        <f t="shared" si="23"/>
        <v>1.164894569</v>
      </c>
      <c r="AV39" s="152">
        <f t="shared" si="24"/>
        <v>0</v>
      </c>
      <c r="AW39" s="52">
        <v>10241.705078125</v>
      </c>
      <c r="AX39" s="151">
        <f t="shared" si="25"/>
        <v>0.8561785244</v>
      </c>
      <c r="AY39" s="87">
        <f t="shared" si="26"/>
        <v>0</v>
      </c>
      <c r="AZ39" s="52">
        <v>8512.822265625</v>
      </c>
      <c r="BA39" s="151">
        <f t="shared" si="27"/>
        <v>1.030061203</v>
      </c>
      <c r="BB39" s="87">
        <f t="shared" si="28"/>
        <v>1</v>
      </c>
      <c r="BC39" s="52">
        <v>8532.287109375</v>
      </c>
      <c r="BD39" s="151">
        <f t="shared" si="29"/>
        <v>1.027711308</v>
      </c>
      <c r="BE39" s="87">
        <f t="shared" si="30"/>
        <v>1</v>
      </c>
      <c r="BF39" s="52">
        <v>8573.0078125</v>
      </c>
      <c r="BG39" s="151">
        <f t="shared" si="31"/>
        <v>1.022829809</v>
      </c>
      <c r="BH39" s="87">
        <f t="shared" si="32"/>
        <v>1</v>
      </c>
      <c r="BI39" s="52">
        <v>9548.020507812</v>
      </c>
      <c r="BJ39" s="151">
        <f t="shared" si="33"/>
        <v>0.9183817666</v>
      </c>
      <c r="BK39" s="87">
        <f t="shared" si="34"/>
        <v>1</v>
      </c>
      <c r="BL39" s="143">
        <v>540.8</v>
      </c>
      <c r="BM39" s="143">
        <f t="shared" si="47"/>
        <v>32.04740741</v>
      </c>
      <c r="BN39" s="143">
        <f t="shared" si="48"/>
        <v>21.36493827</v>
      </c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0.0193691911764705</v>
      </c>
      <c r="L40" s="53">
        <v>3.5246655769298E-4</v>
      </c>
      <c r="M40" s="52">
        <f t="shared" si="1"/>
        <v>19369.19118</v>
      </c>
      <c r="N40" s="52">
        <v>21.111163413</v>
      </c>
      <c r="O40" s="52">
        <v>19031.84765625</v>
      </c>
      <c r="P40" s="52">
        <v>67.393423448</v>
      </c>
      <c r="Q40" s="54">
        <f t="shared" si="2"/>
        <v>-0.01741650011</v>
      </c>
      <c r="R40" s="55">
        <f t="shared" si="3"/>
        <v>-4.776706251</v>
      </c>
      <c r="S40" s="51">
        <v>1000000.0</v>
      </c>
      <c r="T40" s="56">
        <f t="shared" si="4"/>
        <v>35104.08183</v>
      </c>
      <c r="U40" s="56">
        <f t="shared" si="46"/>
        <v>1078.440684</v>
      </c>
      <c r="V40" s="52">
        <f t="shared" si="6"/>
        <v>1.017725211</v>
      </c>
      <c r="W40" s="51">
        <f t="shared" si="7"/>
        <v>1</v>
      </c>
      <c r="X40" s="51">
        <f t="shared" si="8"/>
        <v>35</v>
      </c>
      <c r="Y40" s="150">
        <v>13991.268554688</v>
      </c>
      <c r="Z40" s="151">
        <f t="shared" si="9"/>
        <v>1.384377056</v>
      </c>
      <c r="AA40" s="152">
        <f t="shared" si="10"/>
        <v>0</v>
      </c>
      <c r="AB40" s="150">
        <v>13995.504882812</v>
      </c>
      <c r="AC40" s="151">
        <f t="shared" si="11"/>
        <v>1.383958016</v>
      </c>
      <c r="AD40" s="152">
        <f t="shared" si="12"/>
        <v>0</v>
      </c>
      <c r="AE40" s="150">
        <v>13722.3125</v>
      </c>
      <c r="AF40" s="151">
        <f t="shared" si="13"/>
        <v>1.411510719</v>
      </c>
      <c r="AG40" s="152">
        <f t="shared" si="14"/>
        <v>0</v>
      </c>
      <c r="AH40" s="150">
        <v>13693.467773438</v>
      </c>
      <c r="AI40" s="151">
        <f t="shared" si="15"/>
        <v>1.414484008</v>
      </c>
      <c r="AJ40" s="152">
        <f t="shared" si="16"/>
        <v>0</v>
      </c>
      <c r="AK40" s="150">
        <v>13815.0859375</v>
      </c>
      <c r="AL40" s="151">
        <f t="shared" si="17"/>
        <v>1.402031899</v>
      </c>
      <c r="AM40" s="152">
        <f t="shared" si="18"/>
        <v>0</v>
      </c>
      <c r="AN40" s="150">
        <v>14333.44140625</v>
      </c>
      <c r="AO40" s="151">
        <f t="shared" si="19"/>
        <v>1.35132873</v>
      </c>
      <c r="AP40" s="152">
        <f t="shared" si="20"/>
        <v>0</v>
      </c>
      <c r="AQ40" s="150">
        <v>13438.978515625</v>
      </c>
      <c r="AR40" s="151">
        <f t="shared" si="21"/>
        <v>1.441269599</v>
      </c>
      <c r="AS40" s="152">
        <f t="shared" si="22"/>
        <v>0</v>
      </c>
      <c r="AT40" s="150">
        <v>14516.93359375</v>
      </c>
      <c r="AU40" s="151">
        <f t="shared" si="23"/>
        <v>1.334248108</v>
      </c>
      <c r="AV40" s="152">
        <f t="shared" si="24"/>
        <v>0</v>
      </c>
      <c r="AW40" s="52">
        <v>21716.177734375</v>
      </c>
      <c r="AX40" s="151">
        <f t="shared" si="25"/>
        <v>0.8919245096</v>
      </c>
      <c r="AY40" s="87">
        <f t="shared" si="26"/>
        <v>0</v>
      </c>
      <c r="AZ40" s="52">
        <v>18114.857421875</v>
      </c>
      <c r="BA40" s="151">
        <f t="shared" si="27"/>
        <v>1.069243369</v>
      </c>
      <c r="BB40" s="87">
        <f t="shared" si="28"/>
        <v>1</v>
      </c>
      <c r="BC40" s="52">
        <v>18154.734375</v>
      </c>
      <c r="BD40" s="151">
        <f t="shared" si="29"/>
        <v>1.066894771</v>
      </c>
      <c r="BE40" s="87">
        <f t="shared" si="30"/>
        <v>1</v>
      </c>
      <c r="BF40" s="52">
        <v>18241.05078125</v>
      </c>
      <c r="BG40" s="151">
        <f t="shared" si="31"/>
        <v>1.061846239</v>
      </c>
      <c r="BH40" s="87">
        <f t="shared" si="32"/>
        <v>1</v>
      </c>
      <c r="BI40" s="52">
        <v>20321.185546875</v>
      </c>
      <c r="BJ40" s="151">
        <f t="shared" si="33"/>
        <v>0.9531526166</v>
      </c>
      <c r="BK40" s="87">
        <f t="shared" si="34"/>
        <v>1</v>
      </c>
      <c r="BL40" s="143">
        <v>747.1</v>
      </c>
      <c r="BM40" s="143">
        <f t="shared" si="47"/>
        <v>36.2230303</v>
      </c>
      <c r="BN40" s="143">
        <f t="shared" si="48"/>
        <v>24.14868687</v>
      </c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3.47905882352941E-6</v>
      </c>
      <c r="L41" s="60">
        <v>5.38114354783005E-8</v>
      </c>
      <c r="M41" s="59">
        <f t="shared" si="1"/>
        <v>3.479058824</v>
      </c>
      <c r="N41" s="59">
        <v>0.003723405</v>
      </c>
      <c r="O41" s="59">
        <v>4.824519634</v>
      </c>
      <c r="P41" s="59">
        <v>0.011067285</v>
      </c>
      <c r="Q41" s="61">
        <f t="shared" si="2"/>
        <v>0.3867312623</v>
      </c>
      <c r="R41" s="62">
        <f t="shared" si="3"/>
        <v>115.2247576</v>
      </c>
      <c r="S41" s="58">
        <v>916732.0</v>
      </c>
      <c r="T41" s="63">
        <f t="shared" si="4"/>
        <v>6.305331211</v>
      </c>
      <c r="U41" s="63">
        <f t="shared" ref="U41:U47" si="49">K41/$K$42</f>
        <v>0.08520747568</v>
      </c>
      <c r="V41" s="59">
        <f t="shared" si="6"/>
        <v>0.7211202539</v>
      </c>
      <c r="W41" s="58">
        <f t="shared" si="7"/>
        <v>0</v>
      </c>
      <c r="X41" s="88">
        <f t="shared" si="8"/>
        <v>36</v>
      </c>
      <c r="Y41" s="160">
        <v>3.396100283</v>
      </c>
      <c r="Z41" s="161">
        <f t="shared" si="9"/>
        <v>1.024427589</v>
      </c>
      <c r="AA41" s="162">
        <f t="shared" si="10"/>
        <v>1</v>
      </c>
      <c r="AB41" s="160">
        <v>3.257960081</v>
      </c>
      <c r="AC41" s="161">
        <f t="shared" si="11"/>
        <v>1.067864166</v>
      </c>
      <c r="AD41" s="162">
        <f t="shared" si="12"/>
        <v>1</v>
      </c>
      <c r="AE41" s="160">
        <v>3.347326517</v>
      </c>
      <c r="AF41" s="161">
        <f t="shared" si="13"/>
        <v>1.039354484</v>
      </c>
      <c r="AG41" s="162">
        <f t="shared" si="14"/>
        <v>1</v>
      </c>
      <c r="AH41" s="160">
        <v>3.313007116</v>
      </c>
      <c r="AI41" s="161">
        <f t="shared" si="15"/>
        <v>1.050121144</v>
      </c>
      <c r="AJ41" s="162">
        <f t="shared" si="16"/>
        <v>1</v>
      </c>
      <c r="AK41" s="160">
        <v>3.356029987</v>
      </c>
      <c r="AL41" s="161">
        <f t="shared" si="17"/>
        <v>1.03665904</v>
      </c>
      <c r="AM41" s="162">
        <f t="shared" si="18"/>
        <v>1</v>
      </c>
      <c r="AN41" s="160">
        <v>3.400365829</v>
      </c>
      <c r="AO41" s="161">
        <f t="shared" si="19"/>
        <v>1.023142508</v>
      </c>
      <c r="AP41" s="162">
        <f t="shared" si="20"/>
        <v>1</v>
      </c>
      <c r="AQ41" s="160">
        <v>3.278291702</v>
      </c>
      <c r="AR41" s="161">
        <f t="shared" si="21"/>
        <v>1.061241384</v>
      </c>
      <c r="AS41" s="162">
        <f t="shared" si="22"/>
        <v>1</v>
      </c>
      <c r="AT41" s="160">
        <v>3.487993717</v>
      </c>
      <c r="AU41" s="161">
        <f t="shared" si="23"/>
        <v>0.997438386</v>
      </c>
      <c r="AV41" s="162">
        <f t="shared" si="24"/>
        <v>1</v>
      </c>
      <c r="AW41" s="59">
        <v>6.375158787</v>
      </c>
      <c r="AX41" s="161">
        <f t="shared" si="25"/>
        <v>0.5457211247</v>
      </c>
      <c r="AY41" s="89">
        <f t="shared" si="26"/>
        <v>0</v>
      </c>
      <c r="AZ41" s="59">
        <v>3.476924896</v>
      </c>
      <c r="BA41" s="161">
        <f t="shared" si="27"/>
        <v>1.00061374</v>
      </c>
      <c r="BB41" s="89">
        <f t="shared" si="28"/>
        <v>1</v>
      </c>
      <c r="BC41" s="59">
        <v>3.385282516</v>
      </c>
      <c r="BD41" s="161">
        <f t="shared" si="29"/>
        <v>1.027701176</v>
      </c>
      <c r="BE41" s="89">
        <f t="shared" si="30"/>
        <v>1</v>
      </c>
      <c r="BF41" s="59">
        <v>3.312027931</v>
      </c>
      <c r="BG41" s="161">
        <f t="shared" si="31"/>
        <v>1.050431607</v>
      </c>
      <c r="BH41" s="89">
        <f t="shared" si="32"/>
        <v>1</v>
      </c>
      <c r="BI41" s="59">
        <v>3.189106941</v>
      </c>
      <c r="BJ41" s="161">
        <f t="shared" si="33"/>
        <v>1.09091946</v>
      </c>
      <c r="BK41" s="89">
        <f t="shared" si="34"/>
        <v>1</v>
      </c>
      <c r="BL41" s="147">
        <v>177.3</v>
      </c>
      <c r="BM41" s="147"/>
      <c r="BN41" s="147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4.08304411764705E-5</v>
      </c>
      <c r="L42" s="60">
        <v>6.89329107710086E-7</v>
      </c>
      <c r="M42" s="59">
        <f t="shared" si="1"/>
        <v>40.83044118</v>
      </c>
      <c r="N42" s="59">
        <v>0.046090584</v>
      </c>
      <c r="O42" s="59">
        <v>44.491672516</v>
      </c>
      <c r="P42" s="59">
        <v>0.050356775</v>
      </c>
      <c r="Q42" s="61">
        <f t="shared" si="2"/>
        <v>0.08966915943</v>
      </c>
      <c r="R42" s="62">
        <f t="shared" si="3"/>
        <v>53.63241782</v>
      </c>
      <c r="S42" s="58">
        <v>1000000.0</v>
      </c>
      <c r="T42" s="63">
        <f t="shared" si="4"/>
        <v>73.99974193</v>
      </c>
      <c r="U42" s="63">
        <f t="shared" si="49"/>
        <v>1</v>
      </c>
      <c r="V42" s="59">
        <f t="shared" si="6"/>
        <v>0.9177097391</v>
      </c>
      <c r="W42" s="58">
        <f t="shared" si="7"/>
        <v>1</v>
      </c>
      <c r="X42" s="88">
        <f t="shared" si="8"/>
        <v>37</v>
      </c>
      <c r="Y42" s="160">
        <v>39.001243591</v>
      </c>
      <c r="Z42" s="161">
        <f t="shared" si="9"/>
        <v>1.046901007</v>
      </c>
      <c r="AA42" s="162">
        <f t="shared" si="10"/>
        <v>1</v>
      </c>
      <c r="AB42" s="160">
        <v>38.743335724</v>
      </c>
      <c r="AC42" s="161">
        <f t="shared" si="11"/>
        <v>1.053870051</v>
      </c>
      <c r="AD42" s="162">
        <f t="shared" si="12"/>
        <v>1</v>
      </c>
      <c r="AE42" s="160">
        <v>38.754898071</v>
      </c>
      <c r="AF42" s="161">
        <f t="shared" si="13"/>
        <v>1.053555633</v>
      </c>
      <c r="AG42" s="162">
        <f t="shared" si="14"/>
        <v>1</v>
      </c>
      <c r="AH42" s="160">
        <v>37.765979767</v>
      </c>
      <c r="AI42" s="161">
        <f t="shared" si="15"/>
        <v>1.081143437</v>
      </c>
      <c r="AJ42" s="162">
        <f t="shared" si="16"/>
        <v>1</v>
      </c>
      <c r="AK42" s="160">
        <v>38.141586304</v>
      </c>
      <c r="AL42" s="161">
        <f t="shared" si="17"/>
        <v>1.070496671</v>
      </c>
      <c r="AM42" s="162">
        <f t="shared" si="18"/>
        <v>1</v>
      </c>
      <c r="AN42" s="160">
        <v>40.459728241</v>
      </c>
      <c r="AO42" s="161">
        <f t="shared" si="19"/>
        <v>1.009162517</v>
      </c>
      <c r="AP42" s="162">
        <f t="shared" si="20"/>
        <v>1</v>
      </c>
      <c r="AQ42" s="160">
        <v>36.685348511</v>
      </c>
      <c r="AR42" s="161">
        <f t="shared" si="21"/>
        <v>1.112990413</v>
      </c>
      <c r="AS42" s="162">
        <f t="shared" si="22"/>
        <v>0</v>
      </c>
      <c r="AT42" s="163">
        <v>40.796218872</v>
      </c>
      <c r="AU42" s="164">
        <f t="shared" si="23"/>
        <v>1.00083886</v>
      </c>
      <c r="AV42" s="165">
        <f t="shared" si="24"/>
        <v>1</v>
      </c>
      <c r="AW42" s="59">
        <v>54.193946838</v>
      </c>
      <c r="AX42" s="161">
        <f t="shared" si="25"/>
        <v>0.7534133157</v>
      </c>
      <c r="AY42" s="89">
        <f t="shared" si="26"/>
        <v>0</v>
      </c>
      <c r="AZ42" s="59">
        <v>40.74249649</v>
      </c>
      <c r="BA42" s="161">
        <f t="shared" si="27"/>
        <v>1.002158549</v>
      </c>
      <c r="BB42" s="89">
        <f t="shared" si="28"/>
        <v>1</v>
      </c>
      <c r="BC42" s="59">
        <v>40.526496887</v>
      </c>
      <c r="BD42" s="161">
        <f t="shared" si="29"/>
        <v>1.007499891</v>
      </c>
      <c r="BE42" s="89">
        <f t="shared" si="30"/>
        <v>1</v>
      </c>
      <c r="BF42" s="59">
        <v>40.817996979</v>
      </c>
      <c r="BG42" s="161">
        <f t="shared" si="31"/>
        <v>1.00030487</v>
      </c>
      <c r="BH42" s="89">
        <f t="shared" si="32"/>
        <v>1</v>
      </c>
      <c r="BI42" s="59">
        <v>44.787479401</v>
      </c>
      <c r="BJ42" s="161">
        <f t="shared" si="33"/>
        <v>0.9116485617</v>
      </c>
      <c r="BK42" s="89">
        <f t="shared" si="34"/>
        <v>1</v>
      </c>
      <c r="BL42" s="147">
        <v>184.7</v>
      </c>
      <c r="BM42" s="147">
        <f t="shared" ref="BM42:BM47" si="50">BL42/(H42*H42*F42*C42)</f>
        <v>68.40740741</v>
      </c>
      <c r="BN42" s="147">
        <f t="shared" ref="BN42:BN47" si="51">BL42/(H42*H42*F42*C42*C42)</f>
        <v>45.60493827</v>
      </c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4.60734558823529E-4</v>
      </c>
      <c r="L43" s="60">
        <v>9.10746847516608E-6</v>
      </c>
      <c r="M43" s="59">
        <f t="shared" si="1"/>
        <v>460.7345588</v>
      </c>
      <c r="N43" s="59">
        <v>0.513119364</v>
      </c>
      <c r="O43" s="59">
        <v>490.261138916</v>
      </c>
      <c r="P43" s="59">
        <v>0.910036414</v>
      </c>
      <c r="Q43" s="61">
        <f t="shared" si="2"/>
        <v>0.06408588096</v>
      </c>
      <c r="R43" s="62">
        <f t="shared" si="3"/>
        <v>28.26244187</v>
      </c>
      <c r="S43" s="58">
        <v>1000000.0</v>
      </c>
      <c r="T43" s="63">
        <f t="shared" si="4"/>
        <v>835.0200847</v>
      </c>
      <c r="U43" s="63">
        <f t="shared" si="49"/>
        <v>11.28409455</v>
      </c>
      <c r="V43" s="59">
        <f t="shared" si="6"/>
        <v>0.93977377</v>
      </c>
      <c r="W43" s="58">
        <f t="shared" si="7"/>
        <v>1</v>
      </c>
      <c r="X43" s="58">
        <f t="shared" si="8"/>
        <v>38</v>
      </c>
      <c r="Y43" s="160">
        <v>434.798309326</v>
      </c>
      <c r="Z43" s="161">
        <f t="shared" si="9"/>
        <v>1.05965122</v>
      </c>
      <c r="AA43" s="162">
        <f t="shared" si="10"/>
        <v>1</v>
      </c>
      <c r="AB43" s="160">
        <v>433.943817139</v>
      </c>
      <c r="AC43" s="161">
        <f t="shared" si="11"/>
        <v>1.061737812</v>
      </c>
      <c r="AD43" s="162">
        <f t="shared" si="12"/>
        <v>1</v>
      </c>
      <c r="AE43" s="160">
        <v>429.617706299</v>
      </c>
      <c r="AF43" s="161">
        <f t="shared" si="13"/>
        <v>1.072429167</v>
      </c>
      <c r="AG43" s="162">
        <f t="shared" si="14"/>
        <v>1</v>
      </c>
      <c r="AH43" s="160">
        <v>422.568939209</v>
      </c>
      <c r="AI43" s="161">
        <f t="shared" si="15"/>
        <v>1.09031809</v>
      </c>
      <c r="AJ43" s="162">
        <f t="shared" si="16"/>
        <v>1</v>
      </c>
      <c r="AK43" s="160">
        <v>426.87991333</v>
      </c>
      <c r="AL43" s="161">
        <f t="shared" si="17"/>
        <v>1.079307188</v>
      </c>
      <c r="AM43" s="162">
        <f t="shared" si="18"/>
        <v>1</v>
      </c>
      <c r="AN43" s="160">
        <v>449.932281494</v>
      </c>
      <c r="AO43" s="161">
        <f t="shared" si="19"/>
        <v>1.024008674</v>
      </c>
      <c r="AP43" s="162">
        <f t="shared" si="20"/>
        <v>1</v>
      </c>
      <c r="AQ43" s="160">
        <v>412.655456543</v>
      </c>
      <c r="AR43" s="161">
        <f t="shared" si="21"/>
        <v>1.11651149</v>
      </c>
      <c r="AS43" s="162">
        <f t="shared" si="22"/>
        <v>0</v>
      </c>
      <c r="AT43" s="160">
        <v>454.479766846</v>
      </c>
      <c r="AU43" s="161">
        <f t="shared" si="23"/>
        <v>1.013762531</v>
      </c>
      <c r="AV43" s="162">
        <f t="shared" si="24"/>
        <v>1</v>
      </c>
      <c r="AW43" s="59">
        <v>579.29699707</v>
      </c>
      <c r="AX43" s="161">
        <f t="shared" si="25"/>
        <v>0.7953339326</v>
      </c>
      <c r="AY43" s="89">
        <f t="shared" si="26"/>
        <v>0</v>
      </c>
      <c r="AZ43" s="59">
        <v>462.711486816</v>
      </c>
      <c r="BA43" s="161">
        <f t="shared" si="27"/>
        <v>0.9957275148</v>
      </c>
      <c r="BB43" s="89">
        <f t="shared" si="28"/>
        <v>1</v>
      </c>
      <c r="BC43" s="59">
        <v>462.047302246</v>
      </c>
      <c r="BD43" s="161">
        <f t="shared" si="29"/>
        <v>0.9971588549</v>
      </c>
      <c r="BE43" s="89">
        <f t="shared" si="30"/>
        <v>1</v>
      </c>
      <c r="BF43" s="59">
        <v>465.480499268</v>
      </c>
      <c r="BG43" s="161">
        <f t="shared" si="31"/>
        <v>0.9898042121</v>
      </c>
      <c r="BH43" s="89">
        <f t="shared" si="32"/>
        <v>1</v>
      </c>
      <c r="BI43" s="59">
        <v>516.625488281</v>
      </c>
      <c r="BJ43" s="161">
        <f t="shared" si="33"/>
        <v>0.8918153852</v>
      </c>
      <c r="BK43" s="89">
        <f t="shared" si="34"/>
        <v>0</v>
      </c>
      <c r="BL43" s="147">
        <v>244.2</v>
      </c>
      <c r="BM43" s="147">
        <f t="shared" si="50"/>
        <v>30.14814815</v>
      </c>
      <c r="BN43" s="147">
        <f t="shared" si="51"/>
        <v>20.09876543</v>
      </c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0.00222013970588235</v>
      </c>
      <c r="L44" s="60">
        <v>4.03531031059969E-5</v>
      </c>
      <c r="M44" s="59">
        <f t="shared" si="1"/>
        <v>2220.139706</v>
      </c>
      <c r="N44" s="59">
        <v>2.444368412</v>
      </c>
      <c r="O44" s="59">
        <v>2323.728759766</v>
      </c>
      <c r="P44" s="59">
        <v>6.27008538</v>
      </c>
      <c r="Q44" s="61">
        <f t="shared" si="2"/>
        <v>0.04665879972</v>
      </c>
      <c r="R44" s="62">
        <f t="shared" si="3"/>
        <v>15.39281124</v>
      </c>
      <c r="S44" s="58">
        <v>1000000.0</v>
      </c>
      <c r="T44" s="63">
        <f t="shared" si="4"/>
        <v>4023.707816</v>
      </c>
      <c r="U44" s="63">
        <f t="shared" si="49"/>
        <v>54.37461957</v>
      </c>
      <c r="V44" s="59">
        <f t="shared" si="6"/>
        <v>0.9554211939</v>
      </c>
      <c r="W44" s="58">
        <f t="shared" si="7"/>
        <v>1</v>
      </c>
      <c r="X44" s="58">
        <f t="shared" si="8"/>
        <v>39</v>
      </c>
      <c r="Y44" s="160">
        <v>2007.177490234</v>
      </c>
      <c r="Z44" s="161">
        <f t="shared" si="9"/>
        <v>1.106100341</v>
      </c>
      <c r="AA44" s="162">
        <f t="shared" si="10"/>
        <v>1</v>
      </c>
      <c r="AB44" s="160">
        <v>1992.453369141</v>
      </c>
      <c r="AC44" s="161">
        <f t="shared" si="11"/>
        <v>1.114274362</v>
      </c>
      <c r="AD44" s="162">
        <f t="shared" si="12"/>
        <v>0</v>
      </c>
      <c r="AE44" s="160">
        <v>1968.204589844</v>
      </c>
      <c r="AF44" s="161">
        <f t="shared" si="13"/>
        <v>1.128002504</v>
      </c>
      <c r="AG44" s="162">
        <f t="shared" si="14"/>
        <v>0</v>
      </c>
      <c r="AH44" s="160">
        <v>1953.829589844</v>
      </c>
      <c r="AI44" s="161">
        <f t="shared" si="15"/>
        <v>1.136301609</v>
      </c>
      <c r="AJ44" s="162">
        <f t="shared" si="16"/>
        <v>0</v>
      </c>
      <c r="AK44" s="160">
        <v>1968.801757812</v>
      </c>
      <c r="AL44" s="161">
        <f t="shared" si="17"/>
        <v>1.127660364</v>
      </c>
      <c r="AM44" s="162">
        <f t="shared" si="18"/>
        <v>0</v>
      </c>
      <c r="AN44" s="160">
        <v>2052.796142578</v>
      </c>
      <c r="AO44" s="161">
        <f t="shared" si="19"/>
        <v>1.081519816</v>
      </c>
      <c r="AP44" s="162">
        <f t="shared" si="20"/>
        <v>1</v>
      </c>
      <c r="AQ44" s="160">
        <v>1910.776000977</v>
      </c>
      <c r="AR44" s="161">
        <f t="shared" si="21"/>
        <v>1.161904747</v>
      </c>
      <c r="AS44" s="162">
        <f t="shared" si="22"/>
        <v>0</v>
      </c>
      <c r="AT44" s="160">
        <v>2082.145263672</v>
      </c>
      <c r="AU44" s="161">
        <f t="shared" si="23"/>
        <v>1.066275127</v>
      </c>
      <c r="AV44" s="162">
        <f t="shared" si="24"/>
        <v>1</v>
      </c>
      <c r="AW44" s="59">
        <v>2691.958496094</v>
      </c>
      <c r="AX44" s="161">
        <f t="shared" si="25"/>
        <v>0.824730288</v>
      </c>
      <c r="AY44" s="89">
        <f t="shared" si="26"/>
        <v>0</v>
      </c>
      <c r="AZ44" s="59">
        <v>2201.379394531</v>
      </c>
      <c r="BA44" s="161">
        <f t="shared" si="27"/>
        <v>1.008522071</v>
      </c>
      <c r="BB44" s="89">
        <f t="shared" si="28"/>
        <v>1</v>
      </c>
      <c r="BC44" s="59">
        <v>2202.573486328</v>
      </c>
      <c r="BD44" s="161">
        <f t="shared" si="29"/>
        <v>1.007975316</v>
      </c>
      <c r="BE44" s="89">
        <f t="shared" si="30"/>
        <v>1</v>
      </c>
      <c r="BF44" s="166">
        <v>2215.812744141</v>
      </c>
      <c r="BG44" s="164">
        <f t="shared" si="31"/>
        <v>1.001952765</v>
      </c>
      <c r="BH44" s="167">
        <f t="shared" si="32"/>
        <v>1</v>
      </c>
      <c r="BI44" s="59">
        <v>2464.109375</v>
      </c>
      <c r="BJ44" s="161">
        <f t="shared" si="33"/>
        <v>0.9009907305</v>
      </c>
      <c r="BK44" s="89">
        <f t="shared" si="34"/>
        <v>0</v>
      </c>
      <c r="BL44" s="147">
        <v>363.0</v>
      </c>
      <c r="BM44" s="147">
        <f t="shared" si="50"/>
        <v>26.88888889</v>
      </c>
      <c r="BN44" s="147">
        <f t="shared" si="51"/>
        <v>17.92592593</v>
      </c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0.00728525735294117</v>
      </c>
      <c r="L45" s="60">
        <v>1.24658585378211E-4</v>
      </c>
      <c r="M45" s="59">
        <f t="shared" si="1"/>
        <v>7285.257353</v>
      </c>
      <c r="N45" s="59">
        <v>7.979493141</v>
      </c>
      <c r="O45" s="59">
        <v>7399.456542969</v>
      </c>
      <c r="P45" s="59">
        <v>23.409963519</v>
      </c>
      <c r="Q45" s="61">
        <f t="shared" si="2"/>
        <v>0.01567538173</v>
      </c>
      <c r="R45" s="62">
        <f t="shared" si="3"/>
        <v>4.617365396</v>
      </c>
      <c r="S45" s="58">
        <v>1000000.0</v>
      </c>
      <c r="T45" s="63">
        <f t="shared" si="4"/>
        <v>13203.55961</v>
      </c>
      <c r="U45" s="63">
        <f t="shared" si="49"/>
        <v>178.4271035</v>
      </c>
      <c r="V45" s="59">
        <f t="shared" si="6"/>
        <v>0.9845665436</v>
      </c>
      <c r="W45" s="58">
        <f t="shared" si="7"/>
        <v>1</v>
      </c>
      <c r="X45" s="58">
        <f t="shared" si="8"/>
        <v>40</v>
      </c>
      <c r="Y45" s="160">
        <v>5994.090820312</v>
      </c>
      <c r="Z45" s="161">
        <f t="shared" si="9"/>
        <v>1.215406568</v>
      </c>
      <c r="AA45" s="162">
        <f t="shared" si="10"/>
        <v>0</v>
      </c>
      <c r="AB45" s="160">
        <v>6019.747558594</v>
      </c>
      <c r="AC45" s="161">
        <f t="shared" si="11"/>
        <v>1.210226389</v>
      </c>
      <c r="AD45" s="162">
        <f t="shared" si="12"/>
        <v>0</v>
      </c>
      <c r="AE45" s="160">
        <v>5888.188964844</v>
      </c>
      <c r="AF45" s="161">
        <f t="shared" si="13"/>
        <v>1.237266228</v>
      </c>
      <c r="AG45" s="162">
        <f t="shared" si="14"/>
        <v>0</v>
      </c>
      <c r="AH45" s="160">
        <v>5830.470214844</v>
      </c>
      <c r="AI45" s="161">
        <f t="shared" si="15"/>
        <v>1.249514548</v>
      </c>
      <c r="AJ45" s="162">
        <f t="shared" si="16"/>
        <v>0</v>
      </c>
      <c r="AK45" s="160">
        <v>5911.299316406</v>
      </c>
      <c r="AL45" s="161">
        <f t="shared" si="17"/>
        <v>1.23242911</v>
      </c>
      <c r="AM45" s="162">
        <f t="shared" si="18"/>
        <v>0</v>
      </c>
      <c r="AN45" s="160">
        <v>6179.469238281</v>
      </c>
      <c r="AO45" s="161">
        <f t="shared" si="19"/>
        <v>1.178945484</v>
      </c>
      <c r="AP45" s="162">
        <f t="shared" si="20"/>
        <v>0</v>
      </c>
      <c r="AQ45" s="160">
        <v>5742.311523438</v>
      </c>
      <c r="AR45" s="161">
        <f t="shared" si="21"/>
        <v>1.268697688</v>
      </c>
      <c r="AS45" s="162">
        <f t="shared" si="22"/>
        <v>0</v>
      </c>
      <c r="AT45" s="160">
        <v>6225.840332031</v>
      </c>
      <c r="AU45" s="161">
        <f t="shared" si="23"/>
        <v>1.170164502</v>
      </c>
      <c r="AV45" s="162">
        <f t="shared" si="24"/>
        <v>0</v>
      </c>
      <c r="AW45" s="59">
        <v>8523.100585938</v>
      </c>
      <c r="AX45" s="161">
        <f t="shared" si="25"/>
        <v>0.8547660889</v>
      </c>
      <c r="AY45" s="89">
        <f t="shared" si="26"/>
        <v>0</v>
      </c>
      <c r="AZ45" s="59">
        <v>7045.884277344</v>
      </c>
      <c r="BA45" s="161">
        <f t="shared" si="27"/>
        <v>1.033973461</v>
      </c>
      <c r="BB45" s="89">
        <f t="shared" si="28"/>
        <v>1</v>
      </c>
      <c r="BC45" s="59">
        <v>7055.017578125</v>
      </c>
      <c r="BD45" s="161">
        <f t="shared" si="29"/>
        <v>1.032634897</v>
      </c>
      <c r="BE45" s="89">
        <f t="shared" si="30"/>
        <v>1</v>
      </c>
      <c r="BF45" s="59">
        <v>7093.55859375</v>
      </c>
      <c r="BG45" s="161">
        <f t="shared" si="31"/>
        <v>1.027024343</v>
      </c>
      <c r="BH45" s="89">
        <f t="shared" si="32"/>
        <v>1</v>
      </c>
      <c r="BI45" s="59">
        <v>7896.30078125</v>
      </c>
      <c r="BJ45" s="161">
        <f t="shared" si="33"/>
        <v>0.9226164953</v>
      </c>
      <c r="BK45" s="89">
        <f t="shared" si="34"/>
        <v>1</v>
      </c>
      <c r="BL45" s="147">
        <v>541.2</v>
      </c>
      <c r="BM45" s="147">
        <f t="shared" si="50"/>
        <v>28.63492063</v>
      </c>
      <c r="BN45" s="147">
        <f t="shared" si="51"/>
        <v>19.08994709</v>
      </c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0.0190119852941176</v>
      </c>
      <c r="L46" s="60">
        <v>3.47515669463804E-4</v>
      </c>
      <c r="M46" s="59">
        <f t="shared" si="1"/>
        <v>19011.98529</v>
      </c>
      <c r="N46" s="59">
        <v>20.7491487</v>
      </c>
      <c r="O46" s="59">
        <v>18600.685546875</v>
      </c>
      <c r="P46" s="59">
        <v>63.123447191</v>
      </c>
      <c r="Q46" s="61">
        <f t="shared" si="2"/>
        <v>-0.02163370847</v>
      </c>
      <c r="R46" s="62">
        <f t="shared" si="3"/>
        <v>-6.189966945</v>
      </c>
      <c r="S46" s="58">
        <v>1000000.0</v>
      </c>
      <c r="T46" s="63">
        <f t="shared" si="4"/>
        <v>34456.6937</v>
      </c>
      <c r="U46" s="63">
        <f t="shared" si="49"/>
        <v>465.6326198</v>
      </c>
      <c r="V46" s="59">
        <f t="shared" si="6"/>
        <v>1.022112075</v>
      </c>
      <c r="W46" s="58">
        <f t="shared" si="7"/>
        <v>1</v>
      </c>
      <c r="X46" s="58">
        <f t="shared" si="8"/>
        <v>41</v>
      </c>
      <c r="Y46" s="160">
        <v>13490.202148438</v>
      </c>
      <c r="Z46" s="161">
        <f t="shared" si="9"/>
        <v>1.409318043</v>
      </c>
      <c r="AA46" s="162">
        <f t="shared" si="10"/>
        <v>0</v>
      </c>
      <c r="AB46" s="160">
        <v>13423.209960938</v>
      </c>
      <c r="AC46" s="161">
        <f t="shared" si="11"/>
        <v>1.416351629</v>
      </c>
      <c r="AD46" s="162">
        <f t="shared" si="12"/>
        <v>0</v>
      </c>
      <c r="AE46" s="160">
        <v>13163.748046875</v>
      </c>
      <c r="AF46" s="161">
        <f t="shared" si="13"/>
        <v>1.444268397</v>
      </c>
      <c r="AG46" s="162">
        <f t="shared" si="14"/>
        <v>0</v>
      </c>
      <c r="AH46" s="160">
        <v>13064.982421875</v>
      </c>
      <c r="AI46" s="161">
        <f t="shared" si="15"/>
        <v>1.455186443</v>
      </c>
      <c r="AJ46" s="162">
        <f t="shared" si="16"/>
        <v>0</v>
      </c>
      <c r="AK46" s="160">
        <v>13237.104492188</v>
      </c>
      <c r="AL46" s="161">
        <f t="shared" si="17"/>
        <v>1.436264653</v>
      </c>
      <c r="AM46" s="162">
        <f t="shared" si="18"/>
        <v>0</v>
      </c>
      <c r="AN46" s="160">
        <v>13744.245117188</v>
      </c>
      <c r="AO46" s="161">
        <f t="shared" si="19"/>
        <v>1.383268789</v>
      </c>
      <c r="AP46" s="162">
        <f t="shared" si="20"/>
        <v>0</v>
      </c>
      <c r="AQ46" s="160">
        <v>12877.219726562</v>
      </c>
      <c r="AR46" s="161">
        <f t="shared" si="21"/>
        <v>1.476404511</v>
      </c>
      <c r="AS46" s="162">
        <f t="shared" si="22"/>
        <v>0</v>
      </c>
      <c r="AT46" s="160">
        <v>13906.806640625</v>
      </c>
      <c r="AU46" s="161">
        <f t="shared" si="23"/>
        <v>1.367099276</v>
      </c>
      <c r="AV46" s="162">
        <f t="shared" si="24"/>
        <v>0</v>
      </c>
      <c r="AW46" s="59">
        <v>21232.765625</v>
      </c>
      <c r="AX46" s="161">
        <f t="shared" si="25"/>
        <v>0.895407863</v>
      </c>
      <c r="AY46" s="89">
        <f t="shared" si="26"/>
        <v>0</v>
      </c>
      <c r="AZ46" s="59">
        <v>17652.771484375</v>
      </c>
      <c r="BA46" s="161">
        <f t="shared" si="27"/>
        <v>1.076997191</v>
      </c>
      <c r="BB46" s="89">
        <f t="shared" si="28"/>
        <v>1</v>
      </c>
      <c r="BC46" s="59">
        <v>17682.2109375</v>
      </c>
      <c r="BD46" s="161">
        <f t="shared" si="29"/>
        <v>1.075204077</v>
      </c>
      <c r="BE46" s="89">
        <f t="shared" si="30"/>
        <v>1</v>
      </c>
      <c r="BF46" s="59">
        <v>17779.193359375</v>
      </c>
      <c r="BG46" s="161">
        <f t="shared" si="31"/>
        <v>1.069339025</v>
      </c>
      <c r="BH46" s="89">
        <f t="shared" si="32"/>
        <v>1</v>
      </c>
      <c r="BI46" s="59">
        <v>19796.728515625</v>
      </c>
      <c r="BJ46" s="161">
        <f t="shared" si="33"/>
        <v>0.9603599544</v>
      </c>
      <c r="BK46" s="89">
        <f t="shared" si="34"/>
        <v>1</v>
      </c>
      <c r="BL46" s="147">
        <v>778.8</v>
      </c>
      <c r="BM46" s="147">
        <f t="shared" si="50"/>
        <v>32.04938272</v>
      </c>
      <c r="BN46" s="147">
        <f t="shared" si="51"/>
        <v>21.36625514</v>
      </c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0.0424931617647059</v>
      </c>
      <c r="L47" s="60">
        <v>7.21533040957862E-4</v>
      </c>
      <c r="M47" s="59">
        <f t="shared" si="1"/>
        <v>42493.16176</v>
      </c>
      <c r="N47" s="59">
        <v>46.268393682</v>
      </c>
      <c r="O47" s="59">
        <v>39459.41796875</v>
      </c>
      <c r="P47" s="59">
        <v>139.747002668</v>
      </c>
      <c r="Q47" s="61">
        <f t="shared" si="2"/>
        <v>-0.07139369418</v>
      </c>
      <c r="R47" s="62">
        <f t="shared" si="3"/>
        <v>-20.60865057</v>
      </c>
      <c r="S47" s="58">
        <v>1000000.0</v>
      </c>
      <c r="T47" s="63">
        <f t="shared" si="4"/>
        <v>77013.20176</v>
      </c>
      <c r="U47" s="63">
        <f t="shared" si="49"/>
        <v>1040.722572</v>
      </c>
      <c r="V47" s="59">
        <f t="shared" si="6"/>
        <v>1.076882629</v>
      </c>
      <c r="W47" s="58">
        <f t="shared" si="7"/>
        <v>1</v>
      </c>
      <c r="X47" s="58">
        <f t="shared" si="8"/>
        <v>42</v>
      </c>
      <c r="Y47" s="160">
        <v>24126.904296875</v>
      </c>
      <c r="Z47" s="161">
        <f t="shared" si="9"/>
        <v>1.761235559</v>
      </c>
      <c r="AA47" s="162">
        <f t="shared" si="10"/>
        <v>0</v>
      </c>
      <c r="AB47" s="160">
        <v>24088.6640625</v>
      </c>
      <c r="AC47" s="161">
        <f t="shared" si="11"/>
        <v>1.764031482</v>
      </c>
      <c r="AD47" s="162">
        <f t="shared" si="12"/>
        <v>0</v>
      </c>
      <c r="AE47" s="160">
        <v>23596.89453125</v>
      </c>
      <c r="AF47" s="161">
        <f t="shared" si="13"/>
        <v>1.800794664</v>
      </c>
      <c r="AG47" s="162">
        <f t="shared" si="14"/>
        <v>0</v>
      </c>
      <c r="AH47" s="160">
        <v>23522.673828125</v>
      </c>
      <c r="AI47" s="161">
        <f t="shared" si="15"/>
        <v>1.806476682</v>
      </c>
      <c r="AJ47" s="162">
        <f t="shared" si="16"/>
        <v>0</v>
      </c>
      <c r="AK47" s="160">
        <v>23760.900390625</v>
      </c>
      <c r="AL47" s="161">
        <f t="shared" si="17"/>
        <v>1.788364964</v>
      </c>
      <c r="AM47" s="162">
        <f t="shared" si="18"/>
        <v>0</v>
      </c>
      <c r="AN47" s="160">
        <v>24658.0234375</v>
      </c>
      <c r="AO47" s="161">
        <f t="shared" si="19"/>
        <v>1.723299593</v>
      </c>
      <c r="AP47" s="162">
        <f t="shared" si="20"/>
        <v>0</v>
      </c>
      <c r="AQ47" s="160">
        <v>23134.783203125</v>
      </c>
      <c r="AR47" s="161">
        <f t="shared" si="21"/>
        <v>1.836765073</v>
      </c>
      <c r="AS47" s="162">
        <f t="shared" si="22"/>
        <v>0</v>
      </c>
      <c r="AT47" s="160">
        <v>24929.59375</v>
      </c>
      <c r="AU47" s="161">
        <f t="shared" si="23"/>
        <v>1.704526844</v>
      </c>
      <c r="AV47" s="162">
        <f t="shared" si="24"/>
        <v>0</v>
      </c>
      <c r="AW47" s="59">
        <v>45041.3203125</v>
      </c>
      <c r="AX47" s="161">
        <f t="shared" si="25"/>
        <v>0.9434262022</v>
      </c>
      <c r="AY47" s="89">
        <f t="shared" si="26"/>
        <v>1</v>
      </c>
      <c r="AZ47" s="59">
        <v>37569.63671875</v>
      </c>
      <c r="BA47" s="161">
        <f t="shared" si="27"/>
        <v>1.131050643</v>
      </c>
      <c r="BB47" s="89">
        <f t="shared" si="28"/>
        <v>0</v>
      </c>
      <c r="BC47" s="59">
        <v>37647.8671875</v>
      </c>
      <c r="BD47" s="161">
        <f t="shared" si="29"/>
        <v>1.128700374</v>
      </c>
      <c r="BE47" s="89">
        <f t="shared" si="30"/>
        <v>0</v>
      </c>
      <c r="BF47" s="59">
        <v>37836.921875</v>
      </c>
      <c r="BG47" s="161">
        <f t="shared" si="31"/>
        <v>1.123060748</v>
      </c>
      <c r="BH47" s="89">
        <f t="shared" si="32"/>
        <v>0</v>
      </c>
      <c r="BI47" s="59">
        <v>42125.625</v>
      </c>
      <c r="BJ47" s="161">
        <f t="shared" si="33"/>
        <v>1.008724779</v>
      </c>
      <c r="BK47" s="89">
        <f t="shared" si="34"/>
        <v>1</v>
      </c>
      <c r="BL47" s="147">
        <v>1076.0</v>
      </c>
      <c r="BM47" s="147">
        <f t="shared" si="50"/>
        <v>36.22895623</v>
      </c>
      <c r="BN47" s="147">
        <f t="shared" si="51"/>
        <v>24.15263749</v>
      </c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1.05197058823529E-5</v>
      </c>
      <c r="L48" s="96">
        <v>1.50426264336314E-7</v>
      </c>
      <c r="M48" s="95">
        <f t="shared" si="1"/>
        <v>10.51970588</v>
      </c>
      <c r="N48" s="95">
        <v>0.011304352</v>
      </c>
      <c r="O48" s="95">
        <v>15.212672234</v>
      </c>
      <c r="P48" s="95">
        <v>0.034978086</v>
      </c>
      <c r="Q48" s="97">
        <f t="shared" si="2"/>
        <v>0.4461119355</v>
      </c>
      <c r="R48" s="98">
        <f t="shared" si="3"/>
        <v>127.6670442</v>
      </c>
      <c r="S48" s="94">
        <v>916732.0</v>
      </c>
      <c r="T48" s="99">
        <f t="shared" si="4"/>
        <v>19.06556721</v>
      </c>
      <c r="U48" s="99">
        <f t="shared" ref="U48:U54" si="52">K48/$K$49</f>
        <v>0.08195921173</v>
      </c>
      <c r="V48" s="95">
        <f t="shared" si="6"/>
        <v>0.6915094022</v>
      </c>
      <c r="W48" s="94">
        <f t="shared" si="7"/>
        <v>0</v>
      </c>
      <c r="X48" s="88">
        <f t="shared" si="8"/>
        <v>43</v>
      </c>
      <c r="Y48" s="168">
        <v>10.177306175</v>
      </c>
      <c r="Z48" s="169">
        <f t="shared" si="9"/>
        <v>1.033643452</v>
      </c>
      <c r="AA48" s="170">
        <f t="shared" si="10"/>
        <v>1</v>
      </c>
      <c r="AB48" s="168">
        <v>9.807258606</v>
      </c>
      <c r="AC48" s="169">
        <f t="shared" si="11"/>
        <v>1.072644895</v>
      </c>
      <c r="AD48" s="170">
        <f t="shared" si="12"/>
        <v>1</v>
      </c>
      <c r="AE48" s="168">
        <v>10.046981812</v>
      </c>
      <c r="AF48" s="169">
        <f t="shared" si="13"/>
        <v>1.047051351</v>
      </c>
      <c r="AG48" s="170">
        <f t="shared" si="14"/>
        <v>1</v>
      </c>
      <c r="AH48" s="168">
        <v>9.903353691</v>
      </c>
      <c r="AI48" s="169">
        <f t="shared" si="15"/>
        <v>1.062236714</v>
      </c>
      <c r="AJ48" s="170">
        <f t="shared" si="16"/>
        <v>1</v>
      </c>
      <c r="AK48" s="168">
        <v>10.078866005</v>
      </c>
      <c r="AL48" s="169">
        <f t="shared" si="17"/>
        <v>1.043739035</v>
      </c>
      <c r="AM48" s="170">
        <f t="shared" si="18"/>
        <v>1</v>
      </c>
      <c r="AN48" s="168">
        <v>10.126171112</v>
      </c>
      <c r="AO48" s="169">
        <f t="shared" si="19"/>
        <v>1.038863137</v>
      </c>
      <c r="AP48" s="170">
        <f t="shared" si="20"/>
        <v>1</v>
      </c>
      <c r="AQ48" s="168">
        <v>9.827118874</v>
      </c>
      <c r="AR48" s="169">
        <f t="shared" si="21"/>
        <v>1.070477117</v>
      </c>
      <c r="AS48" s="170">
        <f t="shared" si="22"/>
        <v>1</v>
      </c>
      <c r="AT48" s="168">
        <v>10.394638062</v>
      </c>
      <c r="AU48" s="169">
        <f t="shared" si="23"/>
        <v>1.012031955</v>
      </c>
      <c r="AV48" s="170">
        <f t="shared" si="24"/>
        <v>1</v>
      </c>
      <c r="AW48" s="95">
        <v>20.149572372</v>
      </c>
      <c r="AX48" s="169">
        <f t="shared" si="25"/>
        <v>0.5220808506</v>
      </c>
      <c r="AY48" s="100">
        <f t="shared" si="26"/>
        <v>0</v>
      </c>
      <c r="AZ48" s="95">
        <v>10.988180161</v>
      </c>
      <c r="BA48" s="169">
        <f t="shared" si="27"/>
        <v>0.9573656173</v>
      </c>
      <c r="BB48" s="100">
        <f t="shared" si="28"/>
        <v>1</v>
      </c>
      <c r="BC48" s="95">
        <v>10.698601723</v>
      </c>
      <c r="BD48" s="169">
        <f t="shared" si="29"/>
        <v>0.9832785774</v>
      </c>
      <c r="BE48" s="100">
        <f t="shared" si="30"/>
        <v>1</v>
      </c>
      <c r="BF48" s="95">
        <v>10.467057228</v>
      </c>
      <c r="BG48" s="169">
        <f t="shared" si="31"/>
        <v>1.005029939</v>
      </c>
      <c r="BH48" s="100">
        <f t="shared" si="32"/>
        <v>1</v>
      </c>
      <c r="BI48" s="95">
        <v>10.078400612</v>
      </c>
      <c r="BJ48" s="169">
        <f t="shared" si="33"/>
        <v>1.043787232</v>
      </c>
      <c r="BK48" s="100">
        <f t="shared" si="34"/>
        <v>1</v>
      </c>
      <c r="BL48" s="149">
        <v>315.2</v>
      </c>
      <c r="BM48" s="149"/>
      <c r="BN48" s="149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1.2835294117647E-4</v>
      </c>
      <c r="L49" s="96">
        <v>2.49550532777604E-6</v>
      </c>
      <c r="M49" s="95">
        <f t="shared" si="1"/>
        <v>128.3529412</v>
      </c>
      <c r="N49" s="95">
        <v>0.144849477</v>
      </c>
      <c r="O49" s="95">
        <v>140.951568604</v>
      </c>
      <c r="P49" s="95">
        <v>0.159152277</v>
      </c>
      <c r="Q49" s="97">
        <f t="shared" si="2"/>
        <v>0.0981561257</v>
      </c>
      <c r="R49" s="98">
        <f t="shared" si="3"/>
        <v>58.5439479</v>
      </c>
      <c r="S49" s="94">
        <v>1000000.0</v>
      </c>
      <c r="T49" s="99">
        <f t="shared" si="4"/>
        <v>232.6226279</v>
      </c>
      <c r="U49" s="99">
        <f t="shared" si="52"/>
        <v>1</v>
      </c>
      <c r="V49" s="95">
        <f t="shared" si="6"/>
        <v>0.9106173308</v>
      </c>
      <c r="W49" s="94">
        <f t="shared" si="7"/>
        <v>1</v>
      </c>
      <c r="X49" s="88">
        <f t="shared" si="8"/>
        <v>44</v>
      </c>
      <c r="Y49" s="168">
        <v>119.173683167</v>
      </c>
      <c r="Z49" s="169">
        <f t="shared" si="9"/>
        <v>1.077024203</v>
      </c>
      <c r="AA49" s="170">
        <f t="shared" si="10"/>
        <v>1</v>
      </c>
      <c r="AB49" s="168">
        <v>117.633476257</v>
      </c>
      <c r="AC49" s="169">
        <f t="shared" si="11"/>
        <v>1.091125972</v>
      </c>
      <c r="AD49" s="170">
        <f t="shared" si="12"/>
        <v>1</v>
      </c>
      <c r="AE49" s="168">
        <v>118.073410034</v>
      </c>
      <c r="AF49" s="169">
        <f t="shared" si="13"/>
        <v>1.087060509</v>
      </c>
      <c r="AG49" s="170">
        <f t="shared" si="14"/>
        <v>1</v>
      </c>
      <c r="AH49" s="168">
        <v>114.539459229</v>
      </c>
      <c r="AI49" s="169">
        <f t="shared" si="15"/>
        <v>1.120600202</v>
      </c>
      <c r="AJ49" s="170">
        <f t="shared" si="16"/>
        <v>0</v>
      </c>
      <c r="AK49" s="168">
        <v>116.196624756</v>
      </c>
      <c r="AL49" s="169">
        <f t="shared" si="17"/>
        <v>1.104618499</v>
      </c>
      <c r="AM49" s="170">
        <f t="shared" si="18"/>
        <v>1</v>
      </c>
      <c r="AN49" s="168">
        <v>121.449668884</v>
      </c>
      <c r="AO49" s="169">
        <f t="shared" si="19"/>
        <v>1.056840602</v>
      </c>
      <c r="AP49" s="170">
        <f t="shared" si="20"/>
        <v>1</v>
      </c>
      <c r="AQ49" s="168">
        <v>111.674507141</v>
      </c>
      <c r="AR49" s="169">
        <f t="shared" si="21"/>
        <v>1.149348625</v>
      </c>
      <c r="AS49" s="170">
        <f t="shared" si="22"/>
        <v>0</v>
      </c>
      <c r="AT49" s="168">
        <v>122.967041016</v>
      </c>
      <c r="AU49" s="169">
        <f t="shared" si="23"/>
        <v>1.043799543</v>
      </c>
      <c r="AV49" s="170">
        <f t="shared" si="24"/>
        <v>1</v>
      </c>
      <c r="AW49" s="95">
        <v>171.306045532</v>
      </c>
      <c r="AX49" s="169">
        <f t="shared" si="25"/>
        <v>0.7492610128</v>
      </c>
      <c r="AY49" s="100">
        <f t="shared" si="26"/>
        <v>0</v>
      </c>
      <c r="AZ49" s="95">
        <v>128.70993042</v>
      </c>
      <c r="BA49" s="169">
        <f t="shared" si="27"/>
        <v>0.9972264048</v>
      </c>
      <c r="BB49" s="100">
        <f t="shared" si="28"/>
        <v>1</v>
      </c>
      <c r="BC49" s="95">
        <v>128.022735596</v>
      </c>
      <c r="BD49" s="169">
        <f t="shared" si="29"/>
        <v>1.002579273</v>
      </c>
      <c r="BE49" s="100">
        <f t="shared" si="30"/>
        <v>1</v>
      </c>
      <c r="BF49" s="95">
        <v>128.95526123</v>
      </c>
      <c r="BG49" s="169">
        <f t="shared" si="31"/>
        <v>0.9953292324</v>
      </c>
      <c r="BH49" s="100">
        <f t="shared" si="32"/>
        <v>1</v>
      </c>
      <c r="BI49" s="95">
        <v>141.520370483</v>
      </c>
      <c r="BJ49" s="169">
        <f t="shared" si="33"/>
        <v>0.906957357</v>
      </c>
      <c r="BK49" s="100">
        <f t="shared" si="34"/>
        <v>0</v>
      </c>
      <c r="BL49" s="149">
        <v>328.4</v>
      </c>
      <c r="BM49" s="149">
        <f t="shared" ref="BM49:BM54" si="53">BL49/(H49*H49*F49*C49)</f>
        <v>68.41666667</v>
      </c>
      <c r="BN49" s="149">
        <f t="shared" ref="BN49:BN54" si="54">BL49/(H49*H49*F49*C49*C49)</f>
        <v>45.61111111</v>
      </c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0.00148866911764705</v>
      </c>
      <c r="L50" s="96">
        <v>2.79160262339962E-5</v>
      </c>
      <c r="M50" s="95">
        <f t="shared" si="1"/>
        <v>1488.669118</v>
      </c>
      <c r="N50" s="95">
        <v>1.655264136</v>
      </c>
      <c r="O50" s="95">
        <v>1562.336914062</v>
      </c>
      <c r="P50" s="95">
        <v>2.876164469</v>
      </c>
      <c r="Q50" s="97">
        <f t="shared" si="2"/>
        <v>0.04948567519</v>
      </c>
      <c r="R50" s="98">
        <f t="shared" si="3"/>
        <v>22.19934762</v>
      </c>
      <c r="S50" s="94">
        <v>1000000.0</v>
      </c>
      <c r="T50" s="99">
        <f t="shared" si="4"/>
        <v>2698.014701</v>
      </c>
      <c r="U50" s="99">
        <f t="shared" si="52"/>
        <v>11.59824702</v>
      </c>
      <c r="V50" s="95">
        <f t="shared" si="6"/>
        <v>0.9528476888</v>
      </c>
      <c r="W50" s="94">
        <f t="shared" si="7"/>
        <v>1</v>
      </c>
      <c r="X50" s="94">
        <f t="shared" si="8"/>
        <v>45</v>
      </c>
      <c r="Y50" s="168">
        <v>1299.430297852</v>
      </c>
      <c r="Z50" s="169">
        <f t="shared" si="9"/>
        <v>1.145632144</v>
      </c>
      <c r="AA50" s="170">
        <f t="shared" si="10"/>
        <v>0</v>
      </c>
      <c r="AB50" s="168">
        <v>1291.840942383</v>
      </c>
      <c r="AC50" s="169">
        <f t="shared" si="11"/>
        <v>1.152362546</v>
      </c>
      <c r="AD50" s="170">
        <f t="shared" si="12"/>
        <v>0</v>
      </c>
      <c r="AE50" s="168">
        <v>1284.206542969</v>
      </c>
      <c r="AF50" s="169">
        <f t="shared" si="13"/>
        <v>1.159213154</v>
      </c>
      <c r="AG50" s="170">
        <f t="shared" si="14"/>
        <v>0</v>
      </c>
      <c r="AH50" s="168">
        <v>1263.329833984</v>
      </c>
      <c r="AI50" s="169">
        <f t="shared" si="15"/>
        <v>1.17836932</v>
      </c>
      <c r="AJ50" s="170">
        <f t="shared" si="16"/>
        <v>0</v>
      </c>
      <c r="AK50" s="168">
        <v>1275.620483398</v>
      </c>
      <c r="AL50" s="169">
        <f t="shared" si="17"/>
        <v>1.167015689</v>
      </c>
      <c r="AM50" s="170">
        <f t="shared" si="18"/>
        <v>0</v>
      </c>
      <c r="AN50" s="168">
        <v>1329.616455078</v>
      </c>
      <c r="AO50" s="169">
        <f t="shared" si="19"/>
        <v>1.119622965</v>
      </c>
      <c r="AP50" s="170">
        <f t="shared" si="20"/>
        <v>0</v>
      </c>
      <c r="AQ50" s="168">
        <v>1231.871337891</v>
      </c>
      <c r="AR50" s="169">
        <f t="shared" si="21"/>
        <v>1.208461527</v>
      </c>
      <c r="AS50" s="170">
        <f t="shared" si="22"/>
        <v>0</v>
      </c>
      <c r="AT50" s="168">
        <v>1347.206054688</v>
      </c>
      <c r="AU50" s="169">
        <f t="shared" si="23"/>
        <v>1.105004771</v>
      </c>
      <c r="AV50" s="170">
        <f t="shared" si="24"/>
        <v>1</v>
      </c>
      <c r="AW50" s="95">
        <v>1831.566040039</v>
      </c>
      <c r="AX50" s="169">
        <f t="shared" si="25"/>
        <v>0.8127848437</v>
      </c>
      <c r="AY50" s="100">
        <f t="shared" si="26"/>
        <v>0</v>
      </c>
      <c r="AZ50" s="95">
        <v>1462.11706543</v>
      </c>
      <c r="BA50" s="169">
        <f t="shared" si="27"/>
        <v>1.018160004</v>
      </c>
      <c r="BB50" s="100">
        <f t="shared" si="28"/>
        <v>1</v>
      </c>
      <c r="BC50" s="95">
        <v>1460.708740234</v>
      </c>
      <c r="BD50" s="169">
        <f t="shared" si="29"/>
        <v>1.019141651</v>
      </c>
      <c r="BE50" s="100">
        <f t="shared" si="30"/>
        <v>1</v>
      </c>
      <c r="BF50" s="95">
        <v>1471.327392578</v>
      </c>
      <c r="BG50" s="169">
        <f t="shared" si="31"/>
        <v>1.011786449</v>
      </c>
      <c r="BH50" s="100">
        <f t="shared" si="32"/>
        <v>1</v>
      </c>
      <c r="BI50" s="95">
        <v>1632.892456055</v>
      </c>
      <c r="BJ50" s="169">
        <f t="shared" si="33"/>
        <v>0.9116761561</v>
      </c>
      <c r="BK50" s="100">
        <f t="shared" si="34"/>
        <v>1</v>
      </c>
      <c r="BL50" s="149">
        <v>434.1</v>
      </c>
      <c r="BM50" s="149">
        <f t="shared" si="53"/>
        <v>30.14583333</v>
      </c>
      <c r="BN50" s="149">
        <f t="shared" si="54"/>
        <v>20.09722222</v>
      </c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0.0073234044117647</v>
      </c>
      <c r="L51" s="96">
        <v>1.37126671834987E-4</v>
      </c>
      <c r="M51" s="95">
        <f t="shared" si="1"/>
        <v>7323.404412</v>
      </c>
      <c r="N51" s="95">
        <v>8.057805892</v>
      </c>
      <c r="O51" s="95">
        <v>7363.673339844</v>
      </c>
      <c r="P51" s="95">
        <v>19.816566175</v>
      </c>
      <c r="Q51" s="97">
        <f t="shared" si="2"/>
        <v>0.005498662345</v>
      </c>
      <c r="R51" s="98">
        <f t="shared" si="3"/>
        <v>1.8824152</v>
      </c>
      <c r="S51" s="94">
        <v>1000000.0</v>
      </c>
      <c r="T51" s="99">
        <f t="shared" si="4"/>
        <v>13272.69608</v>
      </c>
      <c r="U51" s="99">
        <f t="shared" si="52"/>
        <v>57.05677131</v>
      </c>
      <c r="V51" s="95">
        <f t="shared" si="6"/>
        <v>0.9945314076</v>
      </c>
      <c r="W51" s="94">
        <f t="shared" si="7"/>
        <v>1</v>
      </c>
      <c r="X51" s="94">
        <f t="shared" si="8"/>
        <v>46</v>
      </c>
      <c r="Y51" s="168">
        <v>5660.5</v>
      </c>
      <c r="Z51" s="169">
        <f t="shared" si="9"/>
        <v>1.293773414</v>
      </c>
      <c r="AA51" s="170">
        <f t="shared" si="10"/>
        <v>0</v>
      </c>
      <c r="AB51" s="168">
        <v>5663.585449219</v>
      </c>
      <c r="AC51" s="169">
        <f t="shared" si="11"/>
        <v>1.293068583</v>
      </c>
      <c r="AD51" s="170">
        <f t="shared" si="12"/>
        <v>0</v>
      </c>
      <c r="AE51" s="168">
        <v>5565.598632812</v>
      </c>
      <c r="AF51" s="169">
        <f t="shared" si="13"/>
        <v>1.31583409</v>
      </c>
      <c r="AG51" s="170">
        <f t="shared" si="14"/>
        <v>0</v>
      </c>
      <c r="AH51" s="168">
        <v>5497.713867188</v>
      </c>
      <c r="AI51" s="169">
        <f t="shared" si="15"/>
        <v>1.332081769</v>
      </c>
      <c r="AJ51" s="170">
        <f t="shared" si="16"/>
        <v>0</v>
      </c>
      <c r="AK51" s="168">
        <v>5567.834960938</v>
      </c>
      <c r="AL51" s="169">
        <f t="shared" si="17"/>
        <v>1.315305583</v>
      </c>
      <c r="AM51" s="170">
        <f t="shared" si="18"/>
        <v>0</v>
      </c>
      <c r="AN51" s="168">
        <v>5809.987792969</v>
      </c>
      <c r="AO51" s="169">
        <f t="shared" si="19"/>
        <v>1.260485335</v>
      </c>
      <c r="AP51" s="170">
        <f t="shared" si="20"/>
        <v>0</v>
      </c>
      <c r="AQ51" s="168">
        <v>5398.494628906</v>
      </c>
      <c r="AR51" s="169">
        <f t="shared" si="21"/>
        <v>1.356564175</v>
      </c>
      <c r="AS51" s="170">
        <f t="shared" si="22"/>
        <v>0</v>
      </c>
      <c r="AT51" s="168">
        <v>5857.880371094</v>
      </c>
      <c r="AU51" s="169">
        <f t="shared" si="23"/>
        <v>1.25017992</v>
      </c>
      <c r="AV51" s="170">
        <f t="shared" si="24"/>
        <v>0</v>
      </c>
      <c r="AW51" s="95">
        <v>8510.188476562</v>
      </c>
      <c r="AX51" s="169">
        <f t="shared" si="25"/>
        <v>0.8605455017</v>
      </c>
      <c r="AY51" s="100">
        <f t="shared" si="26"/>
        <v>0</v>
      </c>
      <c r="AZ51" s="95">
        <v>6959.42578125</v>
      </c>
      <c r="BA51" s="169">
        <f t="shared" si="27"/>
        <v>1.052300095</v>
      </c>
      <c r="BB51" s="100">
        <f t="shared" si="28"/>
        <v>1</v>
      </c>
      <c r="BC51" s="95">
        <v>6964.009765625</v>
      </c>
      <c r="BD51" s="169">
        <f t="shared" si="29"/>
        <v>1.05160743</v>
      </c>
      <c r="BE51" s="100">
        <f t="shared" si="30"/>
        <v>1</v>
      </c>
      <c r="BF51" s="95">
        <v>7002.114746094</v>
      </c>
      <c r="BG51" s="169">
        <f t="shared" si="31"/>
        <v>1.045884662</v>
      </c>
      <c r="BH51" s="100">
        <f t="shared" si="32"/>
        <v>1</v>
      </c>
      <c r="BI51" s="95">
        <v>7793.359863281</v>
      </c>
      <c r="BJ51" s="169">
        <f t="shared" si="33"/>
        <v>0.939697966</v>
      </c>
      <c r="BK51" s="100">
        <f t="shared" si="34"/>
        <v>1</v>
      </c>
      <c r="BL51" s="149">
        <v>645.4</v>
      </c>
      <c r="BM51" s="149">
        <f t="shared" si="53"/>
        <v>26.89166667</v>
      </c>
      <c r="BN51" s="149">
        <f t="shared" si="54"/>
        <v>17.92777778</v>
      </c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0.0247474264705882</v>
      </c>
      <c r="L52" s="96">
        <v>4.85145257092453E-4</v>
      </c>
      <c r="M52" s="95">
        <f t="shared" si="1"/>
        <v>24747.42647</v>
      </c>
      <c r="N52" s="95">
        <v>27.069605362</v>
      </c>
      <c r="O52" s="95">
        <v>23509.65625</v>
      </c>
      <c r="P52" s="95">
        <v>73.987045179</v>
      </c>
      <c r="Q52" s="97">
        <f t="shared" si="2"/>
        <v>-0.05001611873</v>
      </c>
      <c r="R52" s="98">
        <f t="shared" si="3"/>
        <v>-15.71102542</v>
      </c>
      <c r="S52" s="94">
        <v>1000000.0</v>
      </c>
      <c r="T52" s="99">
        <f t="shared" si="4"/>
        <v>44851.4177</v>
      </c>
      <c r="U52" s="99">
        <f t="shared" si="52"/>
        <v>192.8076306</v>
      </c>
      <c r="V52" s="95">
        <f t="shared" si="6"/>
        <v>1.052649439</v>
      </c>
      <c r="W52" s="94">
        <f t="shared" si="7"/>
        <v>1</v>
      </c>
      <c r="X52" s="94">
        <f t="shared" si="8"/>
        <v>47</v>
      </c>
      <c r="Y52" s="168">
        <v>15332.66015625</v>
      </c>
      <c r="Z52" s="169">
        <f t="shared" si="9"/>
        <v>1.614033457</v>
      </c>
      <c r="AA52" s="170">
        <f t="shared" si="10"/>
        <v>0</v>
      </c>
      <c r="AB52" s="168">
        <v>15323.122070312</v>
      </c>
      <c r="AC52" s="169">
        <f t="shared" si="11"/>
        <v>1.615038134</v>
      </c>
      <c r="AD52" s="170">
        <f t="shared" si="12"/>
        <v>0</v>
      </c>
      <c r="AE52" s="168">
        <v>15006.618164062</v>
      </c>
      <c r="AF52" s="169">
        <f t="shared" si="13"/>
        <v>1.64910083</v>
      </c>
      <c r="AG52" s="170">
        <f t="shared" si="14"/>
        <v>0</v>
      </c>
      <c r="AH52" s="168">
        <v>14869.689453125</v>
      </c>
      <c r="AI52" s="169">
        <f t="shared" si="15"/>
        <v>1.664286705</v>
      </c>
      <c r="AJ52" s="170">
        <f t="shared" si="16"/>
        <v>0</v>
      </c>
      <c r="AK52" s="168">
        <v>15066.947265625</v>
      </c>
      <c r="AL52" s="169">
        <f t="shared" si="17"/>
        <v>1.642497716</v>
      </c>
      <c r="AM52" s="170">
        <f t="shared" si="18"/>
        <v>0</v>
      </c>
      <c r="AN52" s="168">
        <v>15688.084960938</v>
      </c>
      <c r="AO52" s="169">
        <f t="shared" si="19"/>
        <v>1.577466372</v>
      </c>
      <c r="AP52" s="170">
        <f t="shared" si="20"/>
        <v>0</v>
      </c>
      <c r="AQ52" s="168">
        <v>14635.811523438</v>
      </c>
      <c r="AR52" s="169">
        <f t="shared" si="21"/>
        <v>1.690881741</v>
      </c>
      <c r="AS52" s="170">
        <f t="shared" si="22"/>
        <v>0</v>
      </c>
      <c r="AT52" s="168">
        <v>15815.34375</v>
      </c>
      <c r="AU52" s="169">
        <f t="shared" si="23"/>
        <v>1.564773227</v>
      </c>
      <c r="AV52" s="170">
        <f t="shared" si="24"/>
        <v>0</v>
      </c>
      <c r="AW52" s="95">
        <v>26924.93359375</v>
      </c>
      <c r="AX52" s="169">
        <f t="shared" si="25"/>
        <v>0.9191267412</v>
      </c>
      <c r="AY52" s="100">
        <f t="shared" si="26"/>
        <v>1</v>
      </c>
      <c r="AZ52" s="95">
        <v>22259.693359375</v>
      </c>
      <c r="BA52" s="169">
        <f t="shared" si="27"/>
        <v>1.111759541</v>
      </c>
      <c r="BB52" s="100">
        <f t="shared" si="28"/>
        <v>0</v>
      </c>
      <c r="BC52" s="95">
        <v>22296.21484375</v>
      </c>
      <c r="BD52" s="169">
        <f t="shared" si="29"/>
        <v>1.109938465</v>
      </c>
      <c r="BE52" s="100">
        <f t="shared" si="30"/>
        <v>1</v>
      </c>
      <c r="BF52" s="95">
        <v>22419.87890625</v>
      </c>
      <c r="BG52" s="169">
        <f t="shared" si="31"/>
        <v>1.103816242</v>
      </c>
      <c r="BH52" s="100">
        <f t="shared" si="32"/>
        <v>1</v>
      </c>
      <c r="BI52" s="95">
        <v>24954.52734375</v>
      </c>
      <c r="BJ52" s="169">
        <f t="shared" si="33"/>
        <v>0.9917008697</v>
      </c>
      <c r="BK52" s="100">
        <f t="shared" si="34"/>
        <v>1</v>
      </c>
      <c r="BL52" s="149">
        <v>962.2</v>
      </c>
      <c r="BM52" s="149">
        <f t="shared" si="53"/>
        <v>28.63690476</v>
      </c>
      <c r="BN52" s="149">
        <f t="shared" si="54"/>
        <v>19.09126984</v>
      </c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0.0661038970588235</v>
      </c>
      <c r="L53" s="96">
        <v>9.08556178816345E-4</v>
      </c>
      <c r="M53" s="95">
        <f t="shared" si="1"/>
        <v>66103.89706</v>
      </c>
      <c r="N53" s="95">
        <v>72.040497411</v>
      </c>
      <c r="O53" s="95">
        <v>59004.91015625</v>
      </c>
      <c r="P53" s="95">
        <v>199.501265109</v>
      </c>
      <c r="Q53" s="97">
        <f t="shared" si="2"/>
        <v>-0.1073913524</v>
      </c>
      <c r="R53" s="98">
        <f t="shared" si="3"/>
        <v>-33.46844541</v>
      </c>
      <c r="S53" s="94">
        <v>1000000.0</v>
      </c>
      <c r="T53" s="99">
        <f t="shared" si="4"/>
        <v>119804.5179</v>
      </c>
      <c r="U53" s="99">
        <f t="shared" si="52"/>
        <v>515.0166132</v>
      </c>
      <c r="V53" s="95">
        <f t="shared" si="6"/>
        <v>1.120311799</v>
      </c>
      <c r="W53" s="94">
        <f t="shared" si="7"/>
        <v>0</v>
      </c>
      <c r="X53" s="94">
        <f t="shared" si="8"/>
        <v>48</v>
      </c>
      <c r="Y53" s="168">
        <v>29540.359375</v>
      </c>
      <c r="Z53" s="169">
        <f t="shared" si="9"/>
        <v>2.237748574</v>
      </c>
      <c r="AA53" s="170">
        <f t="shared" si="10"/>
        <v>0</v>
      </c>
      <c r="AB53" s="168">
        <v>29418.052734375</v>
      </c>
      <c r="AC53" s="169">
        <f t="shared" si="11"/>
        <v>2.247052096</v>
      </c>
      <c r="AD53" s="170">
        <f t="shared" si="12"/>
        <v>0</v>
      </c>
      <c r="AE53" s="168">
        <v>28876.140625</v>
      </c>
      <c r="AF53" s="169">
        <f t="shared" si="13"/>
        <v>2.289222023</v>
      </c>
      <c r="AG53" s="170">
        <f t="shared" si="14"/>
        <v>0</v>
      </c>
      <c r="AH53" s="168">
        <v>28689.166015625</v>
      </c>
      <c r="AI53" s="169">
        <f t="shared" si="15"/>
        <v>2.304141467</v>
      </c>
      <c r="AJ53" s="170">
        <f t="shared" si="16"/>
        <v>0</v>
      </c>
      <c r="AK53" s="168">
        <v>29035.962890625</v>
      </c>
      <c r="AL53" s="169">
        <f t="shared" si="17"/>
        <v>2.276621489</v>
      </c>
      <c r="AM53" s="170">
        <f t="shared" si="18"/>
        <v>0</v>
      </c>
      <c r="AN53" s="168">
        <v>30090.38671875</v>
      </c>
      <c r="AO53" s="169">
        <f t="shared" si="19"/>
        <v>2.196844383</v>
      </c>
      <c r="AP53" s="170">
        <f t="shared" si="20"/>
        <v>0</v>
      </c>
      <c r="AQ53" s="168">
        <v>28266.14453125</v>
      </c>
      <c r="AR53" s="169">
        <f t="shared" si="21"/>
        <v>2.338624462</v>
      </c>
      <c r="AS53" s="170">
        <f t="shared" si="22"/>
        <v>0</v>
      </c>
      <c r="AT53" s="168">
        <v>30469.666015625</v>
      </c>
      <c r="AU53" s="169">
        <f t="shared" si="23"/>
        <v>2.169498577</v>
      </c>
      <c r="AV53" s="170">
        <f t="shared" si="24"/>
        <v>0</v>
      </c>
      <c r="AW53" s="95">
        <v>67120.765625</v>
      </c>
      <c r="AX53" s="169">
        <f t="shared" si="25"/>
        <v>0.9848501644</v>
      </c>
      <c r="AY53" s="100">
        <f t="shared" si="26"/>
        <v>1</v>
      </c>
      <c r="AZ53" s="95">
        <v>55784.6640625</v>
      </c>
      <c r="BA53" s="169">
        <f t="shared" si="27"/>
        <v>1.184983331</v>
      </c>
      <c r="BB53" s="100">
        <f t="shared" si="28"/>
        <v>0</v>
      </c>
      <c r="BC53" s="95">
        <v>55898.90234375</v>
      </c>
      <c r="BD53" s="169">
        <f t="shared" si="29"/>
        <v>1.18256163</v>
      </c>
      <c r="BE53" s="100">
        <f t="shared" si="30"/>
        <v>0</v>
      </c>
      <c r="BF53" s="95">
        <v>56187.18359375</v>
      </c>
      <c r="BG53" s="169">
        <f t="shared" si="31"/>
        <v>1.176494226</v>
      </c>
      <c r="BH53" s="100">
        <f t="shared" si="32"/>
        <v>0</v>
      </c>
      <c r="BI53" s="95">
        <v>62558.63671875</v>
      </c>
      <c r="BJ53" s="169">
        <f t="shared" si="33"/>
        <v>1.056670997</v>
      </c>
      <c r="BK53" s="100">
        <f t="shared" si="34"/>
        <v>1</v>
      </c>
      <c r="BL53" s="149">
        <v>1385.0</v>
      </c>
      <c r="BM53" s="149">
        <f t="shared" si="53"/>
        <v>32.06018519</v>
      </c>
      <c r="BN53" s="149">
        <f t="shared" si="54"/>
        <v>21.37345679</v>
      </c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0.148236764705882</v>
      </c>
      <c r="L54" s="96">
        <v>0.00255930571671966</v>
      </c>
      <c r="M54" s="95">
        <f t="shared" si="1"/>
        <v>148236.7647</v>
      </c>
      <c r="N54" s="95">
        <v>161.087158325</v>
      </c>
      <c r="O54" s="95">
        <v>124569.8359375</v>
      </c>
      <c r="P54" s="95">
        <v>441.669539806</v>
      </c>
      <c r="Q54" s="97">
        <f t="shared" si="2"/>
        <v>-0.1596562689</v>
      </c>
      <c r="R54" s="98">
        <f t="shared" si="3"/>
        <v>-50.34137574</v>
      </c>
      <c r="S54" s="94">
        <v>1000000.0</v>
      </c>
      <c r="T54" s="99">
        <f t="shared" si="4"/>
        <v>268659.4124</v>
      </c>
      <c r="U54" s="99">
        <f t="shared" si="52"/>
        <v>1154.915215</v>
      </c>
      <c r="V54" s="95">
        <f t="shared" si="6"/>
        <v>1.189989243</v>
      </c>
      <c r="W54" s="94">
        <f t="shared" si="7"/>
        <v>0</v>
      </c>
      <c r="X54" s="94">
        <f t="shared" si="8"/>
        <v>49</v>
      </c>
      <c r="Y54" s="168">
        <v>44739.83203125</v>
      </c>
      <c r="Z54" s="169">
        <f t="shared" si="9"/>
        <v>3.313306241</v>
      </c>
      <c r="AA54" s="170">
        <f t="shared" si="10"/>
        <v>0</v>
      </c>
      <c r="AB54" s="168">
        <v>44693.6796875</v>
      </c>
      <c r="AC54" s="169">
        <f t="shared" si="11"/>
        <v>3.316727684</v>
      </c>
      <c r="AD54" s="170">
        <f t="shared" si="12"/>
        <v>0</v>
      </c>
      <c r="AE54" s="168">
        <v>43740.46484375</v>
      </c>
      <c r="AF54" s="169">
        <f t="shared" si="13"/>
        <v>3.38900753</v>
      </c>
      <c r="AG54" s="170">
        <f t="shared" si="14"/>
        <v>0</v>
      </c>
      <c r="AH54" s="168">
        <v>43568.75390625</v>
      </c>
      <c r="AI54" s="169">
        <f t="shared" si="15"/>
        <v>3.402364112</v>
      </c>
      <c r="AJ54" s="170">
        <f t="shared" si="16"/>
        <v>0</v>
      </c>
      <c r="AK54" s="168">
        <v>44038.375</v>
      </c>
      <c r="AL54" s="169">
        <f t="shared" si="17"/>
        <v>3.366081621</v>
      </c>
      <c r="AM54" s="170">
        <f t="shared" si="18"/>
        <v>0</v>
      </c>
      <c r="AN54" s="168">
        <v>45708.78125</v>
      </c>
      <c r="AO54" s="169">
        <f t="shared" si="19"/>
        <v>3.243069726</v>
      </c>
      <c r="AP54" s="170">
        <f t="shared" si="20"/>
        <v>0</v>
      </c>
      <c r="AQ54" s="168">
        <v>42915.0078125</v>
      </c>
      <c r="AR54" s="169">
        <f t="shared" si="21"/>
        <v>3.454194051</v>
      </c>
      <c r="AS54" s="170">
        <f t="shared" si="22"/>
        <v>0</v>
      </c>
      <c r="AT54" s="168">
        <v>46204.9296875</v>
      </c>
      <c r="AU54" s="169">
        <f t="shared" si="23"/>
        <v>3.208245651</v>
      </c>
      <c r="AV54" s="170">
        <f t="shared" si="24"/>
        <v>0</v>
      </c>
      <c r="AW54" s="95">
        <v>142301.40625</v>
      </c>
      <c r="AX54" s="169">
        <f t="shared" si="25"/>
        <v>1.041709767</v>
      </c>
      <c r="AY54" s="100">
        <f t="shared" si="26"/>
        <v>1</v>
      </c>
      <c r="AZ54" s="95">
        <v>118713.0078125</v>
      </c>
      <c r="BA54" s="169">
        <f t="shared" si="27"/>
        <v>1.248698584</v>
      </c>
      <c r="BB54" s="100">
        <f t="shared" si="28"/>
        <v>0</v>
      </c>
      <c r="BC54" s="95">
        <v>119008.6953125</v>
      </c>
      <c r="BD54" s="169">
        <f t="shared" si="29"/>
        <v>1.245596083</v>
      </c>
      <c r="BE54" s="100">
        <f t="shared" si="30"/>
        <v>0</v>
      </c>
      <c r="BF54" s="95">
        <v>119596.2890625</v>
      </c>
      <c r="BG54" s="169">
        <f t="shared" si="31"/>
        <v>1.23947629</v>
      </c>
      <c r="BH54" s="100">
        <f t="shared" si="32"/>
        <v>0</v>
      </c>
      <c r="BI54" s="95">
        <v>133156.09375</v>
      </c>
      <c r="BJ54" s="169">
        <f t="shared" si="33"/>
        <v>1.113255582</v>
      </c>
      <c r="BK54" s="100">
        <f t="shared" si="34"/>
        <v>0</v>
      </c>
      <c r="BL54" s="149">
        <v>1913.0</v>
      </c>
      <c r="BM54" s="149">
        <f t="shared" si="53"/>
        <v>36.23106061</v>
      </c>
      <c r="BN54" s="149">
        <f t="shared" si="54"/>
        <v>24.1540404</v>
      </c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2.48775735294117E-5</v>
      </c>
      <c r="L55" s="103">
        <v>3.80834359490043E-7</v>
      </c>
      <c r="M55" s="102">
        <f t="shared" si="1"/>
        <v>24.87757353</v>
      </c>
      <c r="N55" s="102">
        <v>0.026802536</v>
      </c>
      <c r="O55" s="102">
        <v>37.281505585</v>
      </c>
      <c r="P55" s="102">
        <v>0.085395717</v>
      </c>
      <c r="Q55" s="104">
        <f t="shared" si="2"/>
        <v>0.4985989506</v>
      </c>
      <c r="R55" s="106">
        <f t="shared" si="3"/>
        <v>138.5866237</v>
      </c>
      <c r="S55" s="101">
        <v>916732.0</v>
      </c>
      <c r="T55" s="108">
        <f t="shared" si="4"/>
        <v>45.08729193</v>
      </c>
      <c r="U55" s="108">
        <f t="shared" ref="U55:U61" si="55">K55/$K$56</f>
        <v>0.07744044935</v>
      </c>
      <c r="V55" s="102">
        <f t="shared" si="6"/>
        <v>0.6672899374</v>
      </c>
      <c r="W55" s="101">
        <f t="shared" si="7"/>
        <v>0</v>
      </c>
      <c r="X55" s="88">
        <f t="shared" si="8"/>
        <v>50</v>
      </c>
      <c r="Y55" s="171">
        <v>23.140272141</v>
      </c>
      <c r="Z55" s="172">
        <f t="shared" si="9"/>
        <v>1.075076964</v>
      </c>
      <c r="AA55" s="173">
        <f t="shared" si="10"/>
        <v>1</v>
      </c>
      <c r="AB55" s="171">
        <v>22.347425461</v>
      </c>
      <c r="AC55" s="172">
        <f t="shared" si="11"/>
        <v>1.113218772</v>
      </c>
      <c r="AD55" s="173">
        <f t="shared" si="12"/>
        <v>0</v>
      </c>
      <c r="AE55" s="171">
        <v>22.893613815</v>
      </c>
      <c r="AF55" s="172">
        <f t="shared" si="13"/>
        <v>1.086659962</v>
      </c>
      <c r="AG55" s="173">
        <f t="shared" si="14"/>
        <v>1</v>
      </c>
      <c r="AH55" s="171">
        <v>22.561023712</v>
      </c>
      <c r="AI55" s="172">
        <f t="shared" si="15"/>
        <v>1.102679286</v>
      </c>
      <c r="AJ55" s="173">
        <f t="shared" si="16"/>
        <v>1</v>
      </c>
      <c r="AK55" s="171">
        <v>22.984136581</v>
      </c>
      <c r="AL55" s="172">
        <f t="shared" si="17"/>
        <v>1.082380164</v>
      </c>
      <c r="AM55" s="173">
        <f t="shared" si="18"/>
        <v>1</v>
      </c>
      <c r="AN55" s="171">
        <v>22.947315216</v>
      </c>
      <c r="AO55" s="172">
        <f t="shared" si="19"/>
        <v>1.084116956</v>
      </c>
      <c r="AP55" s="173">
        <f t="shared" si="20"/>
        <v>1</v>
      </c>
      <c r="AQ55" s="171">
        <v>22.395879745</v>
      </c>
      <c r="AR55" s="172">
        <f t="shared" si="21"/>
        <v>1.110810284</v>
      </c>
      <c r="AS55" s="173">
        <f t="shared" si="22"/>
        <v>1</v>
      </c>
      <c r="AT55" s="171">
        <v>23.612285614</v>
      </c>
      <c r="AU55" s="172">
        <f t="shared" si="23"/>
        <v>1.053585999</v>
      </c>
      <c r="AV55" s="173">
        <f t="shared" si="24"/>
        <v>1</v>
      </c>
      <c r="AW55" s="102">
        <v>49.199436188</v>
      </c>
      <c r="AX55" s="172">
        <f t="shared" si="25"/>
        <v>0.5056475329</v>
      </c>
      <c r="AY55" s="110">
        <f t="shared" si="26"/>
        <v>0</v>
      </c>
      <c r="AZ55" s="102">
        <v>26.829626083</v>
      </c>
      <c r="BA55" s="172">
        <f t="shared" si="27"/>
        <v>0.9272426478</v>
      </c>
      <c r="BB55" s="110">
        <f t="shared" si="28"/>
        <v>1</v>
      </c>
      <c r="BC55" s="102">
        <v>26.11926651</v>
      </c>
      <c r="BD55" s="172">
        <f t="shared" si="29"/>
        <v>0.9524606489</v>
      </c>
      <c r="BE55" s="110">
        <f t="shared" si="30"/>
        <v>1</v>
      </c>
      <c r="BF55" s="102">
        <v>25.556467056</v>
      </c>
      <c r="BG55" s="172">
        <f t="shared" si="31"/>
        <v>0.9734355486</v>
      </c>
      <c r="BH55" s="110">
        <f t="shared" si="32"/>
        <v>1</v>
      </c>
      <c r="BI55" s="102">
        <v>24.607355118</v>
      </c>
      <c r="BJ55" s="172">
        <f t="shared" si="33"/>
        <v>1.010981205</v>
      </c>
      <c r="BK55" s="110">
        <f t="shared" si="34"/>
        <v>1</v>
      </c>
      <c r="BL55" s="157">
        <v>492.5</v>
      </c>
      <c r="BM55" s="157"/>
      <c r="BN55" s="157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3.21247794117647E-4</v>
      </c>
      <c r="L56" s="103">
        <v>6.68449800782061E-6</v>
      </c>
      <c r="M56" s="102">
        <f t="shared" si="1"/>
        <v>321.2477941</v>
      </c>
      <c r="N56" s="102">
        <v>0.36146339</v>
      </c>
      <c r="O56" s="102">
        <v>343.547180176</v>
      </c>
      <c r="P56" s="102">
        <v>0.388555364</v>
      </c>
      <c r="Q56" s="104">
        <f t="shared" si="2"/>
        <v>0.06941490795</v>
      </c>
      <c r="R56" s="106">
        <f t="shared" si="3"/>
        <v>42.01966993</v>
      </c>
      <c r="S56" s="101">
        <v>1000000.0</v>
      </c>
      <c r="T56" s="108">
        <f t="shared" si="4"/>
        <v>582.2188831</v>
      </c>
      <c r="U56" s="108">
        <f t="shared" si="55"/>
        <v>1</v>
      </c>
      <c r="V56" s="102">
        <f t="shared" si="6"/>
        <v>0.9350907609</v>
      </c>
      <c r="W56" s="101">
        <f t="shared" si="7"/>
        <v>1</v>
      </c>
      <c r="X56" s="88">
        <f t="shared" si="8"/>
        <v>51</v>
      </c>
      <c r="Y56" s="171">
        <v>272.711456299</v>
      </c>
      <c r="Z56" s="172">
        <f t="shared" si="9"/>
        <v>1.177976894</v>
      </c>
      <c r="AA56" s="173">
        <f t="shared" si="10"/>
        <v>0</v>
      </c>
      <c r="AB56" s="171">
        <v>270.955718994</v>
      </c>
      <c r="AC56" s="172">
        <f t="shared" si="11"/>
        <v>1.185609941</v>
      </c>
      <c r="AD56" s="173">
        <f t="shared" si="12"/>
        <v>0</v>
      </c>
      <c r="AE56" s="171">
        <v>270.209350586</v>
      </c>
      <c r="AF56" s="172">
        <f t="shared" si="13"/>
        <v>1.188884816</v>
      </c>
      <c r="AG56" s="173">
        <f t="shared" si="14"/>
        <v>0</v>
      </c>
      <c r="AH56" s="171">
        <v>261.730773926</v>
      </c>
      <c r="AI56" s="172">
        <f t="shared" si="15"/>
        <v>1.227397869</v>
      </c>
      <c r="AJ56" s="173">
        <f t="shared" si="16"/>
        <v>0</v>
      </c>
      <c r="AK56" s="171">
        <v>265.895355225</v>
      </c>
      <c r="AL56" s="172">
        <f t="shared" si="17"/>
        <v>1.208173771</v>
      </c>
      <c r="AM56" s="173">
        <f t="shared" si="18"/>
        <v>0</v>
      </c>
      <c r="AN56" s="171">
        <v>278.438995361</v>
      </c>
      <c r="AO56" s="172">
        <f t="shared" si="19"/>
        <v>1.153745702</v>
      </c>
      <c r="AP56" s="173">
        <f t="shared" si="20"/>
        <v>0</v>
      </c>
      <c r="AQ56" s="171">
        <v>255.473510742</v>
      </c>
      <c r="AR56" s="172">
        <f t="shared" si="21"/>
        <v>1.257460287</v>
      </c>
      <c r="AS56" s="173">
        <f t="shared" si="22"/>
        <v>0</v>
      </c>
      <c r="AT56" s="171">
        <v>280.081298828</v>
      </c>
      <c r="AU56" s="172">
        <f t="shared" si="23"/>
        <v>1.146980521</v>
      </c>
      <c r="AV56" s="173">
        <f t="shared" si="24"/>
        <v>0</v>
      </c>
      <c r="AW56" s="102">
        <v>418.266601562</v>
      </c>
      <c r="AX56" s="172">
        <f t="shared" si="25"/>
        <v>0.7680455311</v>
      </c>
      <c r="AY56" s="110">
        <f t="shared" si="26"/>
        <v>0</v>
      </c>
      <c r="AZ56" s="102">
        <v>314.358856201</v>
      </c>
      <c r="BA56" s="172">
        <f t="shared" si="27"/>
        <v>1.021914248</v>
      </c>
      <c r="BB56" s="110">
        <f t="shared" si="28"/>
        <v>1</v>
      </c>
      <c r="BC56" s="102">
        <v>312.639343262</v>
      </c>
      <c r="BD56" s="172">
        <f t="shared" si="29"/>
        <v>1.027534765</v>
      </c>
      <c r="BE56" s="110">
        <f t="shared" si="30"/>
        <v>1</v>
      </c>
      <c r="BF56" s="102">
        <v>314.884399414</v>
      </c>
      <c r="BG56" s="172">
        <f t="shared" si="31"/>
        <v>1.020208669</v>
      </c>
      <c r="BH56" s="110">
        <f t="shared" si="32"/>
        <v>1</v>
      </c>
      <c r="BI56" s="102">
        <v>345.543243408</v>
      </c>
      <c r="BJ56" s="172">
        <f t="shared" si="33"/>
        <v>0.9296891207</v>
      </c>
      <c r="BK56" s="110">
        <f t="shared" si="34"/>
        <v>1</v>
      </c>
      <c r="BL56" s="157">
        <v>513.2</v>
      </c>
      <c r="BM56" s="157">
        <f t="shared" ref="BM56:BM61" si="56">BL56/(H56*H56*F56*C56)</f>
        <v>68.42666667</v>
      </c>
      <c r="BN56" s="157">
        <f t="shared" ref="BN56:BN61" si="57">BL56/(H56*H56*F56*C56*C56)</f>
        <v>45.61777778</v>
      </c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0.00378316911764705</v>
      </c>
      <c r="L57" s="103">
        <v>6.05853612861939E-5</v>
      </c>
      <c r="M57" s="102">
        <f t="shared" si="1"/>
        <v>3783.169118</v>
      </c>
      <c r="N57" s="102">
        <v>4.202393396</v>
      </c>
      <c r="O57" s="102">
        <v>3791.069824219</v>
      </c>
      <c r="P57" s="102">
        <v>7.021885916</v>
      </c>
      <c r="Q57" s="104">
        <f t="shared" si="2"/>
        <v>0.002088383132</v>
      </c>
      <c r="R57" s="106">
        <f t="shared" si="3"/>
        <v>0.9654627816</v>
      </c>
      <c r="S57" s="101">
        <v>1000000.0</v>
      </c>
      <c r="T57" s="108">
        <f t="shared" si="4"/>
        <v>6856.490655</v>
      </c>
      <c r="U57" s="108">
        <f t="shared" si="55"/>
        <v>11.77648279</v>
      </c>
      <c r="V57" s="102">
        <f t="shared" si="6"/>
        <v>0.9979159691</v>
      </c>
      <c r="W57" s="101">
        <f t="shared" si="7"/>
        <v>1</v>
      </c>
      <c r="X57" s="101">
        <f t="shared" si="8"/>
        <v>52</v>
      </c>
      <c r="Y57" s="171">
        <v>2866.819580078</v>
      </c>
      <c r="Z57" s="172">
        <f t="shared" si="9"/>
        <v>1.319639765</v>
      </c>
      <c r="AA57" s="173">
        <f t="shared" si="10"/>
        <v>0</v>
      </c>
      <c r="AB57" s="171">
        <v>2858.518798828</v>
      </c>
      <c r="AC57" s="172">
        <f t="shared" si="11"/>
        <v>1.323471834</v>
      </c>
      <c r="AD57" s="173">
        <f t="shared" si="12"/>
        <v>0</v>
      </c>
      <c r="AE57" s="171">
        <v>2826.432128906</v>
      </c>
      <c r="AF57" s="172">
        <f t="shared" si="13"/>
        <v>1.33849636</v>
      </c>
      <c r="AG57" s="173">
        <f t="shared" si="14"/>
        <v>0</v>
      </c>
      <c r="AH57" s="171">
        <v>2767.59375</v>
      </c>
      <c r="AI57" s="172">
        <f t="shared" si="15"/>
        <v>1.366952472</v>
      </c>
      <c r="AJ57" s="173">
        <f t="shared" si="16"/>
        <v>0</v>
      </c>
      <c r="AK57" s="171">
        <v>2807.389404297</v>
      </c>
      <c r="AL57" s="172">
        <f t="shared" si="17"/>
        <v>1.347575478</v>
      </c>
      <c r="AM57" s="173">
        <f t="shared" si="18"/>
        <v>0</v>
      </c>
      <c r="AN57" s="171">
        <v>2931.967285156</v>
      </c>
      <c r="AO57" s="172">
        <f t="shared" si="19"/>
        <v>1.290317643</v>
      </c>
      <c r="AP57" s="173">
        <f t="shared" si="20"/>
        <v>0</v>
      </c>
      <c r="AQ57" s="171">
        <v>2711.474853516</v>
      </c>
      <c r="AR57" s="172">
        <f t="shared" si="21"/>
        <v>1.395244036</v>
      </c>
      <c r="AS57" s="173">
        <f t="shared" si="22"/>
        <v>0</v>
      </c>
      <c r="AT57" s="171">
        <v>2954.625244141</v>
      </c>
      <c r="AU57" s="172">
        <f t="shared" si="23"/>
        <v>1.280422661</v>
      </c>
      <c r="AV57" s="173">
        <f t="shared" si="24"/>
        <v>0</v>
      </c>
      <c r="AW57" s="102">
        <v>4472.919921875</v>
      </c>
      <c r="AX57" s="172">
        <f t="shared" si="25"/>
        <v>0.8457940638</v>
      </c>
      <c r="AY57" s="110">
        <f t="shared" si="26"/>
        <v>0</v>
      </c>
      <c r="AZ57" s="102">
        <v>3570.597412109</v>
      </c>
      <c r="BA57" s="172">
        <f t="shared" si="27"/>
        <v>1.059533933</v>
      </c>
      <c r="BB57" s="110">
        <f t="shared" si="28"/>
        <v>1</v>
      </c>
      <c r="BC57" s="102">
        <v>3565.006591797</v>
      </c>
      <c r="BD57" s="172">
        <f t="shared" si="29"/>
        <v>1.061195546</v>
      </c>
      <c r="BE57" s="110">
        <f t="shared" si="30"/>
        <v>1</v>
      </c>
      <c r="BF57" s="102">
        <v>3590.312255859</v>
      </c>
      <c r="BG57" s="172">
        <f t="shared" si="31"/>
        <v>1.053715902</v>
      </c>
      <c r="BH57" s="110">
        <f t="shared" si="32"/>
        <v>1</v>
      </c>
      <c r="BI57" s="102">
        <v>3987.442382812</v>
      </c>
      <c r="BJ57" s="172">
        <f t="shared" si="33"/>
        <v>0.9487708547</v>
      </c>
      <c r="BK57" s="110">
        <f t="shared" si="34"/>
        <v>1</v>
      </c>
      <c r="BL57" s="157">
        <v>678.3</v>
      </c>
      <c r="BM57" s="157">
        <f t="shared" si="56"/>
        <v>30.14666667</v>
      </c>
      <c r="BN57" s="157">
        <f t="shared" si="57"/>
        <v>20.09777778</v>
      </c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0.0190450735294117</v>
      </c>
      <c r="L58" s="103">
        <v>2.88040625538801E-4</v>
      </c>
      <c r="M58" s="102">
        <f t="shared" si="1"/>
        <v>19045.07353</v>
      </c>
      <c r="N58" s="102">
        <v>20.920825312</v>
      </c>
      <c r="O58" s="102">
        <v>17953.31640625</v>
      </c>
      <c r="P58" s="102">
        <v>48.380288413</v>
      </c>
      <c r="Q58" s="104">
        <f t="shared" si="2"/>
        <v>-0.05732490985</v>
      </c>
      <c r="R58" s="106">
        <f t="shared" si="3"/>
        <v>-20.71256417</v>
      </c>
      <c r="S58" s="101">
        <v>1000000.0</v>
      </c>
      <c r="T58" s="108">
        <f t="shared" si="4"/>
        <v>34516.66173</v>
      </c>
      <c r="U58" s="108">
        <f t="shared" si="55"/>
        <v>59.28468266</v>
      </c>
      <c r="V58" s="102">
        <f t="shared" si="6"/>
        <v>1.060810889</v>
      </c>
      <c r="W58" s="101">
        <f t="shared" si="7"/>
        <v>1</v>
      </c>
      <c r="X58" s="101">
        <f t="shared" si="8"/>
        <v>53</v>
      </c>
      <c r="Y58" s="171">
        <v>11351.862304688</v>
      </c>
      <c r="Z58" s="172">
        <f t="shared" si="9"/>
        <v>1.677704769</v>
      </c>
      <c r="AA58" s="173">
        <f t="shared" si="10"/>
        <v>0</v>
      </c>
      <c r="AB58" s="171">
        <v>11363.6171875</v>
      </c>
      <c r="AC58" s="172">
        <f t="shared" si="11"/>
        <v>1.675969299</v>
      </c>
      <c r="AD58" s="173">
        <f t="shared" si="12"/>
        <v>0</v>
      </c>
      <c r="AE58" s="171">
        <v>11161.249023438</v>
      </c>
      <c r="AF58" s="172">
        <f t="shared" si="13"/>
        <v>1.706356832</v>
      </c>
      <c r="AG58" s="173">
        <f t="shared" si="14"/>
        <v>0</v>
      </c>
      <c r="AH58" s="171">
        <v>11029.51953125</v>
      </c>
      <c r="AI58" s="172">
        <f t="shared" si="15"/>
        <v>1.726736462</v>
      </c>
      <c r="AJ58" s="173">
        <f t="shared" si="16"/>
        <v>0</v>
      </c>
      <c r="AK58" s="171">
        <v>11165.266601562</v>
      </c>
      <c r="AL58" s="172">
        <f t="shared" si="17"/>
        <v>1.705742837</v>
      </c>
      <c r="AM58" s="173">
        <f t="shared" si="18"/>
        <v>0</v>
      </c>
      <c r="AN58" s="171">
        <v>11633.69140625</v>
      </c>
      <c r="AO58" s="172">
        <f t="shared" si="19"/>
        <v>1.637061949</v>
      </c>
      <c r="AP58" s="173">
        <f t="shared" si="20"/>
        <v>0</v>
      </c>
      <c r="AQ58" s="171">
        <v>10826.615234375</v>
      </c>
      <c r="AR58" s="172">
        <f t="shared" si="21"/>
        <v>1.75909766</v>
      </c>
      <c r="AS58" s="173">
        <f t="shared" si="22"/>
        <v>0</v>
      </c>
      <c r="AT58" s="171">
        <v>11724.1796875</v>
      </c>
      <c r="AU58" s="172">
        <f t="shared" si="23"/>
        <v>1.624426957</v>
      </c>
      <c r="AV58" s="173">
        <f t="shared" si="24"/>
        <v>0</v>
      </c>
      <c r="AW58" s="102">
        <v>20777.486328125</v>
      </c>
      <c r="AX58" s="172">
        <f t="shared" si="25"/>
        <v>0.9166206744</v>
      </c>
      <c r="AY58" s="110">
        <f t="shared" si="26"/>
        <v>1</v>
      </c>
      <c r="AZ58" s="102">
        <v>16983.654296875</v>
      </c>
      <c r="BA58" s="172">
        <f t="shared" si="27"/>
        <v>1.12137666</v>
      </c>
      <c r="BB58" s="110">
        <f t="shared" si="28"/>
        <v>0</v>
      </c>
      <c r="BC58" s="102">
        <v>16992.939453125</v>
      </c>
      <c r="BD58" s="172">
        <f t="shared" si="29"/>
        <v>1.120763926</v>
      </c>
      <c r="BE58" s="110">
        <f t="shared" si="30"/>
        <v>0</v>
      </c>
      <c r="BF58" s="102">
        <v>17096.681640625</v>
      </c>
      <c r="BG58" s="172">
        <f t="shared" si="31"/>
        <v>1.113963161</v>
      </c>
      <c r="BH58" s="110">
        <f t="shared" si="32"/>
        <v>0</v>
      </c>
      <c r="BI58" s="174">
        <v>19019.822265625</v>
      </c>
      <c r="BJ58" s="175">
        <f t="shared" si="33"/>
        <v>1.001327629</v>
      </c>
      <c r="BK58" s="176">
        <f t="shared" si="34"/>
        <v>1</v>
      </c>
      <c r="BL58" s="177">
        <v>1008.0</v>
      </c>
      <c r="BM58" s="177">
        <f t="shared" si="56"/>
        <v>26.88</v>
      </c>
      <c r="BN58" s="177">
        <f t="shared" si="57"/>
        <v>17.92</v>
      </c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0.0653731617647058</v>
      </c>
      <c r="L59" s="103">
        <v>0.00139856842267284</v>
      </c>
      <c r="M59" s="102">
        <f t="shared" si="1"/>
        <v>65373.16176</v>
      </c>
      <c r="N59" s="102">
        <v>71.344028518</v>
      </c>
      <c r="O59" s="102">
        <v>57196.21484375</v>
      </c>
      <c r="P59" s="102">
        <v>180.632434348</v>
      </c>
      <c r="Q59" s="104">
        <f t="shared" si="2"/>
        <v>-0.125081099</v>
      </c>
      <c r="R59" s="106">
        <f t="shared" si="3"/>
        <v>-42.10334313</v>
      </c>
      <c r="S59" s="101">
        <v>1000000.0</v>
      </c>
      <c r="T59" s="108">
        <f t="shared" si="4"/>
        <v>118480.1575</v>
      </c>
      <c r="U59" s="108">
        <f t="shared" si="55"/>
        <v>203.4976207</v>
      </c>
      <c r="V59" s="102">
        <f t="shared" si="6"/>
        <v>1.142963078</v>
      </c>
      <c r="W59" s="101">
        <f t="shared" si="7"/>
        <v>0</v>
      </c>
      <c r="X59" s="101">
        <f t="shared" si="8"/>
        <v>54</v>
      </c>
      <c r="Y59" s="171">
        <v>26557.634765625</v>
      </c>
      <c r="Z59" s="172">
        <f t="shared" si="9"/>
        <v>2.46155813</v>
      </c>
      <c r="AA59" s="173">
        <f t="shared" si="10"/>
        <v>0</v>
      </c>
      <c r="AB59" s="171">
        <v>26643.826171875</v>
      </c>
      <c r="AC59" s="172">
        <f t="shared" si="11"/>
        <v>2.453595116</v>
      </c>
      <c r="AD59" s="173">
        <f t="shared" si="12"/>
        <v>0</v>
      </c>
      <c r="AE59" s="171">
        <v>26076.9453125</v>
      </c>
      <c r="AF59" s="172">
        <f t="shared" si="13"/>
        <v>2.506933269</v>
      </c>
      <c r="AG59" s="173">
        <f t="shared" si="14"/>
        <v>0</v>
      </c>
      <c r="AH59" s="171">
        <v>25870.65625</v>
      </c>
      <c r="AI59" s="172">
        <f t="shared" si="15"/>
        <v>2.526923211</v>
      </c>
      <c r="AJ59" s="173">
        <f t="shared" si="16"/>
        <v>0</v>
      </c>
      <c r="AK59" s="171">
        <v>26185.017578125</v>
      </c>
      <c r="AL59" s="172">
        <f t="shared" si="17"/>
        <v>2.496586514</v>
      </c>
      <c r="AM59" s="173">
        <f t="shared" si="18"/>
        <v>0</v>
      </c>
      <c r="AN59" s="171">
        <v>27247.361328125</v>
      </c>
      <c r="AO59" s="172">
        <f t="shared" si="19"/>
        <v>2.399247435</v>
      </c>
      <c r="AP59" s="173">
        <f t="shared" si="20"/>
        <v>0</v>
      </c>
      <c r="AQ59" s="171">
        <v>25457.96484375</v>
      </c>
      <c r="AR59" s="172">
        <f t="shared" si="21"/>
        <v>2.567886403</v>
      </c>
      <c r="AS59" s="173">
        <f t="shared" si="22"/>
        <v>0</v>
      </c>
      <c r="AT59" s="171">
        <v>27467.23046875</v>
      </c>
      <c r="AU59" s="172">
        <f t="shared" si="23"/>
        <v>2.380041986</v>
      </c>
      <c r="AV59" s="173">
        <f t="shared" si="24"/>
        <v>0</v>
      </c>
      <c r="AW59" s="102">
        <v>65779.0</v>
      </c>
      <c r="AX59" s="172">
        <f t="shared" si="25"/>
        <v>0.9938302766</v>
      </c>
      <c r="AY59" s="110">
        <f t="shared" si="26"/>
        <v>1</v>
      </c>
      <c r="AZ59" s="102">
        <v>54369.88671875</v>
      </c>
      <c r="BA59" s="172">
        <f t="shared" si="27"/>
        <v>1.202378112</v>
      </c>
      <c r="BB59" s="110">
        <f t="shared" si="28"/>
        <v>0</v>
      </c>
      <c r="BC59" s="102">
        <v>54448.46875</v>
      </c>
      <c r="BD59" s="172">
        <f t="shared" si="29"/>
        <v>1.200642796</v>
      </c>
      <c r="BE59" s="110">
        <f t="shared" si="30"/>
        <v>0</v>
      </c>
      <c r="BF59" s="102">
        <v>54737.8984375</v>
      </c>
      <c r="BG59" s="172">
        <f t="shared" si="31"/>
        <v>1.19429433</v>
      </c>
      <c r="BH59" s="110">
        <f t="shared" si="32"/>
        <v>0</v>
      </c>
      <c r="BI59" s="102">
        <v>60937.88671875</v>
      </c>
      <c r="BJ59" s="172">
        <f t="shared" si="33"/>
        <v>1.072783539</v>
      </c>
      <c r="BK59" s="110">
        <f t="shared" si="34"/>
        <v>1</v>
      </c>
      <c r="BL59" s="157">
        <v>1503.0</v>
      </c>
      <c r="BM59" s="157">
        <f t="shared" si="56"/>
        <v>28.62857143</v>
      </c>
      <c r="BN59" s="157">
        <f t="shared" si="57"/>
        <v>19.08571429</v>
      </c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0.173304411764705</v>
      </c>
      <c r="L60" s="103">
        <v>0.00325282481560962</v>
      </c>
      <c r="M60" s="102">
        <f t="shared" si="1"/>
        <v>173304.4118</v>
      </c>
      <c r="N60" s="102">
        <v>188.554061386</v>
      </c>
      <c r="O60" s="102">
        <v>143596.0</v>
      </c>
      <c r="P60" s="102">
        <v>487.063635111</v>
      </c>
      <c r="Q60" s="104">
        <f t="shared" si="2"/>
        <v>-0.1714232861</v>
      </c>
      <c r="R60" s="106">
        <f t="shared" si="3"/>
        <v>-56.8814019</v>
      </c>
      <c r="S60" s="101">
        <v>1000000.0</v>
      </c>
      <c r="T60" s="108">
        <f t="shared" si="4"/>
        <v>314091.1873</v>
      </c>
      <c r="U60" s="108">
        <f t="shared" si="55"/>
        <v>539.4726904</v>
      </c>
      <c r="V60" s="102">
        <f t="shared" si="6"/>
        <v>1.206888853</v>
      </c>
      <c r="W60" s="101">
        <f t="shared" si="7"/>
        <v>0</v>
      </c>
      <c r="X60" s="101">
        <f t="shared" si="8"/>
        <v>55</v>
      </c>
      <c r="Y60" s="171">
        <v>43737.28125</v>
      </c>
      <c r="Z60" s="172">
        <f t="shared" si="9"/>
        <v>3.962395622</v>
      </c>
      <c r="AA60" s="173">
        <f t="shared" si="10"/>
        <v>0</v>
      </c>
      <c r="AB60" s="171">
        <v>43846.30078125</v>
      </c>
      <c r="AC60" s="172">
        <f t="shared" si="11"/>
        <v>3.952543514</v>
      </c>
      <c r="AD60" s="173">
        <f t="shared" si="12"/>
        <v>0</v>
      </c>
      <c r="AE60" s="171">
        <v>42976.34765625</v>
      </c>
      <c r="AF60" s="172">
        <f t="shared" si="13"/>
        <v>4.032553281</v>
      </c>
      <c r="AG60" s="173">
        <f t="shared" si="14"/>
        <v>0</v>
      </c>
      <c r="AH60" s="171">
        <v>42760.19140625</v>
      </c>
      <c r="AI60" s="172">
        <f t="shared" si="15"/>
        <v>4.052938167</v>
      </c>
      <c r="AJ60" s="173">
        <f t="shared" si="16"/>
        <v>0</v>
      </c>
      <c r="AK60" s="171">
        <v>43218.34765625</v>
      </c>
      <c r="AL60" s="172">
        <f t="shared" si="17"/>
        <v>4.009973105</v>
      </c>
      <c r="AM60" s="173">
        <f t="shared" si="18"/>
        <v>0</v>
      </c>
      <c r="AN60" s="171">
        <v>44862.11328125</v>
      </c>
      <c r="AO60" s="172">
        <f t="shared" si="19"/>
        <v>3.8630461</v>
      </c>
      <c r="AP60" s="173">
        <f t="shared" si="20"/>
        <v>0</v>
      </c>
      <c r="AQ60" s="171">
        <v>42114.59375</v>
      </c>
      <c r="AR60" s="172">
        <f t="shared" si="21"/>
        <v>4.115067874</v>
      </c>
      <c r="AS60" s="173">
        <f t="shared" si="22"/>
        <v>0</v>
      </c>
      <c r="AT60" s="171">
        <v>45356.09375</v>
      </c>
      <c r="AU60" s="172">
        <f t="shared" si="23"/>
        <v>3.820973048</v>
      </c>
      <c r="AV60" s="173">
        <f t="shared" si="24"/>
        <v>0</v>
      </c>
      <c r="AW60" s="102">
        <v>163867.28125</v>
      </c>
      <c r="AX60" s="172">
        <f t="shared" si="25"/>
        <v>1.057590084</v>
      </c>
      <c r="AY60" s="110">
        <f t="shared" si="26"/>
        <v>1</v>
      </c>
      <c r="AZ60" s="102">
        <v>136205.15625</v>
      </c>
      <c r="BA60" s="172">
        <f t="shared" si="27"/>
        <v>1.272377761</v>
      </c>
      <c r="BB60" s="110">
        <f t="shared" si="28"/>
        <v>0</v>
      </c>
      <c r="BC60" s="102">
        <v>136516.59375</v>
      </c>
      <c r="BD60" s="172">
        <f t="shared" si="29"/>
        <v>1.269475065</v>
      </c>
      <c r="BE60" s="110">
        <f t="shared" si="30"/>
        <v>0</v>
      </c>
      <c r="BF60" s="102">
        <v>137168.125</v>
      </c>
      <c r="BG60" s="172">
        <f t="shared" si="31"/>
        <v>1.263445219</v>
      </c>
      <c r="BH60" s="110">
        <f t="shared" si="32"/>
        <v>0</v>
      </c>
      <c r="BI60" s="102">
        <v>152768.328125</v>
      </c>
      <c r="BJ60" s="172">
        <f t="shared" si="33"/>
        <v>1.134426317</v>
      </c>
      <c r="BK60" s="110">
        <f t="shared" si="34"/>
        <v>0</v>
      </c>
      <c r="BL60" s="157">
        <v>2163.0</v>
      </c>
      <c r="BM60" s="157">
        <f t="shared" si="56"/>
        <v>32.04444444</v>
      </c>
      <c r="BN60" s="157">
        <f t="shared" si="57"/>
        <v>21.36296296</v>
      </c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0.380977205882353</v>
      </c>
      <c r="L61" s="103">
        <v>0.00552780134326766</v>
      </c>
      <c r="M61" s="102">
        <f t="shared" si="1"/>
        <v>380977.2059</v>
      </c>
      <c r="N61" s="102">
        <v>413.496973772</v>
      </c>
      <c r="O61" s="102">
        <v>304509.5625</v>
      </c>
      <c r="P61" s="102">
        <v>1078.294774766</v>
      </c>
      <c r="Q61" s="104">
        <f t="shared" si="2"/>
        <v>-0.2007144842</v>
      </c>
      <c r="R61" s="106">
        <f t="shared" si="3"/>
        <v>-66.21383364</v>
      </c>
      <c r="S61" s="101">
        <v>1000000.0</v>
      </c>
      <c r="T61" s="108">
        <f t="shared" si="4"/>
        <v>690470.4946</v>
      </c>
      <c r="U61" s="108">
        <f t="shared" si="55"/>
        <v>1185.929407</v>
      </c>
      <c r="V61" s="102">
        <f t="shared" si="6"/>
        <v>1.25111738</v>
      </c>
      <c r="W61" s="101">
        <f t="shared" si="7"/>
        <v>0</v>
      </c>
      <c r="X61" s="101">
        <f t="shared" si="8"/>
        <v>56</v>
      </c>
      <c r="Y61" s="171">
        <v>58297.8515625</v>
      </c>
      <c r="Z61" s="172">
        <f t="shared" si="9"/>
        <v>6.535012795</v>
      </c>
      <c r="AA61" s="173">
        <f t="shared" si="10"/>
        <v>0</v>
      </c>
      <c r="AB61" s="171">
        <v>58443.90625</v>
      </c>
      <c r="AC61" s="172">
        <f t="shared" si="11"/>
        <v>6.518681422</v>
      </c>
      <c r="AD61" s="173">
        <f t="shared" si="12"/>
        <v>0</v>
      </c>
      <c r="AE61" s="171">
        <v>57184.49609375</v>
      </c>
      <c r="AF61" s="172">
        <f t="shared" si="13"/>
        <v>6.662246446</v>
      </c>
      <c r="AG61" s="173">
        <f t="shared" si="14"/>
        <v>0</v>
      </c>
      <c r="AH61" s="171">
        <v>57132.03515625</v>
      </c>
      <c r="AI61" s="172">
        <f t="shared" si="15"/>
        <v>6.668363989</v>
      </c>
      <c r="AJ61" s="173">
        <f t="shared" si="16"/>
        <v>0</v>
      </c>
      <c r="AK61" s="171">
        <v>57596.3046875</v>
      </c>
      <c r="AL61" s="172">
        <f t="shared" si="17"/>
        <v>6.614611961</v>
      </c>
      <c r="AM61" s="173">
        <f t="shared" si="18"/>
        <v>0</v>
      </c>
      <c r="AN61" s="171">
        <v>59855.9921875</v>
      </c>
      <c r="AO61" s="172">
        <f t="shared" si="19"/>
        <v>6.364896679</v>
      </c>
      <c r="AP61" s="173">
        <f t="shared" si="20"/>
        <v>0</v>
      </c>
      <c r="AQ61" s="171">
        <v>56215.9921875</v>
      </c>
      <c r="AR61" s="172">
        <f t="shared" si="21"/>
        <v>6.777025381</v>
      </c>
      <c r="AS61" s="173">
        <f t="shared" si="22"/>
        <v>0</v>
      </c>
      <c r="AT61" s="171">
        <v>60448.08984375</v>
      </c>
      <c r="AU61" s="172">
        <f t="shared" si="23"/>
        <v>6.302551609</v>
      </c>
      <c r="AV61" s="173">
        <f t="shared" si="24"/>
        <v>0</v>
      </c>
      <c r="AW61" s="102">
        <v>347458.84375</v>
      </c>
      <c r="AX61" s="172">
        <f t="shared" si="25"/>
        <v>1.096467143</v>
      </c>
      <c r="AY61" s="110">
        <f t="shared" si="26"/>
        <v>1</v>
      </c>
      <c r="AZ61" s="102">
        <v>289837.71875</v>
      </c>
      <c r="BA61" s="172">
        <f t="shared" si="27"/>
        <v>1.314450057</v>
      </c>
      <c r="BB61" s="110">
        <f t="shared" si="28"/>
        <v>0</v>
      </c>
      <c r="BC61" s="102">
        <v>290475.75</v>
      </c>
      <c r="BD61" s="172">
        <f t="shared" si="29"/>
        <v>1.311562862</v>
      </c>
      <c r="BE61" s="110">
        <f t="shared" si="30"/>
        <v>0</v>
      </c>
      <c r="BF61" s="102">
        <v>291856.8125</v>
      </c>
      <c r="BG61" s="172">
        <f t="shared" si="31"/>
        <v>1.305356564</v>
      </c>
      <c r="BH61" s="110">
        <f t="shared" si="32"/>
        <v>0</v>
      </c>
      <c r="BI61" s="102">
        <v>325138.96875</v>
      </c>
      <c r="BJ61" s="172">
        <f t="shared" si="33"/>
        <v>1.171736527</v>
      </c>
      <c r="BK61" s="110">
        <f t="shared" si="34"/>
        <v>0</v>
      </c>
      <c r="BL61" s="157">
        <v>2988.0</v>
      </c>
      <c r="BM61" s="157">
        <f t="shared" si="56"/>
        <v>36.21818182</v>
      </c>
      <c r="BN61" s="157">
        <f t="shared" si="57"/>
        <v>24.14545455</v>
      </c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1.62430147058823E-6</v>
      </c>
      <c r="L62" s="117">
        <v>3.12398889960898E-8</v>
      </c>
      <c r="M62" s="116">
        <f t="shared" si="1"/>
        <v>1.624301471</v>
      </c>
      <c r="N62" s="116">
        <v>0.001852397</v>
      </c>
      <c r="O62" s="116">
        <v>0.550592065</v>
      </c>
      <c r="P62" s="116">
        <v>6.21689E-4</v>
      </c>
      <c r="Q62" s="118">
        <f t="shared" si="2"/>
        <v>-0.6610284021</v>
      </c>
      <c r="R62" s="119">
        <f t="shared" si="3"/>
        <v>-549.5106117</v>
      </c>
      <c r="S62" s="4">
        <v>1000000.0</v>
      </c>
      <c r="T62" s="120">
        <f t="shared" si="4"/>
        <v>2.943830294</v>
      </c>
      <c r="V62" s="1">
        <f t="shared" si="6"/>
        <v>2.950099672</v>
      </c>
      <c r="W62" s="121">
        <f t="shared" si="7"/>
        <v>0</v>
      </c>
      <c r="X62" s="121">
        <f t="shared" si="8"/>
        <v>57</v>
      </c>
      <c r="Y62" s="178">
        <v>0.523056805</v>
      </c>
      <c r="Z62" s="1">
        <f t="shared" si="9"/>
        <v>3.10540166</v>
      </c>
      <c r="AA62" s="77">
        <f t="shared" si="10"/>
        <v>0</v>
      </c>
      <c r="AB62" s="178">
        <v>26.814144135</v>
      </c>
      <c r="AC62" s="1">
        <f t="shared" si="11"/>
        <v>0.06057629371</v>
      </c>
      <c r="AD62" s="77">
        <f t="shared" si="12"/>
        <v>0</v>
      </c>
      <c r="AE62" s="178">
        <v>2.50749588</v>
      </c>
      <c r="AF62" s="1">
        <f t="shared" si="13"/>
        <v>0.6477783208</v>
      </c>
      <c r="AG62" s="77">
        <f t="shared" si="14"/>
        <v>0</v>
      </c>
      <c r="AH62" s="178">
        <v>128.63470459</v>
      </c>
      <c r="AI62" s="1">
        <f t="shared" si="15"/>
        <v>0.01262724143</v>
      </c>
      <c r="AJ62" s="77">
        <f t="shared" si="16"/>
        <v>0</v>
      </c>
      <c r="AK62" s="178">
        <v>7.648821354</v>
      </c>
      <c r="AL62" s="1">
        <f t="shared" si="17"/>
        <v>0.2123597082</v>
      </c>
      <c r="AM62" s="77">
        <f t="shared" si="18"/>
        <v>0</v>
      </c>
      <c r="AN62" s="178">
        <v>427.127288818</v>
      </c>
      <c r="AO62" s="1">
        <f t="shared" si="19"/>
        <v>0.003802851078</v>
      </c>
      <c r="AP62" s="77">
        <f t="shared" si="20"/>
        <v>0</v>
      </c>
      <c r="AQ62" s="178">
        <v>17.670660019</v>
      </c>
      <c r="AR62" s="1">
        <f t="shared" si="21"/>
        <v>0.091920815</v>
      </c>
      <c r="AS62" s="77">
        <f t="shared" si="22"/>
        <v>0</v>
      </c>
      <c r="AT62" s="178">
        <v>39.603427887</v>
      </c>
      <c r="AU62" s="1">
        <f t="shared" si="23"/>
        <v>0.0410141636</v>
      </c>
      <c r="AV62" s="77">
        <f t="shared" si="24"/>
        <v>0</v>
      </c>
      <c r="AW62" s="116">
        <v>2.077682734</v>
      </c>
      <c r="AX62" s="1">
        <f t="shared" si="25"/>
        <v>0.7817851321</v>
      </c>
      <c r="AY62" s="121">
        <f t="shared" si="26"/>
        <v>0</v>
      </c>
      <c r="AZ62" s="116">
        <v>27.185256958</v>
      </c>
      <c r="BA62" s="1">
        <f t="shared" si="27"/>
        <v>0.05974935139</v>
      </c>
      <c r="BB62" s="121">
        <f t="shared" si="28"/>
        <v>0</v>
      </c>
      <c r="BC62" s="116">
        <v>435.250610352</v>
      </c>
      <c r="BD62" s="1">
        <f t="shared" si="29"/>
        <v>0.003731876376</v>
      </c>
      <c r="BE62" s="121">
        <f t="shared" si="30"/>
        <v>0</v>
      </c>
      <c r="BF62" s="116">
        <v>2215.812744141</v>
      </c>
      <c r="BG62" s="1">
        <f t="shared" si="31"/>
        <v>0.0007330499722</v>
      </c>
      <c r="BH62" s="121">
        <f t="shared" si="32"/>
        <v>0</v>
      </c>
      <c r="BI62" s="116">
        <v>19019.822265625</v>
      </c>
      <c r="BJ62" s="1">
        <f t="shared" si="33"/>
        <v>0.00008540045474</v>
      </c>
      <c r="BK62" s="121">
        <f t="shared" si="34"/>
        <v>0</v>
      </c>
      <c r="BL62" s="159">
        <v>30.46</v>
      </c>
      <c r="BM62" s="159"/>
      <c r="BN62" s="159"/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1.62430147058823E-6</v>
      </c>
      <c r="L63" s="117">
        <v>3.12398889960898E-8</v>
      </c>
      <c r="M63" s="116">
        <f t="shared" si="1"/>
        <v>1.624301471</v>
      </c>
      <c r="N63" s="116">
        <v>0.001852397</v>
      </c>
      <c r="O63" s="116">
        <v>0.550592065</v>
      </c>
      <c r="P63" s="116">
        <v>6.21689E-4</v>
      </c>
      <c r="Q63" s="118">
        <f t="shared" si="2"/>
        <v>-0.6610284021</v>
      </c>
      <c r="R63" s="119">
        <f t="shared" si="3"/>
        <v>-549.5106117</v>
      </c>
      <c r="S63" s="4">
        <v>1000000.0</v>
      </c>
      <c r="T63" s="120">
        <f t="shared" si="4"/>
        <v>2.943830294</v>
      </c>
      <c r="V63" s="1">
        <f t="shared" si="6"/>
        <v>2.950099672</v>
      </c>
      <c r="W63" s="121">
        <f t="shared" si="7"/>
        <v>0</v>
      </c>
      <c r="X63" s="121">
        <f t="shared" si="8"/>
        <v>58</v>
      </c>
      <c r="Y63" s="178">
        <v>0.523056805</v>
      </c>
      <c r="Z63" s="1">
        <f t="shared" si="9"/>
        <v>3.10540166</v>
      </c>
      <c r="AA63" s="77">
        <f t="shared" si="10"/>
        <v>0</v>
      </c>
      <c r="AB63" s="178">
        <v>26.814144135</v>
      </c>
      <c r="AC63" s="1">
        <f t="shared" si="11"/>
        <v>0.06057629371</v>
      </c>
      <c r="AD63" s="77">
        <f t="shared" si="12"/>
        <v>0</v>
      </c>
      <c r="AE63" s="178">
        <v>2.50749588</v>
      </c>
      <c r="AF63" s="1">
        <f t="shared" si="13"/>
        <v>0.6477783208</v>
      </c>
      <c r="AG63" s="77">
        <f t="shared" si="14"/>
        <v>0</v>
      </c>
      <c r="AH63" s="178">
        <v>128.63470459</v>
      </c>
      <c r="AI63" s="1">
        <f t="shared" si="15"/>
        <v>0.01262724143</v>
      </c>
      <c r="AJ63" s="77">
        <f t="shared" si="16"/>
        <v>0</v>
      </c>
      <c r="AK63" s="178">
        <v>7.648821354</v>
      </c>
      <c r="AL63" s="1">
        <f t="shared" si="17"/>
        <v>0.2123597082</v>
      </c>
      <c r="AM63" s="77">
        <f t="shared" si="18"/>
        <v>0</v>
      </c>
      <c r="AN63" s="178">
        <v>427.127288818</v>
      </c>
      <c r="AO63" s="1">
        <f t="shared" si="19"/>
        <v>0.003802851078</v>
      </c>
      <c r="AP63" s="77">
        <f t="shared" si="20"/>
        <v>0</v>
      </c>
      <c r="AQ63" s="178">
        <v>17.670660019</v>
      </c>
      <c r="AR63" s="1">
        <f t="shared" si="21"/>
        <v>0.091920815</v>
      </c>
      <c r="AS63" s="77">
        <f t="shared" si="22"/>
        <v>0</v>
      </c>
      <c r="AT63" s="178">
        <v>39.603427887</v>
      </c>
      <c r="AU63" s="1">
        <f t="shared" si="23"/>
        <v>0.0410141636</v>
      </c>
      <c r="AV63" s="77">
        <f t="shared" si="24"/>
        <v>0</v>
      </c>
      <c r="AW63" s="116">
        <v>2.077682734</v>
      </c>
      <c r="AX63" s="1">
        <f t="shared" si="25"/>
        <v>0.7817851321</v>
      </c>
      <c r="AY63" s="121">
        <f t="shared" si="26"/>
        <v>0</v>
      </c>
      <c r="AZ63" s="116">
        <v>27.185256958</v>
      </c>
      <c r="BA63" s="1">
        <f t="shared" si="27"/>
        <v>0.05974935139</v>
      </c>
      <c r="BB63" s="121">
        <f t="shared" si="28"/>
        <v>0</v>
      </c>
      <c r="BC63" s="116">
        <v>435.250610352</v>
      </c>
      <c r="BD63" s="1">
        <f t="shared" si="29"/>
        <v>0.003731876376</v>
      </c>
      <c r="BE63" s="121">
        <f t="shared" si="30"/>
        <v>0</v>
      </c>
      <c r="BF63" s="116">
        <v>2215.812744141</v>
      </c>
      <c r="BG63" s="1">
        <f t="shared" si="31"/>
        <v>0.0007330499722</v>
      </c>
      <c r="BH63" s="121">
        <f t="shared" si="32"/>
        <v>0</v>
      </c>
      <c r="BI63" s="116">
        <v>19019.822265625</v>
      </c>
      <c r="BJ63" s="1">
        <f t="shared" si="33"/>
        <v>0.00008540045474</v>
      </c>
      <c r="BK63" s="121">
        <f t="shared" si="34"/>
        <v>0</v>
      </c>
      <c r="BL63" s="159">
        <v>30.46</v>
      </c>
      <c r="BM63" s="159"/>
      <c r="BN63" s="159"/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1.83374264705882E-5</v>
      </c>
      <c r="L64" s="117">
        <v>3.54022381220776E-7</v>
      </c>
      <c r="M64" s="116">
        <f t="shared" si="1"/>
        <v>18.33742647</v>
      </c>
      <c r="N64" s="116">
        <v>0.019866376</v>
      </c>
      <c r="O64" s="116">
        <v>18.410915375</v>
      </c>
      <c r="P64" s="116">
        <v>0.071200997</v>
      </c>
      <c r="Q64" s="118">
        <f t="shared" si="2"/>
        <v>0.004007590952</v>
      </c>
      <c r="R64" s="119">
        <f t="shared" si="3"/>
        <v>0.9941600311</v>
      </c>
      <c r="S64" s="4">
        <v>250210.0</v>
      </c>
      <c r="T64" s="120">
        <f t="shared" si="4"/>
        <v>33.23414559</v>
      </c>
      <c r="V64" s="1">
        <f t="shared" si="6"/>
        <v>0.9960084057</v>
      </c>
      <c r="W64" s="121">
        <f t="shared" si="7"/>
        <v>1</v>
      </c>
      <c r="X64" s="121">
        <f t="shared" si="8"/>
        <v>59</v>
      </c>
      <c r="Y64" s="178">
        <v>18.357582092</v>
      </c>
      <c r="Z64" s="1">
        <f t="shared" si="9"/>
        <v>0.9989020547</v>
      </c>
      <c r="AA64" s="77">
        <f t="shared" si="10"/>
        <v>1</v>
      </c>
      <c r="AB64" s="178">
        <v>18.392244339</v>
      </c>
      <c r="AC64" s="1">
        <f t="shared" si="11"/>
        <v>0.9970195117</v>
      </c>
      <c r="AD64" s="77">
        <f t="shared" si="12"/>
        <v>1</v>
      </c>
      <c r="AE64" s="178">
        <v>86.247169495</v>
      </c>
      <c r="AF64" s="1">
        <f t="shared" si="13"/>
        <v>0.2126148206</v>
      </c>
      <c r="AG64" s="77">
        <f t="shared" si="14"/>
        <v>0</v>
      </c>
      <c r="AH64" s="178">
        <v>85.962249756</v>
      </c>
      <c r="AI64" s="1">
        <f t="shared" si="15"/>
        <v>0.2133195271</v>
      </c>
      <c r="AJ64" s="77">
        <f t="shared" si="16"/>
        <v>0</v>
      </c>
      <c r="AK64" s="178">
        <v>269.922210693</v>
      </c>
      <c r="AL64" s="1">
        <f t="shared" si="17"/>
        <v>0.06793596727</v>
      </c>
      <c r="AM64" s="77">
        <f t="shared" si="18"/>
        <v>0</v>
      </c>
      <c r="AN64" s="178">
        <v>294.329650879</v>
      </c>
      <c r="AO64" s="1">
        <f t="shared" si="19"/>
        <v>0.06230234166</v>
      </c>
      <c r="AP64" s="77">
        <f t="shared" si="20"/>
        <v>0</v>
      </c>
      <c r="AQ64" s="178">
        <v>636.75213623</v>
      </c>
      <c r="AR64" s="1">
        <f t="shared" si="21"/>
        <v>0.02879837448</v>
      </c>
      <c r="AS64" s="77">
        <f t="shared" si="22"/>
        <v>0</v>
      </c>
      <c r="AT64" s="178">
        <v>1423.87097168</v>
      </c>
      <c r="AU64" s="1">
        <f t="shared" si="23"/>
        <v>0.01287857315</v>
      </c>
      <c r="AV64" s="77">
        <f t="shared" si="24"/>
        <v>0</v>
      </c>
      <c r="AW64" s="116">
        <v>1.304516792</v>
      </c>
      <c r="AX64" s="1">
        <f t="shared" si="25"/>
        <v>14.05687269</v>
      </c>
      <c r="AY64" s="121">
        <f t="shared" si="26"/>
        <v>0</v>
      </c>
      <c r="AZ64" s="116">
        <v>17.539745331</v>
      </c>
      <c r="BA64" s="1">
        <f t="shared" si="27"/>
        <v>1.04547849</v>
      </c>
      <c r="BB64" s="121">
        <f t="shared" si="28"/>
        <v>1</v>
      </c>
      <c r="BC64" s="116">
        <v>281.386444092</v>
      </c>
      <c r="BD64" s="1">
        <f t="shared" si="29"/>
        <v>0.06516812325</v>
      </c>
      <c r="BE64" s="121">
        <f t="shared" si="30"/>
        <v>0</v>
      </c>
      <c r="BF64" s="116">
        <v>1431.082641602</v>
      </c>
      <c r="BG64" s="1">
        <f t="shared" si="31"/>
        <v>0.01281367402</v>
      </c>
      <c r="BH64" s="121">
        <f t="shared" si="32"/>
        <v>0</v>
      </c>
      <c r="BI64" s="116">
        <v>12304.751953125</v>
      </c>
      <c r="BJ64" s="1">
        <f t="shared" si="33"/>
        <v>0.001490271932</v>
      </c>
      <c r="BK64" s="121">
        <f t="shared" si="34"/>
        <v>0</v>
      </c>
      <c r="BL64" s="159">
        <v>20.52</v>
      </c>
      <c r="BM64" s="159"/>
      <c r="BN64" s="159"/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5.15344117647058E-7</v>
      </c>
      <c r="L65" s="117">
        <v>8.9102501499231E-9</v>
      </c>
      <c r="M65" s="116">
        <f t="shared" si="1"/>
        <v>0.5153441176</v>
      </c>
      <c r="N65" s="116">
        <v>5.8206E-4</v>
      </c>
      <c r="O65" s="116">
        <v>0.513525128</v>
      </c>
      <c r="P65" s="116">
        <v>6.14351E-4</v>
      </c>
      <c r="Q65" s="118">
        <f t="shared" si="2"/>
        <v>-0.00352966025</v>
      </c>
      <c r="R65" s="119">
        <f t="shared" si="3"/>
        <v>-2.149347831</v>
      </c>
      <c r="S65" s="4">
        <v>1000000.0</v>
      </c>
      <c r="T65" s="120">
        <f t="shared" si="4"/>
        <v>0.933992644</v>
      </c>
      <c r="V65" s="1">
        <f t="shared" si="6"/>
        <v>1.003542163</v>
      </c>
      <c r="W65" s="121">
        <f t="shared" si="7"/>
        <v>1</v>
      </c>
      <c r="X65" s="121">
        <f t="shared" si="8"/>
        <v>60</v>
      </c>
      <c r="Y65" s="178">
        <v>0.513558745</v>
      </c>
      <c r="Z65" s="1">
        <f t="shared" si="9"/>
        <v>1.003476472</v>
      </c>
      <c r="AA65" s="77">
        <f t="shared" si="10"/>
        <v>1</v>
      </c>
      <c r="AB65" s="178">
        <v>26.291843414</v>
      </c>
      <c r="AC65" s="1">
        <f t="shared" si="11"/>
        <v>0.01960091233</v>
      </c>
      <c r="AD65" s="77">
        <f t="shared" si="12"/>
        <v>0</v>
      </c>
      <c r="AE65" s="178">
        <v>2.487478495</v>
      </c>
      <c r="AF65" s="1">
        <f t="shared" si="13"/>
        <v>0.2071753057</v>
      </c>
      <c r="AG65" s="77">
        <f t="shared" si="14"/>
        <v>0</v>
      </c>
      <c r="AH65" s="178">
        <v>127.721298218</v>
      </c>
      <c r="AI65" s="1">
        <f t="shared" si="15"/>
        <v>0.004034911364</v>
      </c>
      <c r="AJ65" s="77">
        <f t="shared" si="16"/>
        <v>0</v>
      </c>
      <c r="AK65" s="178">
        <v>7.633777142</v>
      </c>
      <c r="AL65" s="1">
        <f t="shared" si="17"/>
        <v>0.06750840483</v>
      </c>
      <c r="AM65" s="77">
        <f t="shared" si="18"/>
        <v>0</v>
      </c>
      <c r="AN65" s="178">
        <v>426.69934082</v>
      </c>
      <c r="AO65" s="1">
        <f t="shared" si="19"/>
        <v>0.001207745287</v>
      </c>
      <c r="AP65" s="77">
        <f t="shared" si="20"/>
        <v>0</v>
      </c>
      <c r="AQ65" s="178">
        <v>17.780124664</v>
      </c>
      <c r="AR65" s="1">
        <f t="shared" si="21"/>
        <v>0.02898428033</v>
      </c>
      <c r="AS65" s="77">
        <f t="shared" si="22"/>
        <v>0</v>
      </c>
      <c r="AT65" s="178">
        <v>40.161823273</v>
      </c>
      <c r="AU65" s="1">
        <f t="shared" si="23"/>
        <v>0.01283169128</v>
      </c>
      <c r="AV65" s="77">
        <f t="shared" si="24"/>
        <v>0</v>
      </c>
      <c r="AW65" s="116">
        <v>1.762895107</v>
      </c>
      <c r="AX65" s="1">
        <f t="shared" si="25"/>
        <v>0.2923282932</v>
      </c>
      <c r="AY65" s="121">
        <f t="shared" si="26"/>
        <v>0</v>
      </c>
      <c r="AZ65" s="116">
        <v>26.387088776</v>
      </c>
      <c r="BA65" s="1">
        <f t="shared" si="27"/>
        <v>0.01953016197</v>
      </c>
      <c r="BB65" s="121">
        <f t="shared" si="28"/>
        <v>0</v>
      </c>
      <c r="BC65" s="116">
        <v>429.758422852</v>
      </c>
      <c r="BD65" s="1">
        <f t="shared" si="29"/>
        <v>0.001199148383</v>
      </c>
      <c r="BE65" s="121">
        <f t="shared" si="30"/>
        <v>0</v>
      </c>
      <c r="BF65" s="116">
        <v>2209.41796875</v>
      </c>
      <c r="BG65" s="1">
        <f t="shared" si="31"/>
        <v>0.0002332488126</v>
      </c>
      <c r="BH65" s="121">
        <f t="shared" si="32"/>
        <v>0</v>
      </c>
      <c r="BI65" s="116">
        <v>19214.56640625</v>
      </c>
      <c r="BJ65" s="1">
        <f t="shared" si="33"/>
        <v>0.00002682049164</v>
      </c>
      <c r="BK65" s="121">
        <f t="shared" si="34"/>
        <v>0</v>
      </c>
      <c r="BL65" s="159">
        <v>20.51</v>
      </c>
      <c r="BM65" s="159"/>
      <c r="BN65" s="159"/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5.14400735294117E-7</v>
      </c>
      <c r="L66" s="117">
        <v>9.52320749205955E-9</v>
      </c>
      <c r="M66" s="116">
        <f t="shared" si="1"/>
        <v>0.5144007353</v>
      </c>
      <c r="N66" s="116">
        <v>5.8074E-4</v>
      </c>
      <c r="O66" s="116">
        <v>0.513400972</v>
      </c>
      <c r="P66" s="116">
        <v>6.14347E-4</v>
      </c>
      <c r="Q66" s="118">
        <f t="shared" si="2"/>
        <v>-0.001943549504</v>
      </c>
      <c r="R66" s="119">
        <f t="shared" si="3"/>
        <v>-1.182608548</v>
      </c>
      <c r="S66" s="4">
        <v>1000000.0</v>
      </c>
      <c r="T66" s="120">
        <f t="shared" si="4"/>
        <v>0.932282889</v>
      </c>
      <c r="V66" s="1">
        <f t="shared" si="6"/>
        <v>1.001947334</v>
      </c>
      <c r="W66" s="121">
        <f t="shared" si="7"/>
        <v>1</v>
      </c>
      <c r="X66" s="121">
        <f t="shared" si="8"/>
        <v>61</v>
      </c>
      <c r="Y66" s="178">
        <v>0.513432264</v>
      </c>
      <c r="Z66" s="1">
        <f t="shared" si="9"/>
        <v>1.001886269</v>
      </c>
      <c r="AA66" s="77">
        <f t="shared" si="10"/>
        <v>1</v>
      </c>
      <c r="AB66" s="178">
        <v>26.289325714</v>
      </c>
      <c r="AC66" s="1">
        <f t="shared" si="11"/>
        <v>0.01956690487</v>
      </c>
      <c r="AD66" s="77">
        <f t="shared" si="12"/>
        <v>0</v>
      </c>
      <c r="AE66" s="178">
        <v>2.487296343</v>
      </c>
      <c r="AF66" s="1">
        <f t="shared" si="13"/>
        <v>0.2068111975</v>
      </c>
      <c r="AG66" s="77">
        <f t="shared" si="14"/>
        <v>0</v>
      </c>
      <c r="AH66" s="178">
        <v>127.715873718</v>
      </c>
      <c r="AI66" s="1">
        <f t="shared" si="15"/>
        <v>0.004027696169</v>
      </c>
      <c r="AJ66" s="77">
        <f t="shared" si="16"/>
        <v>0</v>
      </c>
      <c r="AK66" s="178">
        <v>7.633495808</v>
      </c>
      <c r="AL66" s="1">
        <f t="shared" si="17"/>
        <v>0.06738730828</v>
      </c>
      <c r="AM66" s="77">
        <f t="shared" si="18"/>
        <v>0</v>
      </c>
      <c r="AN66" s="178">
        <v>426.664001465</v>
      </c>
      <c r="AO66" s="1">
        <f t="shared" si="19"/>
        <v>0.001205634254</v>
      </c>
      <c r="AP66" s="77">
        <f t="shared" si="20"/>
        <v>0</v>
      </c>
      <c r="AQ66" s="178">
        <v>17.779605865</v>
      </c>
      <c r="AR66" s="1">
        <f t="shared" si="21"/>
        <v>0.02893206628</v>
      </c>
      <c r="AS66" s="77">
        <f t="shared" si="22"/>
        <v>0</v>
      </c>
      <c r="AT66" s="178">
        <v>40.159233093</v>
      </c>
      <c r="AU66" s="1">
        <f t="shared" si="23"/>
        <v>0.01280902785</v>
      </c>
      <c r="AV66" s="77">
        <f t="shared" si="24"/>
        <v>0</v>
      </c>
      <c r="AW66" s="116">
        <v>1.761668444</v>
      </c>
      <c r="AX66" s="1">
        <f t="shared" si="25"/>
        <v>0.2919963385</v>
      </c>
      <c r="AY66" s="121">
        <f t="shared" si="26"/>
        <v>0</v>
      </c>
      <c r="AZ66" s="116">
        <v>26.384819031</v>
      </c>
      <c r="BA66" s="1">
        <f t="shared" si="27"/>
        <v>0.0194960873</v>
      </c>
      <c r="BB66" s="121">
        <f t="shared" si="28"/>
        <v>0</v>
      </c>
      <c r="BC66" s="116">
        <v>429.718963623</v>
      </c>
      <c r="BD66" s="1">
        <f t="shared" si="29"/>
        <v>0.001197063148</v>
      </c>
      <c r="BE66" s="121">
        <f t="shared" si="30"/>
        <v>0</v>
      </c>
      <c r="BF66" s="116">
        <v>2209.1953125</v>
      </c>
      <c r="BG66" s="1">
        <f t="shared" si="31"/>
        <v>0.0002328452955</v>
      </c>
      <c r="BH66" s="121">
        <f t="shared" si="32"/>
        <v>0</v>
      </c>
      <c r="BI66" s="116">
        <v>19211.478515625</v>
      </c>
      <c r="BJ66" s="1">
        <f t="shared" si="33"/>
        <v>0.0000267756974</v>
      </c>
      <c r="BK66" s="121">
        <f t="shared" si="34"/>
        <v>0</v>
      </c>
      <c r="BL66" s="159">
        <v>20.51</v>
      </c>
      <c r="BM66" s="159"/>
      <c r="BN66" s="159"/>
    </row>
    <row r="67">
      <c r="K67" s="1"/>
      <c r="L67" s="2"/>
      <c r="M67" s="1"/>
      <c r="O67" s="1"/>
      <c r="W67" s="179">
        <f>(SUM(W6:W61)-1)/55</f>
        <v>0.6</v>
      </c>
      <c r="X67" s="179"/>
      <c r="Y67" s="180"/>
      <c r="Z67" s="179"/>
      <c r="AA67" s="181">
        <f>(SUM(AA6:AA61)-1)/55</f>
        <v>0.6909090909</v>
      </c>
      <c r="AB67" s="180"/>
      <c r="AC67" s="179"/>
      <c r="AD67" s="181">
        <f>(SUM(AD6:AD61)-1)/55</f>
        <v>0.6545454545</v>
      </c>
      <c r="AE67" s="180"/>
      <c r="AF67" s="179"/>
      <c r="AG67" s="181">
        <f>(SUM(AG6:AG61)-1)/55</f>
        <v>0.6363636364</v>
      </c>
      <c r="AH67" s="180"/>
      <c r="AI67" s="179"/>
      <c r="AJ67" s="181">
        <f>(SUM(AJ6:AJ61)-1)/55</f>
        <v>0.6181818182</v>
      </c>
      <c r="AK67" s="180"/>
      <c r="AL67" s="179"/>
      <c r="AM67" s="181">
        <f>(SUM(AM6:AM61)-1)/55</f>
        <v>0.6363636364</v>
      </c>
      <c r="AN67" s="180"/>
      <c r="AO67" s="179"/>
      <c r="AP67" s="181">
        <f>(SUM(AP6:AP61)-1)/55</f>
        <v>0.3818181818</v>
      </c>
      <c r="AQ67" s="180"/>
      <c r="AR67" s="179"/>
      <c r="AS67" s="181">
        <f>(SUM(AS6:AS61)-1)/55</f>
        <v>0.5454545455</v>
      </c>
      <c r="AT67" s="180"/>
      <c r="AU67" s="179"/>
      <c r="AV67" s="181">
        <f>(SUM(AV6:AV61)-1)/55</f>
        <v>0.3272727273</v>
      </c>
      <c r="AW67" s="179"/>
      <c r="AX67" s="179"/>
      <c r="AY67" s="179">
        <f>(SUM(AY6:AY61)-1)/55</f>
        <v>0.1636363636</v>
      </c>
      <c r="AZ67" s="179"/>
      <c r="BA67" s="179"/>
      <c r="BB67" s="179">
        <f>(SUM(BB6:BB61)-1)/55</f>
        <v>0.7454545455</v>
      </c>
      <c r="BC67" s="179"/>
      <c r="BD67" s="179"/>
      <c r="BE67" s="179">
        <f>(SUM(BE6:BE61)-1)/55</f>
        <v>0.7636363636</v>
      </c>
      <c r="BF67" s="179"/>
      <c r="BG67" s="179"/>
      <c r="BH67" s="179">
        <f>(SUM(BH6:BH61)-1)/55</f>
        <v>0.7636363636</v>
      </c>
      <c r="BI67" s="179"/>
      <c r="BJ67" s="179"/>
      <c r="BK67" s="179">
        <f>(SUM(BK6:BK61)-1)/55</f>
        <v>0.4181818182</v>
      </c>
      <c r="BL67" s="179"/>
      <c r="BM67" s="179"/>
      <c r="BN67" s="179"/>
    </row>
    <row r="68">
      <c r="K68" s="1"/>
      <c r="L68" s="2"/>
      <c r="M68" s="1"/>
      <c r="N68" s="1"/>
      <c r="O68" s="1"/>
      <c r="Y68" s="76"/>
      <c r="AA68" s="77"/>
      <c r="AB68" s="76"/>
      <c r="AD68" s="77"/>
      <c r="AE68" s="76"/>
      <c r="AG68" s="77"/>
      <c r="AH68" s="76"/>
      <c r="AJ68" s="77"/>
      <c r="AK68" s="76"/>
      <c r="AM68" s="77"/>
      <c r="AN68" s="76"/>
      <c r="AP68" s="77"/>
      <c r="AQ68" s="76"/>
      <c r="AS68" s="77"/>
      <c r="AT68" s="76"/>
      <c r="AV68" s="77"/>
    </row>
    <row r="69">
      <c r="A69" s="4" t="s">
        <v>49</v>
      </c>
      <c r="B69" s="4">
        <v>90.0</v>
      </c>
      <c r="C69" s="4">
        <v>1.5</v>
      </c>
      <c r="D69" s="4">
        <v>0.0</v>
      </c>
      <c r="E69" s="4">
        <v>0.0</v>
      </c>
      <c r="F69" s="4">
        <v>0.2</v>
      </c>
      <c r="G69" s="4">
        <v>-1.0</v>
      </c>
      <c r="H69" s="4">
        <v>1.0</v>
      </c>
      <c r="I69" s="4">
        <v>0.0</v>
      </c>
      <c r="J69" s="4">
        <v>0.0</v>
      </c>
      <c r="K69" s="116">
        <v>8.278575E-7</v>
      </c>
      <c r="L69" s="2"/>
      <c r="M69" s="116">
        <f>K69*1000000</f>
        <v>0.8278575</v>
      </c>
      <c r="N69" s="116">
        <v>0.004707187</v>
      </c>
      <c r="O69" s="1"/>
      <c r="Y69" s="76"/>
      <c r="AA69" s="77"/>
      <c r="AB69" s="76"/>
      <c r="AD69" s="77"/>
      <c r="AE69" s="76"/>
      <c r="AG69" s="77"/>
      <c r="AH69" s="76"/>
      <c r="AJ69" s="77"/>
      <c r="AK69" s="76"/>
      <c r="AM69" s="77"/>
      <c r="AN69" s="76"/>
      <c r="AP69" s="77"/>
      <c r="AQ69" s="76"/>
      <c r="AS69" s="77"/>
      <c r="AT69" s="76"/>
      <c r="AV69" s="77"/>
      <c r="BK69" s="4" t="s">
        <v>6</v>
      </c>
    </row>
    <row r="70">
      <c r="B70" s="4">
        <v>90.0</v>
      </c>
      <c r="C70" s="22">
        <v>1.5</v>
      </c>
      <c r="D70" s="22">
        <v>1.0</v>
      </c>
      <c r="E70" s="22">
        <v>0.0</v>
      </c>
      <c r="F70" s="22">
        <v>0.6</v>
      </c>
      <c r="G70" s="22">
        <v>0.0</v>
      </c>
      <c r="H70" s="22">
        <v>1.0</v>
      </c>
      <c r="I70" s="22">
        <v>0.0</v>
      </c>
      <c r="J70" s="22">
        <v>0.0</v>
      </c>
      <c r="K70" s="1"/>
      <c r="L70" s="2"/>
      <c r="M70" s="1"/>
      <c r="N70" s="1"/>
      <c r="O70" s="1"/>
      <c r="Y70" s="76"/>
      <c r="AA70" s="77"/>
      <c r="AB70" s="76"/>
      <c r="AD70" s="77"/>
      <c r="AE70" s="76"/>
      <c r="AG70" s="77"/>
      <c r="AH70" s="76"/>
      <c r="AJ70" s="77"/>
      <c r="AK70" s="76"/>
      <c r="AM70" s="77"/>
      <c r="AN70" s="76"/>
      <c r="AP70" s="77"/>
      <c r="AQ70" s="76"/>
      <c r="AS70" s="77"/>
      <c r="AT70" s="76"/>
      <c r="AV70" s="77"/>
      <c r="BK70" s="4">
        <v>0.6</v>
      </c>
      <c r="BL70" s="159">
        <v>27.1</v>
      </c>
      <c r="BM70" s="182">
        <f t="shared" ref="BM70:BM75" si="58">BL70/(H70*H70*F70*C70)</f>
        <v>30.11111111</v>
      </c>
      <c r="BN70" s="182">
        <f t="shared" ref="BN70:BN75" si="59">BL70/(H70*H70*F70*C70*C70)</f>
        <v>20.07407407</v>
      </c>
    </row>
    <row r="71">
      <c r="B71" s="4">
        <v>91.0</v>
      </c>
      <c r="C71" s="22">
        <v>1.5</v>
      </c>
      <c r="D71" s="22">
        <v>1.0</v>
      </c>
      <c r="E71" s="22">
        <v>0.0</v>
      </c>
      <c r="F71" s="22">
        <v>0.1</v>
      </c>
      <c r="G71" s="22">
        <v>0.0</v>
      </c>
      <c r="H71" s="22">
        <v>1.0</v>
      </c>
      <c r="I71" s="22">
        <v>0.0</v>
      </c>
      <c r="J71" s="22">
        <v>0.0</v>
      </c>
      <c r="K71" s="1"/>
      <c r="L71" s="2"/>
      <c r="M71" s="1"/>
      <c r="N71" s="1"/>
      <c r="O71" s="1"/>
      <c r="Y71" s="76"/>
      <c r="AA71" s="77"/>
      <c r="AB71" s="76"/>
      <c r="AD71" s="77"/>
      <c r="AE71" s="76"/>
      <c r="AG71" s="77"/>
      <c r="AH71" s="76"/>
      <c r="AJ71" s="77"/>
      <c r="AK71" s="76"/>
      <c r="AM71" s="77"/>
      <c r="AN71" s="76"/>
      <c r="AP71" s="77"/>
      <c r="AQ71" s="76"/>
      <c r="AS71" s="77"/>
      <c r="AT71" s="76"/>
      <c r="AV71" s="77"/>
      <c r="BK71" s="4">
        <v>0.1</v>
      </c>
      <c r="BL71" s="159">
        <v>19.8</v>
      </c>
      <c r="BM71" s="182">
        <f t="shared" si="58"/>
        <v>132</v>
      </c>
      <c r="BN71" s="182">
        <f t="shared" si="59"/>
        <v>88</v>
      </c>
    </row>
    <row r="72">
      <c r="B72" s="4">
        <v>92.0</v>
      </c>
      <c r="C72" s="22">
        <v>1.5</v>
      </c>
      <c r="D72" s="22">
        <v>1.0</v>
      </c>
      <c r="E72" s="22">
        <v>0.0</v>
      </c>
      <c r="F72" s="22">
        <v>0.2</v>
      </c>
      <c r="G72" s="22">
        <v>0.0</v>
      </c>
      <c r="H72" s="22">
        <v>1.0</v>
      </c>
      <c r="I72" s="22">
        <v>0.0</v>
      </c>
      <c r="J72" s="22">
        <v>0.0</v>
      </c>
      <c r="K72" s="1"/>
      <c r="L72" s="2"/>
      <c r="M72" s="1"/>
      <c r="N72" s="1"/>
      <c r="O72" s="1"/>
      <c r="Y72" s="76"/>
      <c r="AA72" s="77"/>
      <c r="AB72" s="76"/>
      <c r="AD72" s="77"/>
      <c r="AE72" s="76"/>
      <c r="AG72" s="77"/>
      <c r="AH72" s="76"/>
      <c r="AJ72" s="77"/>
      <c r="AK72" s="76"/>
      <c r="AM72" s="77"/>
      <c r="AN72" s="76"/>
      <c r="AP72" s="77"/>
      <c r="AQ72" s="76"/>
      <c r="AS72" s="77"/>
      <c r="AT72" s="76"/>
      <c r="AV72" s="77"/>
      <c r="BK72" s="4">
        <v>0.2</v>
      </c>
      <c r="BL72" s="159">
        <v>20.51</v>
      </c>
      <c r="BM72" s="182">
        <f t="shared" si="58"/>
        <v>68.36666667</v>
      </c>
      <c r="BN72" s="182">
        <f t="shared" si="59"/>
        <v>45.57777778</v>
      </c>
    </row>
    <row r="73">
      <c r="B73" s="4">
        <v>93.0</v>
      </c>
      <c r="C73" s="22">
        <v>1.5</v>
      </c>
      <c r="D73" s="22">
        <v>1.0</v>
      </c>
      <c r="E73" s="22">
        <v>0.0</v>
      </c>
      <c r="F73" s="22">
        <v>0.3</v>
      </c>
      <c r="G73" s="22">
        <v>0.0</v>
      </c>
      <c r="H73" s="22">
        <v>1.0</v>
      </c>
      <c r="I73" s="22">
        <v>0.0</v>
      </c>
      <c r="J73" s="22">
        <v>0.0</v>
      </c>
      <c r="K73" s="1"/>
      <c r="L73" s="2"/>
      <c r="M73" s="1"/>
      <c r="N73" s="1"/>
      <c r="O73" s="1"/>
      <c r="Y73" s="76"/>
      <c r="AA73" s="77"/>
      <c r="AB73" s="76"/>
      <c r="AD73" s="77"/>
      <c r="AE73" s="76"/>
      <c r="AG73" s="77"/>
      <c r="AH73" s="76"/>
      <c r="AJ73" s="77"/>
      <c r="AK73" s="76"/>
      <c r="AM73" s="77"/>
      <c r="AN73" s="76"/>
      <c r="AP73" s="77"/>
      <c r="AQ73" s="76"/>
      <c r="AS73" s="77"/>
      <c r="AT73" s="76"/>
      <c r="AV73" s="77"/>
      <c r="BK73" s="4">
        <v>0.3</v>
      </c>
      <c r="BL73" s="159">
        <v>21.52</v>
      </c>
      <c r="BM73" s="182">
        <f t="shared" si="58"/>
        <v>47.82222222</v>
      </c>
      <c r="BN73" s="182">
        <f t="shared" si="59"/>
        <v>31.88148148</v>
      </c>
    </row>
    <row r="74">
      <c r="B74" s="4">
        <v>94.0</v>
      </c>
      <c r="C74" s="22">
        <v>1.5</v>
      </c>
      <c r="D74" s="22">
        <v>1.0</v>
      </c>
      <c r="E74" s="22">
        <v>0.0</v>
      </c>
      <c r="F74" s="22">
        <v>0.4</v>
      </c>
      <c r="G74" s="22">
        <v>0.0</v>
      </c>
      <c r="H74" s="22">
        <v>1.0</v>
      </c>
      <c r="I74" s="22">
        <v>0.0</v>
      </c>
      <c r="J74" s="22">
        <v>0.0</v>
      </c>
      <c r="K74" s="1"/>
      <c r="L74" s="2"/>
      <c r="M74" s="1"/>
      <c r="N74" s="1"/>
      <c r="O74" s="1"/>
      <c r="Y74" s="76"/>
      <c r="AA74" s="77"/>
      <c r="AB74" s="76"/>
      <c r="AD74" s="77"/>
      <c r="AE74" s="76"/>
      <c r="AG74" s="77"/>
      <c r="AH74" s="76"/>
      <c r="AJ74" s="77"/>
      <c r="AK74" s="76"/>
      <c r="AM74" s="77"/>
      <c r="AN74" s="76"/>
      <c r="AP74" s="77"/>
      <c r="AQ74" s="76"/>
      <c r="AS74" s="77"/>
      <c r="AT74" s="76"/>
      <c r="AV74" s="77"/>
      <c r="BK74" s="4">
        <v>0.4</v>
      </c>
      <c r="BL74" s="159">
        <v>22.94</v>
      </c>
      <c r="BM74" s="182">
        <f t="shared" si="58"/>
        <v>38.23333333</v>
      </c>
      <c r="BN74" s="182">
        <f t="shared" si="59"/>
        <v>25.48888889</v>
      </c>
    </row>
    <row r="75">
      <c r="B75" s="4">
        <v>95.0</v>
      </c>
      <c r="C75" s="22">
        <v>1.5</v>
      </c>
      <c r="D75" s="22">
        <v>1.0</v>
      </c>
      <c r="E75" s="22">
        <v>0.0</v>
      </c>
      <c r="F75" s="22">
        <v>0.5</v>
      </c>
      <c r="G75" s="22">
        <v>0.0</v>
      </c>
      <c r="H75" s="22">
        <v>1.0</v>
      </c>
      <c r="I75" s="22">
        <v>0.0</v>
      </c>
      <c r="J75" s="22">
        <v>0.0</v>
      </c>
      <c r="K75" s="1"/>
      <c r="L75" s="2"/>
      <c r="M75" s="1"/>
      <c r="N75" s="1"/>
      <c r="O75" s="1"/>
      <c r="Y75" s="76"/>
      <c r="AA75" s="77"/>
      <c r="AB75" s="76"/>
      <c r="AD75" s="77"/>
      <c r="AE75" s="76"/>
      <c r="AG75" s="77"/>
      <c r="AH75" s="76"/>
      <c r="AJ75" s="77"/>
      <c r="AK75" s="76"/>
      <c r="AM75" s="77"/>
      <c r="AN75" s="76"/>
      <c r="AP75" s="77"/>
      <c r="AQ75" s="76"/>
      <c r="AS75" s="77"/>
      <c r="AT75" s="76"/>
      <c r="AV75" s="77"/>
      <c r="BK75" s="4">
        <v>0.5</v>
      </c>
      <c r="BL75" s="159">
        <v>24.76</v>
      </c>
      <c r="BM75" s="182">
        <f t="shared" si="58"/>
        <v>33.01333333</v>
      </c>
      <c r="BN75" s="182">
        <f t="shared" si="59"/>
        <v>22.00888889</v>
      </c>
    </row>
    <row r="76">
      <c r="K76" s="1"/>
      <c r="L76" s="2"/>
      <c r="M76" s="1"/>
      <c r="N76" s="1"/>
      <c r="O76" s="1"/>
      <c r="Y76" s="76"/>
      <c r="AA76" s="77"/>
      <c r="AB76" s="76"/>
      <c r="AD76" s="77"/>
      <c r="AE76" s="76"/>
      <c r="AG76" s="77"/>
      <c r="AH76" s="76"/>
      <c r="AJ76" s="77"/>
      <c r="AK76" s="76"/>
      <c r="AM76" s="77"/>
      <c r="AN76" s="76"/>
      <c r="AP76" s="77"/>
      <c r="AQ76" s="76"/>
      <c r="AS76" s="77"/>
      <c r="AT76" s="76"/>
      <c r="AV76" s="77"/>
    </row>
    <row r="77">
      <c r="K77" s="1"/>
      <c r="L77" s="2"/>
      <c r="M77" s="1"/>
      <c r="N77" s="1"/>
      <c r="O77" s="1"/>
      <c r="Y77" s="76"/>
      <c r="AA77" s="77"/>
      <c r="AB77" s="76"/>
      <c r="AD77" s="77"/>
      <c r="AE77" s="76"/>
      <c r="AG77" s="77"/>
      <c r="AH77" s="76"/>
      <c r="AJ77" s="77"/>
      <c r="AK77" s="76"/>
      <c r="AM77" s="77"/>
      <c r="AN77" s="76"/>
      <c r="AP77" s="77"/>
      <c r="AQ77" s="76"/>
      <c r="AS77" s="77"/>
      <c r="AT77" s="76"/>
      <c r="AV77" s="77"/>
    </row>
    <row r="78">
      <c r="K78" s="1"/>
      <c r="L78" s="2"/>
      <c r="M78" s="1"/>
      <c r="N78" s="1"/>
      <c r="O78" s="1"/>
      <c r="Y78" s="76"/>
      <c r="AA78" s="77"/>
      <c r="AB78" s="76"/>
      <c r="AD78" s="77"/>
      <c r="AE78" s="76"/>
      <c r="AG78" s="77"/>
      <c r="AH78" s="76"/>
      <c r="AJ78" s="77"/>
      <c r="AK78" s="76"/>
      <c r="AM78" s="77"/>
      <c r="AN78" s="76"/>
      <c r="AP78" s="77"/>
      <c r="AQ78" s="76"/>
      <c r="AS78" s="77"/>
      <c r="AT78" s="76"/>
      <c r="AV78" s="77"/>
    </row>
    <row r="79">
      <c r="K79" s="1"/>
      <c r="L79" s="2"/>
      <c r="M79" s="1"/>
      <c r="N79" s="1"/>
      <c r="O79" s="1"/>
      <c r="Y79" s="76"/>
      <c r="AA79" s="77"/>
      <c r="AB79" s="76"/>
      <c r="AD79" s="77"/>
      <c r="AE79" s="76"/>
      <c r="AG79" s="77"/>
      <c r="AH79" s="76"/>
      <c r="AJ79" s="77"/>
      <c r="AK79" s="76"/>
      <c r="AM79" s="77"/>
      <c r="AN79" s="76"/>
      <c r="AP79" s="77"/>
      <c r="AQ79" s="76"/>
      <c r="AS79" s="77"/>
      <c r="AT79" s="76"/>
      <c r="AV79" s="77"/>
    </row>
    <row r="80">
      <c r="K80" s="1"/>
      <c r="L80" s="2"/>
      <c r="M80" s="1"/>
      <c r="N80" s="1"/>
      <c r="O80" s="1"/>
      <c r="Y80" s="76"/>
      <c r="AA80" s="77"/>
      <c r="AB80" s="76"/>
      <c r="AD80" s="77"/>
      <c r="AE80" s="76"/>
      <c r="AG80" s="77"/>
      <c r="AH80" s="76"/>
      <c r="AJ80" s="77"/>
      <c r="AK80" s="76"/>
      <c r="AM80" s="77"/>
      <c r="AN80" s="76"/>
      <c r="AP80" s="77"/>
      <c r="AQ80" s="76"/>
      <c r="AS80" s="77"/>
      <c r="AT80" s="76"/>
      <c r="AV80" s="77"/>
    </row>
    <row r="81">
      <c r="K81" s="1"/>
      <c r="L81" s="2"/>
      <c r="M81" s="1"/>
      <c r="N81" s="1"/>
      <c r="O81" s="1"/>
      <c r="Y81" s="76"/>
      <c r="AA81" s="77"/>
      <c r="AB81" s="76"/>
      <c r="AD81" s="77"/>
      <c r="AE81" s="76"/>
      <c r="AG81" s="77"/>
      <c r="AH81" s="76"/>
      <c r="AJ81" s="77"/>
      <c r="AK81" s="76"/>
      <c r="AM81" s="77"/>
      <c r="AN81" s="76"/>
      <c r="AP81" s="77"/>
      <c r="AQ81" s="76"/>
      <c r="AS81" s="77"/>
      <c r="AT81" s="76"/>
      <c r="AV81" s="77"/>
    </row>
    <row r="82">
      <c r="K82" s="1"/>
      <c r="L82" s="2"/>
      <c r="M82" s="1"/>
      <c r="N82" s="1"/>
      <c r="O82" s="1"/>
      <c r="Y82" s="76"/>
      <c r="AA82" s="77"/>
      <c r="AB82" s="76"/>
      <c r="AD82" s="77"/>
      <c r="AE82" s="76"/>
      <c r="AG82" s="77"/>
      <c r="AH82" s="76"/>
      <c r="AJ82" s="77"/>
      <c r="AK82" s="76"/>
      <c r="AM82" s="77"/>
      <c r="AN82" s="76"/>
      <c r="AP82" s="77"/>
      <c r="AQ82" s="76"/>
      <c r="AS82" s="77"/>
      <c r="AT82" s="76"/>
      <c r="AV82" s="77"/>
    </row>
    <row r="83">
      <c r="K83" s="1"/>
      <c r="L83" s="2"/>
      <c r="M83" s="1"/>
      <c r="N83" s="1"/>
      <c r="O83" s="1"/>
      <c r="Y83" s="76"/>
      <c r="AA83" s="77"/>
      <c r="AB83" s="76"/>
      <c r="AD83" s="77"/>
      <c r="AE83" s="76"/>
      <c r="AG83" s="77"/>
      <c r="AH83" s="76"/>
      <c r="AJ83" s="77"/>
      <c r="AK83" s="76"/>
      <c r="AM83" s="77"/>
      <c r="AN83" s="76"/>
      <c r="AP83" s="77"/>
      <c r="AQ83" s="76"/>
      <c r="AS83" s="77"/>
      <c r="AT83" s="76"/>
      <c r="AV83" s="77"/>
    </row>
    <row r="84">
      <c r="K84" s="1"/>
      <c r="L84" s="2"/>
      <c r="M84" s="1"/>
      <c r="N84" s="1"/>
      <c r="O84" s="1"/>
      <c r="Y84" s="76"/>
      <c r="AA84" s="77"/>
      <c r="AB84" s="76"/>
      <c r="AD84" s="77"/>
      <c r="AE84" s="76"/>
      <c r="AG84" s="77"/>
      <c r="AH84" s="76"/>
      <c r="AJ84" s="77"/>
      <c r="AK84" s="76"/>
      <c r="AM84" s="77"/>
      <c r="AN84" s="76"/>
      <c r="AP84" s="77"/>
      <c r="AQ84" s="76"/>
      <c r="AS84" s="77"/>
      <c r="AT84" s="76"/>
      <c r="AV84" s="77"/>
    </row>
    <row r="85">
      <c r="K85" s="1"/>
      <c r="L85" s="2"/>
      <c r="M85" s="1"/>
      <c r="N85" s="1"/>
      <c r="O85" s="1"/>
      <c r="Y85" s="76"/>
      <c r="AA85" s="77"/>
      <c r="AB85" s="76"/>
      <c r="AD85" s="77"/>
      <c r="AE85" s="76"/>
      <c r="AG85" s="77"/>
      <c r="AH85" s="76"/>
      <c r="AJ85" s="77"/>
      <c r="AK85" s="76"/>
      <c r="AM85" s="77"/>
      <c r="AN85" s="76"/>
      <c r="AP85" s="77"/>
      <c r="AQ85" s="76"/>
      <c r="AS85" s="77"/>
      <c r="AT85" s="76"/>
      <c r="AV85" s="77"/>
    </row>
    <row r="86">
      <c r="K86" s="1"/>
      <c r="L86" s="2"/>
      <c r="M86" s="1"/>
      <c r="N86" s="1"/>
      <c r="O86" s="1"/>
      <c r="Y86" s="76"/>
      <c r="AA86" s="77"/>
      <c r="AB86" s="76"/>
      <c r="AD86" s="77"/>
      <c r="AE86" s="76"/>
      <c r="AG86" s="77"/>
      <c r="AH86" s="76"/>
      <c r="AJ86" s="77"/>
      <c r="AK86" s="76"/>
      <c r="AM86" s="77"/>
      <c r="AN86" s="76"/>
      <c r="AP86" s="77"/>
      <c r="AQ86" s="76"/>
      <c r="AS86" s="77"/>
      <c r="AT86" s="76"/>
      <c r="AV86" s="77"/>
    </row>
    <row r="87">
      <c r="K87" s="1"/>
      <c r="L87" s="2"/>
      <c r="M87" s="1"/>
      <c r="N87" s="1"/>
      <c r="O87" s="1"/>
      <c r="Y87" s="76"/>
      <c r="AA87" s="77"/>
      <c r="AB87" s="76"/>
      <c r="AD87" s="77"/>
      <c r="AE87" s="76"/>
      <c r="AG87" s="77"/>
      <c r="AH87" s="76"/>
      <c r="AJ87" s="77"/>
      <c r="AK87" s="76"/>
      <c r="AM87" s="77"/>
      <c r="AN87" s="76"/>
      <c r="AP87" s="77"/>
      <c r="AQ87" s="76"/>
      <c r="AS87" s="77"/>
      <c r="AT87" s="76"/>
      <c r="AV87" s="77"/>
    </row>
    <row r="88">
      <c r="K88" s="1"/>
      <c r="L88" s="2"/>
      <c r="M88" s="1"/>
      <c r="N88" s="1"/>
      <c r="O88" s="1"/>
      <c r="Y88" s="76"/>
      <c r="AA88" s="77"/>
      <c r="AB88" s="76"/>
      <c r="AD88" s="77"/>
      <c r="AE88" s="76"/>
      <c r="AG88" s="77"/>
      <c r="AH88" s="76"/>
      <c r="AJ88" s="77"/>
      <c r="AK88" s="76"/>
      <c r="AM88" s="77"/>
      <c r="AN88" s="76"/>
      <c r="AP88" s="77"/>
      <c r="AQ88" s="76"/>
      <c r="AS88" s="77"/>
      <c r="AT88" s="76"/>
      <c r="AV88" s="77"/>
    </row>
    <row r="89">
      <c r="K89" s="1"/>
      <c r="L89" s="2"/>
      <c r="M89" s="1"/>
      <c r="N89" s="1"/>
      <c r="O89" s="1"/>
      <c r="Y89" s="76"/>
      <c r="AA89" s="77"/>
      <c r="AB89" s="76"/>
      <c r="AD89" s="77"/>
      <c r="AE89" s="76"/>
      <c r="AG89" s="77"/>
      <c r="AH89" s="76"/>
      <c r="AJ89" s="77"/>
      <c r="AK89" s="76"/>
      <c r="AM89" s="77"/>
      <c r="AN89" s="76"/>
      <c r="AP89" s="77"/>
      <c r="AQ89" s="76"/>
      <c r="AS89" s="77"/>
      <c r="AT89" s="76"/>
      <c r="AV89" s="77"/>
    </row>
    <row r="90">
      <c r="K90" s="1"/>
      <c r="L90" s="2"/>
      <c r="M90" s="1"/>
      <c r="N90" s="1"/>
      <c r="O90" s="1"/>
      <c r="Y90" s="76"/>
      <c r="AA90" s="77"/>
      <c r="AB90" s="76"/>
      <c r="AD90" s="77"/>
      <c r="AE90" s="76"/>
      <c r="AG90" s="77"/>
      <c r="AH90" s="76"/>
      <c r="AJ90" s="77"/>
      <c r="AK90" s="76"/>
      <c r="AM90" s="77"/>
      <c r="AN90" s="76"/>
      <c r="AP90" s="77"/>
      <c r="AQ90" s="76"/>
      <c r="AS90" s="77"/>
      <c r="AT90" s="76"/>
      <c r="AV90" s="77"/>
    </row>
    <row r="91">
      <c r="K91" s="1"/>
      <c r="L91" s="2"/>
      <c r="M91" s="1"/>
      <c r="N91" s="1"/>
      <c r="O91" s="1"/>
      <c r="Y91" s="76"/>
      <c r="AA91" s="77"/>
      <c r="AB91" s="76"/>
      <c r="AD91" s="77"/>
      <c r="AE91" s="76"/>
      <c r="AG91" s="77"/>
      <c r="AH91" s="76"/>
      <c r="AJ91" s="77"/>
      <c r="AK91" s="76"/>
      <c r="AM91" s="77"/>
      <c r="AN91" s="76"/>
      <c r="AP91" s="77"/>
      <c r="AQ91" s="76"/>
      <c r="AS91" s="77"/>
      <c r="AT91" s="76"/>
      <c r="AV91" s="77"/>
    </row>
    <row r="92">
      <c r="K92" s="1"/>
      <c r="L92" s="2"/>
      <c r="M92" s="1"/>
      <c r="N92" s="1"/>
      <c r="O92" s="1"/>
      <c r="Y92" s="76"/>
      <c r="AA92" s="77"/>
      <c r="AB92" s="76"/>
      <c r="AD92" s="77"/>
      <c r="AE92" s="76"/>
      <c r="AG92" s="77"/>
      <c r="AH92" s="76"/>
      <c r="AJ92" s="77"/>
      <c r="AK92" s="76"/>
      <c r="AM92" s="77"/>
      <c r="AN92" s="76"/>
      <c r="AP92" s="77"/>
      <c r="AQ92" s="76"/>
      <c r="AS92" s="77"/>
      <c r="AT92" s="76"/>
      <c r="AV92" s="77"/>
    </row>
    <row r="93">
      <c r="K93" s="1"/>
      <c r="L93" s="2"/>
      <c r="M93" s="1"/>
      <c r="N93" s="1"/>
      <c r="O93" s="1"/>
      <c r="Y93" s="76"/>
      <c r="AA93" s="77"/>
      <c r="AB93" s="76"/>
      <c r="AD93" s="77"/>
      <c r="AE93" s="76"/>
      <c r="AG93" s="77"/>
      <c r="AH93" s="76"/>
      <c r="AJ93" s="77"/>
      <c r="AK93" s="76"/>
      <c r="AM93" s="77"/>
      <c r="AN93" s="76"/>
      <c r="AP93" s="77"/>
      <c r="AQ93" s="76"/>
      <c r="AS93" s="77"/>
      <c r="AT93" s="76"/>
      <c r="AV93" s="77"/>
    </row>
    <row r="94">
      <c r="K94" s="1"/>
      <c r="L94" s="2"/>
      <c r="M94" s="1"/>
      <c r="N94" s="1"/>
      <c r="O94" s="1"/>
      <c r="Y94" s="76"/>
      <c r="AA94" s="77"/>
      <c r="AB94" s="76"/>
      <c r="AD94" s="77"/>
      <c r="AE94" s="76"/>
      <c r="AG94" s="77"/>
      <c r="AH94" s="76"/>
      <c r="AJ94" s="77"/>
      <c r="AK94" s="76"/>
      <c r="AM94" s="77"/>
      <c r="AN94" s="76"/>
      <c r="AP94" s="77"/>
      <c r="AQ94" s="76"/>
      <c r="AS94" s="77"/>
      <c r="AT94" s="76"/>
      <c r="AV94" s="77"/>
    </row>
    <row r="95">
      <c r="K95" s="1"/>
      <c r="L95" s="2"/>
      <c r="M95" s="1"/>
      <c r="N95" s="1"/>
      <c r="O95" s="1"/>
      <c r="Y95" s="76"/>
      <c r="AA95" s="77"/>
      <c r="AB95" s="76"/>
      <c r="AD95" s="77"/>
      <c r="AE95" s="76"/>
      <c r="AG95" s="77"/>
      <c r="AH95" s="76"/>
      <c r="AJ95" s="77"/>
      <c r="AK95" s="76"/>
      <c r="AM95" s="77"/>
      <c r="AN95" s="76"/>
      <c r="AP95" s="77"/>
      <c r="AQ95" s="76"/>
      <c r="AS95" s="77"/>
      <c r="AT95" s="76"/>
      <c r="AV95" s="77"/>
    </row>
    <row r="96">
      <c r="K96" s="1"/>
      <c r="L96" s="2"/>
      <c r="M96" s="1"/>
      <c r="N96" s="1"/>
      <c r="O96" s="1"/>
      <c r="Y96" s="76"/>
      <c r="AA96" s="77"/>
      <c r="AB96" s="76"/>
      <c r="AD96" s="77"/>
      <c r="AE96" s="76"/>
      <c r="AG96" s="77"/>
      <c r="AH96" s="76"/>
      <c r="AJ96" s="77"/>
      <c r="AK96" s="76"/>
      <c r="AM96" s="77"/>
      <c r="AN96" s="76"/>
      <c r="AP96" s="77"/>
      <c r="AQ96" s="76"/>
      <c r="AS96" s="77"/>
      <c r="AT96" s="76"/>
      <c r="AV96" s="77"/>
    </row>
    <row r="97">
      <c r="K97" s="1"/>
      <c r="L97" s="2"/>
      <c r="M97" s="1"/>
      <c r="N97" s="1"/>
      <c r="O97" s="1"/>
      <c r="Y97" s="76"/>
      <c r="AA97" s="77"/>
      <c r="AB97" s="76"/>
      <c r="AD97" s="77"/>
      <c r="AE97" s="76"/>
      <c r="AG97" s="77"/>
      <c r="AH97" s="76"/>
      <c r="AJ97" s="77"/>
      <c r="AK97" s="76"/>
      <c r="AM97" s="77"/>
      <c r="AN97" s="76"/>
      <c r="AP97" s="77"/>
      <c r="AQ97" s="76"/>
      <c r="AS97" s="77"/>
      <c r="AT97" s="76"/>
      <c r="AV97" s="77"/>
    </row>
    <row r="98">
      <c r="K98" s="1"/>
      <c r="L98" s="2"/>
      <c r="M98" s="1"/>
      <c r="N98" s="1"/>
      <c r="O98" s="1"/>
      <c r="Y98" s="76"/>
      <c r="AA98" s="77"/>
      <c r="AB98" s="76"/>
      <c r="AD98" s="77"/>
      <c r="AE98" s="76"/>
      <c r="AG98" s="77"/>
      <c r="AH98" s="76"/>
      <c r="AJ98" s="77"/>
      <c r="AK98" s="76"/>
      <c r="AM98" s="77"/>
      <c r="AN98" s="76"/>
      <c r="AP98" s="77"/>
      <c r="AQ98" s="76"/>
      <c r="AS98" s="77"/>
      <c r="AT98" s="76"/>
      <c r="AV98" s="77"/>
    </row>
    <row r="99">
      <c r="K99" s="1"/>
      <c r="L99" s="2"/>
      <c r="M99" s="1"/>
      <c r="N99" s="1"/>
      <c r="O99" s="1"/>
      <c r="Y99" s="76"/>
      <c r="AA99" s="77"/>
      <c r="AB99" s="76"/>
      <c r="AD99" s="77"/>
      <c r="AE99" s="76"/>
      <c r="AG99" s="77"/>
      <c r="AH99" s="76"/>
      <c r="AJ99" s="77"/>
      <c r="AK99" s="76"/>
      <c r="AM99" s="77"/>
      <c r="AN99" s="76"/>
      <c r="AP99" s="77"/>
      <c r="AQ99" s="76"/>
      <c r="AS99" s="77"/>
      <c r="AT99" s="76"/>
      <c r="AV99" s="77"/>
    </row>
    <row r="100">
      <c r="K100" s="1"/>
      <c r="L100" s="2"/>
      <c r="M100" s="1"/>
      <c r="N100" s="1"/>
      <c r="O100" s="1"/>
      <c r="Y100" s="76"/>
      <c r="AA100" s="77"/>
      <c r="AB100" s="76"/>
      <c r="AD100" s="77"/>
      <c r="AE100" s="76"/>
      <c r="AG100" s="77"/>
      <c r="AH100" s="76"/>
      <c r="AJ100" s="77"/>
      <c r="AK100" s="76"/>
      <c r="AM100" s="77"/>
      <c r="AN100" s="76"/>
      <c r="AP100" s="77"/>
      <c r="AQ100" s="76"/>
      <c r="AS100" s="77"/>
      <c r="AT100" s="76"/>
      <c r="AV100" s="77"/>
    </row>
    <row r="101">
      <c r="K101" s="1"/>
      <c r="L101" s="2"/>
      <c r="M101" s="1"/>
      <c r="N101" s="1"/>
      <c r="O101" s="1"/>
      <c r="Y101" s="76"/>
      <c r="AA101" s="77"/>
      <c r="AB101" s="76"/>
      <c r="AD101" s="77"/>
      <c r="AE101" s="76"/>
      <c r="AG101" s="77"/>
      <c r="AH101" s="76"/>
      <c r="AJ101" s="77"/>
      <c r="AK101" s="76"/>
      <c r="AM101" s="77"/>
      <c r="AN101" s="76"/>
      <c r="AP101" s="77"/>
      <c r="AQ101" s="76"/>
      <c r="AS101" s="77"/>
      <c r="AT101" s="76"/>
      <c r="AV101" s="77"/>
    </row>
    <row r="102">
      <c r="K102" s="1"/>
      <c r="L102" s="2"/>
      <c r="M102" s="1"/>
      <c r="N102" s="1"/>
      <c r="O102" s="1"/>
      <c r="Y102" s="76"/>
      <c r="AA102" s="77"/>
      <c r="AB102" s="76"/>
      <c r="AD102" s="77"/>
      <c r="AE102" s="76"/>
      <c r="AG102" s="77"/>
      <c r="AH102" s="76"/>
      <c r="AJ102" s="77"/>
      <c r="AK102" s="76"/>
      <c r="AM102" s="77"/>
      <c r="AN102" s="76"/>
      <c r="AP102" s="77"/>
      <c r="AQ102" s="76"/>
      <c r="AS102" s="77"/>
      <c r="AT102" s="76"/>
      <c r="AV102" s="77"/>
    </row>
    <row r="103">
      <c r="K103" s="1"/>
      <c r="L103" s="2"/>
      <c r="M103" s="1"/>
      <c r="N103" s="1"/>
      <c r="O103" s="1"/>
      <c r="Y103" s="76"/>
      <c r="AA103" s="77"/>
      <c r="AB103" s="76"/>
      <c r="AD103" s="77"/>
      <c r="AE103" s="76"/>
      <c r="AG103" s="77"/>
      <c r="AH103" s="76"/>
      <c r="AJ103" s="77"/>
      <c r="AK103" s="76"/>
      <c r="AM103" s="77"/>
      <c r="AN103" s="76"/>
      <c r="AP103" s="77"/>
      <c r="AQ103" s="76"/>
      <c r="AS103" s="77"/>
      <c r="AT103" s="76"/>
      <c r="AV103" s="77"/>
    </row>
    <row r="104">
      <c r="K104" s="1"/>
      <c r="L104" s="2"/>
      <c r="M104" s="1"/>
      <c r="N104" s="1"/>
      <c r="O104" s="1"/>
      <c r="Y104" s="76"/>
      <c r="AA104" s="77"/>
      <c r="AB104" s="76"/>
      <c r="AD104" s="77"/>
      <c r="AE104" s="76"/>
      <c r="AG104" s="77"/>
      <c r="AH104" s="76"/>
      <c r="AJ104" s="77"/>
      <c r="AK104" s="76"/>
      <c r="AM104" s="77"/>
      <c r="AN104" s="76"/>
      <c r="AP104" s="77"/>
      <c r="AQ104" s="76"/>
      <c r="AS104" s="77"/>
      <c r="AT104" s="76"/>
      <c r="AV104" s="77"/>
    </row>
    <row r="105">
      <c r="K105" s="1"/>
      <c r="L105" s="2"/>
      <c r="M105" s="1"/>
      <c r="N105" s="1"/>
      <c r="O105" s="1"/>
      <c r="Y105" s="76"/>
      <c r="AA105" s="77"/>
      <c r="AB105" s="76"/>
      <c r="AD105" s="77"/>
      <c r="AE105" s="76"/>
      <c r="AG105" s="77"/>
      <c r="AH105" s="76"/>
      <c r="AJ105" s="77"/>
      <c r="AK105" s="76"/>
      <c r="AM105" s="77"/>
      <c r="AN105" s="76"/>
      <c r="AP105" s="77"/>
      <c r="AQ105" s="76"/>
      <c r="AS105" s="77"/>
      <c r="AT105" s="76"/>
      <c r="AV105" s="77"/>
    </row>
    <row r="106">
      <c r="K106" s="1"/>
      <c r="L106" s="2"/>
      <c r="M106" s="1"/>
      <c r="N106" s="1"/>
      <c r="O106" s="1"/>
      <c r="Y106" s="76"/>
      <c r="AA106" s="77"/>
      <c r="AB106" s="76"/>
      <c r="AD106" s="77"/>
      <c r="AE106" s="76"/>
      <c r="AG106" s="77"/>
      <c r="AH106" s="76"/>
      <c r="AJ106" s="77"/>
      <c r="AK106" s="76"/>
      <c r="AM106" s="77"/>
      <c r="AN106" s="76"/>
      <c r="AP106" s="77"/>
      <c r="AQ106" s="76"/>
      <c r="AS106" s="77"/>
      <c r="AT106" s="76"/>
      <c r="AV106" s="77"/>
    </row>
    <row r="107">
      <c r="K107" s="1"/>
      <c r="L107" s="2"/>
      <c r="M107" s="1"/>
      <c r="N107" s="1"/>
      <c r="O107" s="1"/>
      <c r="Y107" s="76"/>
      <c r="AA107" s="77"/>
      <c r="AB107" s="76"/>
      <c r="AD107" s="77"/>
      <c r="AE107" s="76"/>
      <c r="AG107" s="77"/>
      <c r="AH107" s="76"/>
      <c r="AJ107" s="77"/>
      <c r="AK107" s="76"/>
      <c r="AM107" s="77"/>
      <c r="AN107" s="76"/>
      <c r="AP107" s="77"/>
      <c r="AQ107" s="76"/>
      <c r="AS107" s="77"/>
      <c r="AT107" s="76"/>
      <c r="AV107" s="77"/>
    </row>
    <row r="108">
      <c r="K108" s="1"/>
      <c r="L108" s="2"/>
      <c r="M108" s="1"/>
      <c r="N108" s="1"/>
      <c r="O108" s="1"/>
      <c r="Y108" s="76"/>
      <c r="AA108" s="77"/>
      <c r="AB108" s="76"/>
      <c r="AD108" s="77"/>
      <c r="AE108" s="76"/>
      <c r="AG108" s="77"/>
      <c r="AH108" s="76"/>
      <c r="AJ108" s="77"/>
      <c r="AK108" s="76"/>
      <c r="AM108" s="77"/>
      <c r="AN108" s="76"/>
      <c r="AP108" s="77"/>
      <c r="AQ108" s="76"/>
      <c r="AS108" s="77"/>
      <c r="AT108" s="76"/>
      <c r="AV108" s="77"/>
    </row>
    <row r="109">
      <c r="K109" s="1"/>
      <c r="L109" s="2"/>
      <c r="M109" s="1"/>
      <c r="N109" s="1"/>
      <c r="O109" s="1"/>
      <c r="Y109" s="76"/>
      <c r="AA109" s="77"/>
      <c r="AB109" s="76"/>
      <c r="AD109" s="77"/>
      <c r="AE109" s="76"/>
      <c r="AG109" s="77"/>
      <c r="AH109" s="76"/>
      <c r="AJ109" s="77"/>
      <c r="AK109" s="76"/>
      <c r="AM109" s="77"/>
      <c r="AN109" s="76"/>
      <c r="AP109" s="77"/>
      <c r="AQ109" s="76"/>
      <c r="AS109" s="77"/>
      <c r="AT109" s="76"/>
      <c r="AV109" s="77"/>
    </row>
    <row r="110">
      <c r="K110" s="1"/>
      <c r="L110" s="2"/>
      <c r="M110" s="1"/>
      <c r="N110" s="1"/>
      <c r="O110" s="1"/>
      <c r="Y110" s="76"/>
      <c r="AA110" s="77"/>
      <c r="AB110" s="76"/>
      <c r="AD110" s="77"/>
      <c r="AE110" s="76"/>
      <c r="AG110" s="77"/>
      <c r="AH110" s="76"/>
      <c r="AJ110" s="77"/>
      <c r="AK110" s="76"/>
      <c r="AM110" s="77"/>
      <c r="AN110" s="76"/>
      <c r="AP110" s="77"/>
      <c r="AQ110" s="76"/>
      <c r="AS110" s="77"/>
      <c r="AT110" s="76"/>
      <c r="AV110" s="77"/>
    </row>
    <row r="111">
      <c r="K111" s="1"/>
      <c r="L111" s="2"/>
      <c r="M111" s="1"/>
      <c r="N111" s="1"/>
      <c r="O111" s="1"/>
      <c r="Y111" s="76"/>
      <c r="AA111" s="77"/>
      <c r="AB111" s="76"/>
      <c r="AD111" s="77"/>
      <c r="AE111" s="76"/>
      <c r="AG111" s="77"/>
      <c r="AH111" s="76"/>
      <c r="AJ111" s="77"/>
      <c r="AK111" s="76"/>
      <c r="AM111" s="77"/>
      <c r="AN111" s="76"/>
      <c r="AP111" s="77"/>
      <c r="AQ111" s="76"/>
      <c r="AS111" s="77"/>
      <c r="AT111" s="76"/>
      <c r="AV111" s="77"/>
    </row>
    <row r="112">
      <c r="K112" s="1"/>
      <c r="L112" s="2"/>
      <c r="M112" s="1"/>
      <c r="N112" s="1"/>
      <c r="O112" s="1"/>
      <c r="Y112" s="76"/>
      <c r="AA112" s="77"/>
      <c r="AB112" s="76"/>
      <c r="AD112" s="77"/>
      <c r="AE112" s="76"/>
      <c r="AG112" s="77"/>
      <c r="AH112" s="76"/>
      <c r="AJ112" s="77"/>
      <c r="AK112" s="76"/>
      <c r="AM112" s="77"/>
      <c r="AN112" s="76"/>
      <c r="AP112" s="77"/>
      <c r="AQ112" s="76"/>
      <c r="AS112" s="77"/>
      <c r="AT112" s="76"/>
      <c r="AV112" s="77"/>
    </row>
    <row r="113">
      <c r="K113" s="1"/>
      <c r="L113" s="2"/>
      <c r="M113" s="1"/>
      <c r="N113" s="1"/>
      <c r="O113" s="1"/>
      <c r="Y113" s="76"/>
      <c r="AA113" s="77"/>
      <c r="AB113" s="76"/>
      <c r="AD113" s="77"/>
      <c r="AE113" s="76"/>
      <c r="AG113" s="77"/>
      <c r="AH113" s="76"/>
      <c r="AJ113" s="77"/>
      <c r="AK113" s="76"/>
      <c r="AM113" s="77"/>
      <c r="AN113" s="76"/>
      <c r="AP113" s="77"/>
      <c r="AQ113" s="76"/>
      <c r="AS113" s="77"/>
      <c r="AT113" s="76"/>
      <c r="AV113" s="77"/>
    </row>
    <row r="114">
      <c r="K114" s="1"/>
      <c r="L114" s="2"/>
      <c r="M114" s="1"/>
      <c r="N114" s="1"/>
      <c r="O114" s="1"/>
      <c r="Y114" s="76"/>
      <c r="AA114" s="77"/>
      <c r="AB114" s="76"/>
      <c r="AD114" s="77"/>
      <c r="AE114" s="76"/>
      <c r="AG114" s="77"/>
      <c r="AH114" s="76"/>
      <c r="AJ114" s="77"/>
      <c r="AK114" s="76"/>
      <c r="AM114" s="77"/>
      <c r="AN114" s="76"/>
      <c r="AP114" s="77"/>
      <c r="AQ114" s="76"/>
      <c r="AS114" s="77"/>
      <c r="AT114" s="76"/>
      <c r="AV114" s="77"/>
    </row>
    <row r="115">
      <c r="K115" s="1"/>
      <c r="L115" s="2"/>
      <c r="M115" s="1"/>
      <c r="N115" s="1"/>
      <c r="O115" s="1"/>
      <c r="Y115" s="76"/>
      <c r="AA115" s="77"/>
      <c r="AB115" s="76"/>
      <c r="AD115" s="77"/>
      <c r="AE115" s="76"/>
      <c r="AG115" s="77"/>
      <c r="AH115" s="76"/>
      <c r="AJ115" s="77"/>
      <c r="AK115" s="76"/>
      <c r="AM115" s="77"/>
      <c r="AN115" s="76"/>
      <c r="AP115" s="77"/>
      <c r="AQ115" s="76"/>
      <c r="AS115" s="77"/>
      <c r="AT115" s="76"/>
      <c r="AV115" s="77"/>
    </row>
    <row r="116">
      <c r="K116" s="1"/>
      <c r="L116" s="2"/>
      <c r="M116" s="1"/>
      <c r="N116" s="1"/>
      <c r="O116" s="1"/>
      <c r="Y116" s="76"/>
      <c r="AA116" s="77"/>
      <c r="AB116" s="76"/>
      <c r="AD116" s="77"/>
      <c r="AE116" s="76"/>
      <c r="AG116" s="77"/>
      <c r="AH116" s="76"/>
      <c r="AJ116" s="77"/>
      <c r="AK116" s="76"/>
      <c r="AM116" s="77"/>
      <c r="AN116" s="76"/>
      <c r="AP116" s="77"/>
      <c r="AQ116" s="76"/>
      <c r="AS116" s="77"/>
      <c r="AT116" s="76"/>
      <c r="AV116" s="77"/>
    </row>
    <row r="117">
      <c r="K117" s="1"/>
      <c r="L117" s="2"/>
      <c r="M117" s="1"/>
      <c r="N117" s="1"/>
      <c r="O117" s="1"/>
      <c r="Y117" s="76"/>
      <c r="AA117" s="77"/>
      <c r="AB117" s="76"/>
      <c r="AD117" s="77"/>
      <c r="AE117" s="76"/>
      <c r="AG117" s="77"/>
      <c r="AH117" s="76"/>
      <c r="AJ117" s="77"/>
      <c r="AK117" s="76"/>
      <c r="AM117" s="77"/>
      <c r="AN117" s="76"/>
      <c r="AP117" s="77"/>
      <c r="AQ117" s="76"/>
      <c r="AS117" s="77"/>
      <c r="AT117" s="76"/>
      <c r="AV117" s="77"/>
    </row>
    <row r="118">
      <c r="K118" s="1"/>
      <c r="L118" s="2"/>
      <c r="M118" s="1"/>
      <c r="N118" s="1"/>
      <c r="O118" s="1"/>
      <c r="Y118" s="76"/>
      <c r="AA118" s="77"/>
      <c r="AB118" s="76"/>
      <c r="AD118" s="77"/>
      <c r="AE118" s="76"/>
      <c r="AG118" s="77"/>
      <c r="AH118" s="76"/>
      <c r="AJ118" s="77"/>
      <c r="AK118" s="76"/>
      <c r="AM118" s="77"/>
      <c r="AN118" s="76"/>
      <c r="AP118" s="77"/>
      <c r="AQ118" s="76"/>
      <c r="AS118" s="77"/>
      <c r="AT118" s="76"/>
      <c r="AV118" s="77"/>
    </row>
    <row r="119">
      <c r="K119" s="1"/>
      <c r="L119" s="2"/>
      <c r="M119" s="1"/>
      <c r="N119" s="1"/>
      <c r="O119" s="1"/>
      <c r="Y119" s="76"/>
      <c r="AA119" s="77"/>
      <c r="AB119" s="76"/>
      <c r="AD119" s="77"/>
      <c r="AE119" s="76"/>
      <c r="AG119" s="77"/>
      <c r="AH119" s="76"/>
      <c r="AJ119" s="77"/>
      <c r="AK119" s="76"/>
      <c r="AM119" s="77"/>
      <c r="AN119" s="76"/>
      <c r="AP119" s="77"/>
      <c r="AQ119" s="76"/>
      <c r="AS119" s="77"/>
      <c r="AT119" s="76"/>
      <c r="AV119" s="77"/>
    </row>
    <row r="120">
      <c r="K120" s="1"/>
      <c r="L120" s="2"/>
      <c r="M120" s="1"/>
      <c r="N120" s="1"/>
      <c r="O120" s="1"/>
      <c r="Y120" s="76"/>
      <c r="AA120" s="77"/>
      <c r="AB120" s="76"/>
      <c r="AD120" s="77"/>
      <c r="AE120" s="76"/>
      <c r="AG120" s="77"/>
      <c r="AH120" s="76"/>
      <c r="AJ120" s="77"/>
      <c r="AK120" s="76"/>
      <c r="AM120" s="77"/>
      <c r="AN120" s="76"/>
      <c r="AP120" s="77"/>
      <c r="AQ120" s="76"/>
      <c r="AS120" s="77"/>
      <c r="AT120" s="76"/>
      <c r="AV120" s="77"/>
    </row>
    <row r="121">
      <c r="K121" s="1"/>
      <c r="L121" s="2"/>
      <c r="M121" s="1"/>
      <c r="N121" s="1"/>
      <c r="O121" s="1"/>
      <c r="Y121" s="76"/>
      <c r="AA121" s="77"/>
      <c r="AB121" s="76"/>
      <c r="AD121" s="77"/>
      <c r="AE121" s="76"/>
      <c r="AG121" s="77"/>
      <c r="AH121" s="76"/>
      <c r="AJ121" s="77"/>
      <c r="AK121" s="76"/>
      <c r="AM121" s="77"/>
      <c r="AN121" s="76"/>
      <c r="AP121" s="77"/>
      <c r="AQ121" s="76"/>
      <c r="AS121" s="77"/>
      <c r="AT121" s="76"/>
      <c r="AV121" s="77"/>
    </row>
    <row r="122">
      <c r="K122" s="1"/>
      <c r="L122" s="2"/>
      <c r="M122" s="1"/>
      <c r="N122" s="1"/>
      <c r="O122" s="1"/>
      <c r="Y122" s="76"/>
      <c r="AA122" s="77"/>
      <c r="AB122" s="76"/>
      <c r="AD122" s="77"/>
      <c r="AE122" s="76"/>
      <c r="AG122" s="77"/>
      <c r="AH122" s="76"/>
      <c r="AJ122" s="77"/>
      <c r="AK122" s="76"/>
      <c r="AM122" s="77"/>
      <c r="AN122" s="76"/>
      <c r="AP122" s="77"/>
      <c r="AQ122" s="76"/>
      <c r="AS122" s="77"/>
      <c r="AT122" s="76"/>
      <c r="AV122" s="77"/>
    </row>
    <row r="123">
      <c r="K123" s="1"/>
      <c r="L123" s="2"/>
      <c r="M123" s="1"/>
      <c r="N123" s="1"/>
      <c r="O123" s="1"/>
      <c r="Y123" s="76"/>
      <c r="AA123" s="77"/>
      <c r="AB123" s="76"/>
      <c r="AD123" s="77"/>
      <c r="AE123" s="76"/>
      <c r="AG123" s="77"/>
      <c r="AH123" s="76"/>
      <c r="AJ123" s="77"/>
      <c r="AK123" s="76"/>
      <c r="AM123" s="77"/>
      <c r="AN123" s="76"/>
      <c r="AP123" s="77"/>
      <c r="AQ123" s="76"/>
      <c r="AS123" s="77"/>
      <c r="AT123" s="76"/>
      <c r="AV123" s="77"/>
    </row>
    <row r="124">
      <c r="K124" s="1"/>
      <c r="L124" s="2"/>
      <c r="M124" s="1"/>
      <c r="N124" s="1"/>
      <c r="O124" s="1"/>
      <c r="Y124" s="76"/>
      <c r="AA124" s="77"/>
      <c r="AB124" s="76"/>
      <c r="AD124" s="77"/>
      <c r="AE124" s="76"/>
      <c r="AG124" s="77"/>
      <c r="AH124" s="76"/>
      <c r="AJ124" s="77"/>
      <c r="AK124" s="76"/>
      <c r="AM124" s="77"/>
      <c r="AN124" s="76"/>
      <c r="AP124" s="77"/>
      <c r="AQ124" s="76"/>
      <c r="AS124" s="77"/>
      <c r="AT124" s="76"/>
      <c r="AV124" s="77"/>
    </row>
    <row r="125">
      <c r="K125" s="1"/>
      <c r="L125" s="2"/>
      <c r="M125" s="1"/>
      <c r="N125" s="1"/>
      <c r="O125" s="1"/>
      <c r="Y125" s="76"/>
      <c r="AA125" s="77"/>
      <c r="AB125" s="76"/>
      <c r="AD125" s="77"/>
      <c r="AE125" s="76"/>
      <c r="AG125" s="77"/>
      <c r="AH125" s="76"/>
      <c r="AJ125" s="77"/>
      <c r="AK125" s="76"/>
      <c r="AM125" s="77"/>
      <c r="AN125" s="76"/>
      <c r="AP125" s="77"/>
      <c r="AQ125" s="76"/>
      <c r="AS125" s="77"/>
      <c r="AT125" s="76"/>
      <c r="AV125" s="77"/>
    </row>
    <row r="126">
      <c r="K126" s="1"/>
      <c r="L126" s="2"/>
      <c r="M126" s="1"/>
      <c r="N126" s="1"/>
      <c r="O126" s="1"/>
      <c r="Y126" s="76"/>
      <c r="AA126" s="77"/>
      <c r="AB126" s="76"/>
      <c r="AD126" s="77"/>
      <c r="AE126" s="76"/>
      <c r="AG126" s="77"/>
      <c r="AH126" s="76"/>
      <c r="AJ126" s="77"/>
      <c r="AK126" s="76"/>
      <c r="AM126" s="77"/>
      <c r="AN126" s="76"/>
      <c r="AP126" s="77"/>
      <c r="AQ126" s="76"/>
      <c r="AS126" s="77"/>
      <c r="AT126" s="76"/>
      <c r="AV126" s="77"/>
    </row>
    <row r="127">
      <c r="K127" s="1"/>
      <c r="L127" s="2"/>
      <c r="M127" s="1"/>
      <c r="N127" s="1"/>
      <c r="O127" s="1"/>
      <c r="Y127" s="76"/>
      <c r="AA127" s="77"/>
      <c r="AB127" s="76"/>
      <c r="AD127" s="77"/>
      <c r="AE127" s="76"/>
      <c r="AG127" s="77"/>
      <c r="AH127" s="76"/>
      <c r="AJ127" s="77"/>
      <c r="AK127" s="76"/>
      <c r="AM127" s="77"/>
      <c r="AN127" s="76"/>
      <c r="AP127" s="77"/>
      <c r="AQ127" s="76"/>
      <c r="AS127" s="77"/>
      <c r="AT127" s="76"/>
      <c r="AV127" s="77"/>
    </row>
    <row r="128">
      <c r="K128" s="1"/>
      <c r="L128" s="2"/>
      <c r="M128" s="1"/>
      <c r="N128" s="1"/>
      <c r="O128" s="1"/>
      <c r="Y128" s="76"/>
      <c r="AA128" s="77"/>
      <c r="AB128" s="76"/>
      <c r="AD128" s="77"/>
      <c r="AE128" s="76"/>
      <c r="AG128" s="77"/>
      <c r="AH128" s="76"/>
      <c r="AJ128" s="77"/>
      <c r="AK128" s="76"/>
      <c r="AM128" s="77"/>
      <c r="AN128" s="76"/>
      <c r="AP128" s="77"/>
      <c r="AQ128" s="76"/>
      <c r="AS128" s="77"/>
      <c r="AT128" s="76"/>
      <c r="AV128" s="77"/>
    </row>
    <row r="129">
      <c r="K129" s="1"/>
      <c r="L129" s="2"/>
      <c r="M129" s="1"/>
      <c r="N129" s="1"/>
      <c r="O129" s="1"/>
      <c r="Y129" s="76"/>
      <c r="AA129" s="77"/>
      <c r="AB129" s="76"/>
      <c r="AD129" s="77"/>
      <c r="AE129" s="76"/>
      <c r="AG129" s="77"/>
      <c r="AH129" s="76"/>
      <c r="AJ129" s="77"/>
      <c r="AK129" s="76"/>
      <c r="AM129" s="77"/>
      <c r="AN129" s="76"/>
      <c r="AP129" s="77"/>
      <c r="AQ129" s="76"/>
      <c r="AS129" s="77"/>
      <c r="AT129" s="76"/>
      <c r="AV129" s="77"/>
    </row>
    <row r="130">
      <c r="K130" s="1"/>
      <c r="L130" s="2"/>
      <c r="M130" s="1"/>
      <c r="N130" s="1"/>
      <c r="O130" s="1"/>
      <c r="Y130" s="76"/>
      <c r="AA130" s="77"/>
      <c r="AB130" s="76"/>
      <c r="AD130" s="77"/>
      <c r="AE130" s="76"/>
      <c r="AG130" s="77"/>
      <c r="AH130" s="76"/>
      <c r="AJ130" s="77"/>
      <c r="AK130" s="76"/>
      <c r="AM130" s="77"/>
      <c r="AN130" s="76"/>
      <c r="AP130" s="77"/>
      <c r="AQ130" s="76"/>
      <c r="AS130" s="77"/>
      <c r="AT130" s="76"/>
      <c r="AV130" s="77"/>
    </row>
    <row r="131">
      <c r="K131" s="1"/>
      <c r="L131" s="2"/>
      <c r="M131" s="1"/>
      <c r="N131" s="1"/>
      <c r="O131" s="1"/>
      <c r="Y131" s="76"/>
      <c r="AA131" s="77"/>
      <c r="AB131" s="76"/>
      <c r="AD131" s="77"/>
      <c r="AE131" s="76"/>
      <c r="AG131" s="77"/>
      <c r="AH131" s="76"/>
      <c r="AJ131" s="77"/>
      <c r="AK131" s="76"/>
      <c r="AM131" s="77"/>
      <c r="AN131" s="76"/>
      <c r="AP131" s="77"/>
      <c r="AQ131" s="76"/>
      <c r="AS131" s="77"/>
      <c r="AT131" s="76"/>
      <c r="AV131" s="77"/>
    </row>
    <row r="132">
      <c r="K132" s="1"/>
      <c r="L132" s="2"/>
      <c r="M132" s="1"/>
      <c r="N132" s="1"/>
      <c r="O132" s="1"/>
      <c r="Y132" s="76"/>
      <c r="AA132" s="77"/>
      <c r="AB132" s="76"/>
      <c r="AD132" s="77"/>
      <c r="AE132" s="76"/>
      <c r="AG132" s="77"/>
      <c r="AH132" s="76"/>
      <c r="AJ132" s="77"/>
      <c r="AK132" s="76"/>
      <c r="AM132" s="77"/>
      <c r="AN132" s="76"/>
      <c r="AP132" s="77"/>
      <c r="AQ132" s="76"/>
      <c r="AS132" s="77"/>
      <c r="AT132" s="76"/>
      <c r="AV132" s="77"/>
    </row>
    <row r="133">
      <c r="K133" s="1"/>
      <c r="L133" s="2"/>
      <c r="M133" s="1"/>
      <c r="N133" s="1"/>
      <c r="O133" s="1"/>
      <c r="Y133" s="76"/>
      <c r="AA133" s="77"/>
      <c r="AB133" s="76"/>
      <c r="AD133" s="77"/>
      <c r="AE133" s="76"/>
      <c r="AG133" s="77"/>
      <c r="AH133" s="76"/>
      <c r="AJ133" s="77"/>
      <c r="AK133" s="76"/>
      <c r="AM133" s="77"/>
      <c r="AN133" s="76"/>
      <c r="AP133" s="77"/>
      <c r="AQ133" s="76"/>
      <c r="AS133" s="77"/>
      <c r="AT133" s="76"/>
      <c r="AV133" s="77"/>
    </row>
    <row r="134">
      <c r="K134" s="1"/>
      <c r="L134" s="2"/>
      <c r="M134" s="1"/>
      <c r="N134" s="1"/>
      <c r="O134" s="1"/>
      <c r="Y134" s="76"/>
      <c r="AA134" s="77"/>
      <c r="AB134" s="76"/>
      <c r="AD134" s="77"/>
      <c r="AE134" s="76"/>
      <c r="AG134" s="77"/>
      <c r="AH134" s="76"/>
      <c r="AJ134" s="77"/>
      <c r="AK134" s="76"/>
      <c r="AM134" s="77"/>
      <c r="AN134" s="76"/>
      <c r="AP134" s="77"/>
      <c r="AQ134" s="76"/>
      <c r="AS134" s="77"/>
      <c r="AT134" s="76"/>
      <c r="AV134" s="77"/>
    </row>
    <row r="135">
      <c r="K135" s="1"/>
      <c r="L135" s="2"/>
      <c r="M135" s="1"/>
      <c r="N135" s="1"/>
      <c r="O135" s="1"/>
      <c r="Y135" s="76"/>
      <c r="AA135" s="77"/>
      <c r="AB135" s="76"/>
      <c r="AD135" s="77"/>
      <c r="AE135" s="76"/>
      <c r="AG135" s="77"/>
      <c r="AH135" s="76"/>
      <c r="AJ135" s="77"/>
      <c r="AK135" s="76"/>
      <c r="AM135" s="77"/>
      <c r="AN135" s="76"/>
      <c r="AP135" s="77"/>
      <c r="AQ135" s="76"/>
      <c r="AS135" s="77"/>
      <c r="AT135" s="76"/>
      <c r="AV135" s="77"/>
    </row>
    <row r="136">
      <c r="K136" s="1"/>
      <c r="L136" s="2"/>
      <c r="M136" s="1"/>
      <c r="N136" s="1"/>
      <c r="O136" s="1"/>
      <c r="Y136" s="76"/>
      <c r="AA136" s="77"/>
      <c r="AB136" s="76"/>
      <c r="AD136" s="77"/>
      <c r="AE136" s="76"/>
      <c r="AG136" s="77"/>
      <c r="AH136" s="76"/>
      <c r="AJ136" s="77"/>
      <c r="AK136" s="76"/>
      <c r="AM136" s="77"/>
      <c r="AN136" s="76"/>
      <c r="AP136" s="77"/>
      <c r="AQ136" s="76"/>
      <c r="AS136" s="77"/>
      <c r="AT136" s="76"/>
      <c r="AV136" s="77"/>
    </row>
    <row r="137">
      <c r="K137" s="1"/>
      <c r="L137" s="2"/>
      <c r="M137" s="1"/>
      <c r="N137" s="1"/>
      <c r="O137" s="1"/>
      <c r="Y137" s="76"/>
      <c r="AA137" s="77"/>
      <c r="AB137" s="76"/>
      <c r="AD137" s="77"/>
      <c r="AE137" s="76"/>
      <c r="AG137" s="77"/>
      <c r="AH137" s="76"/>
      <c r="AJ137" s="77"/>
      <c r="AK137" s="76"/>
      <c r="AM137" s="77"/>
      <c r="AN137" s="76"/>
      <c r="AP137" s="77"/>
      <c r="AQ137" s="76"/>
      <c r="AS137" s="77"/>
      <c r="AT137" s="76"/>
      <c r="AV137" s="77"/>
    </row>
    <row r="138">
      <c r="K138" s="1"/>
      <c r="L138" s="2"/>
      <c r="M138" s="1"/>
      <c r="N138" s="1"/>
      <c r="O138" s="1"/>
      <c r="Y138" s="76"/>
      <c r="AA138" s="77"/>
      <c r="AB138" s="76"/>
      <c r="AD138" s="77"/>
      <c r="AE138" s="76"/>
      <c r="AG138" s="77"/>
      <c r="AH138" s="76"/>
      <c r="AJ138" s="77"/>
      <c r="AK138" s="76"/>
      <c r="AM138" s="77"/>
      <c r="AN138" s="76"/>
      <c r="AP138" s="77"/>
      <c r="AQ138" s="76"/>
      <c r="AS138" s="77"/>
      <c r="AT138" s="76"/>
      <c r="AV138" s="77"/>
    </row>
    <row r="139">
      <c r="K139" s="1"/>
      <c r="L139" s="2"/>
      <c r="M139" s="1"/>
      <c r="N139" s="1"/>
      <c r="O139" s="1"/>
      <c r="Y139" s="76"/>
      <c r="AA139" s="77"/>
      <c r="AB139" s="76"/>
      <c r="AD139" s="77"/>
      <c r="AE139" s="76"/>
      <c r="AG139" s="77"/>
      <c r="AH139" s="76"/>
      <c r="AJ139" s="77"/>
      <c r="AK139" s="76"/>
      <c r="AM139" s="77"/>
      <c r="AN139" s="76"/>
      <c r="AP139" s="77"/>
      <c r="AQ139" s="76"/>
      <c r="AS139" s="77"/>
      <c r="AT139" s="76"/>
      <c r="AV139" s="77"/>
    </row>
    <row r="140">
      <c r="K140" s="1"/>
      <c r="L140" s="2"/>
      <c r="M140" s="1"/>
      <c r="N140" s="1"/>
      <c r="O140" s="1"/>
      <c r="Y140" s="76"/>
      <c r="AA140" s="77"/>
      <c r="AB140" s="76"/>
      <c r="AD140" s="77"/>
      <c r="AE140" s="76"/>
      <c r="AG140" s="77"/>
      <c r="AH140" s="76"/>
      <c r="AJ140" s="77"/>
      <c r="AK140" s="76"/>
      <c r="AM140" s="77"/>
      <c r="AN140" s="76"/>
      <c r="AP140" s="77"/>
      <c r="AQ140" s="76"/>
      <c r="AS140" s="77"/>
      <c r="AT140" s="76"/>
      <c r="AV140" s="77"/>
    </row>
    <row r="141">
      <c r="K141" s="1"/>
      <c r="L141" s="2"/>
      <c r="M141" s="1"/>
      <c r="N141" s="1"/>
      <c r="O141" s="1"/>
      <c r="Y141" s="76"/>
      <c r="AA141" s="77"/>
      <c r="AB141" s="76"/>
      <c r="AD141" s="77"/>
      <c r="AE141" s="76"/>
      <c r="AG141" s="77"/>
      <c r="AH141" s="76"/>
      <c r="AJ141" s="77"/>
      <c r="AK141" s="76"/>
      <c r="AM141" s="77"/>
      <c r="AN141" s="76"/>
      <c r="AP141" s="77"/>
      <c r="AQ141" s="76"/>
      <c r="AS141" s="77"/>
      <c r="AT141" s="76"/>
      <c r="AV141" s="77"/>
    </row>
    <row r="142">
      <c r="K142" s="1"/>
      <c r="L142" s="2"/>
      <c r="M142" s="1"/>
      <c r="N142" s="1"/>
      <c r="O142" s="1"/>
      <c r="Y142" s="76"/>
      <c r="AA142" s="77"/>
      <c r="AB142" s="76"/>
      <c r="AD142" s="77"/>
      <c r="AE142" s="76"/>
      <c r="AG142" s="77"/>
      <c r="AH142" s="76"/>
      <c r="AJ142" s="77"/>
      <c r="AK142" s="76"/>
      <c r="AM142" s="77"/>
      <c r="AN142" s="76"/>
      <c r="AP142" s="77"/>
      <c r="AQ142" s="76"/>
      <c r="AS142" s="77"/>
      <c r="AT142" s="76"/>
      <c r="AV142" s="77"/>
    </row>
    <row r="143">
      <c r="K143" s="1"/>
      <c r="L143" s="2"/>
      <c r="M143" s="1"/>
      <c r="N143" s="1"/>
      <c r="O143" s="1"/>
      <c r="Y143" s="76"/>
      <c r="AA143" s="77"/>
      <c r="AB143" s="76"/>
      <c r="AD143" s="77"/>
      <c r="AE143" s="76"/>
      <c r="AG143" s="77"/>
      <c r="AH143" s="76"/>
      <c r="AJ143" s="77"/>
      <c r="AK143" s="76"/>
      <c r="AM143" s="77"/>
      <c r="AN143" s="76"/>
      <c r="AP143" s="77"/>
      <c r="AQ143" s="76"/>
      <c r="AS143" s="77"/>
      <c r="AT143" s="76"/>
      <c r="AV143" s="77"/>
    </row>
    <row r="144">
      <c r="K144" s="1"/>
      <c r="L144" s="2"/>
      <c r="M144" s="1"/>
      <c r="N144" s="1"/>
      <c r="O144" s="1"/>
      <c r="Y144" s="76"/>
      <c r="AA144" s="77"/>
      <c r="AB144" s="76"/>
      <c r="AD144" s="77"/>
      <c r="AE144" s="76"/>
      <c r="AG144" s="77"/>
      <c r="AH144" s="76"/>
      <c r="AJ144" s="77"/>
      <c r="AK144" s="76"/>
      <c r="AM144" s="77"/>
      <c r="AN144" s="76"/>
      <c r="AP144" s="77"/>
      <c r="AQ144" s="76"/>
      <c r="AS144" s="77"/>
      <c r="AT144" s="76"/>
      <c r="AV144" s="77"/>
    </row>
    <row r="145">
      <c r="K145" s="1"/>
      <c r="L145" s="2"/>
      <c r="M145" s="1"/>
      <c r="N145" s="1"/>
      <c r="O145" s="1"/>
      <c r="Y145" s="76"/>
      <c r="AA145" s="77"/>
      <c r="AB145" s="76"/>
      <c r="AD145" s="77"/>
      <c r="AE145" s="76"/>
      <c r="AG145" s="77"/>
      <c r="AH145" s="76"/>
      <c r="AJ145" s="77"/>
      <c r="AK145" s="76"/>
      <c r="AM145" s="77"/>
      <c r="AN145" s="76"/>
      <c r="AP145" s="77"/>
      <c r="AQ145" s="76"/>
      <c r="AS145" s="77"/>
      <c r="AT145" s="76"/>
      <c r="AV145" s="77"/>
    </row>
    <row r="146">
      <c r="K146" s="1"/>
      <c r="L146" s="2"/>
      <c r="M146" s="1"/>
      <c r="N146" s="1"/>
      <c r="O146" s="1"/>
      <c r="Y146" s="76"/>
      <c r="AA146" s="77"/>
      <c r="AB146" s="76"/>
      <c r="AD146" s="77"/>
      <c r="AE146" s="76"/>
      <c r="AG146" s="77"/>
      <c r="AH146" s="76"/>
      <c r="AJ146" s="77"/>
      <c r="AK146" s="76"/>
      <c r="AM146" s="77"/>
      <c r="AN146" s="76"/>
      <c r="AP146" s="77"/>
      <c r="AQ146" s="76"/>
      <c r="AS146" s="77"/>
      <c r="AT146" s="76"/>
      <c r="AV146" s="77"/>
    </row>
    <row r="147">
      <c r="K147" s="1"/>
      <c r="L147" s="2"/>
      <c r="M147" s="1"/>
      <c r="N147" s="1"/>
      <c r="O147" s="1"/>
      <c r="Y147" s="76"/>
      <c r="AA147" s="77"/>
      <c r="AB147" s="76"/>
      <c r="AD147" s="77"/>
      <c r="AE147" s="76"/>
      <c r="AG147" s="77"/>
      <c r="AH147" s="76"/>
      <c r="AJ147" s="77"/>
      <c r="AK147" s="76"/>
      <c r="AM147" s="77"/>
      <c r="AN147" s="76"/>
      <c r="AP147" s="77"/>
      <c r="AQ147" s="76"/>
      <c r="AS147" s="77"/>
      <c r="AT147" s="76"/>
      <c r="AV147" s="77"/>
    </row>
    <row r="148">
      <c r="K148" s="1"/>
      <c r="L148" s="2"/>
      <c r="M148" s="1"/>
      <c r="N148" s="1"/>
      <c r="O148" s="1"/>
      <c r="Y148" s="76"/>
      <c r="AA148" s="77"/>
      <c r="AB148" s="76"/>
      <c r="AD148" s="77"/>
      <c r="AE148" s="76"/>
      <c r="AG148" s="77"/>
      <c r="AH148" s="76"/>
      <c r="AJ148" s="77"/>
      <c r="AK148" s="76"/>
      <c r="AM148" s="77"/>
      <c r="AN148" s="76"/>
      <c r="AP148" s="77"/>
      <c r="AQ148" s="76"/>
      <c r="AS148" s="77"/>
      <c r="AT148" s="76"/>
      <c r="AV148" s="77"/>
    </row>
    <row r="149">
      <c r="K149" s="1"/>
      <c r="L149" s="2"/>
      <c r="M149" s="1"/>
      <c r="N149" s="1"/>
      <c r="O149" s="1"/>
      <c r="Y149" s="76"/>
      <c r="AA149" s="77"/>
      <c r="AB149" s="76"/>
      <c r="AD149" s="77"/>
      <c r="AE149" s="76"/>
      <c r="AG149" s="77"/>
      <c r="AH149" s="76"/>
      <c r="AJ149" s="77"/>
      <c r="AK149" s="76"/>
      <c r="AM149" s="77"/>
      <c r="AN149" s="76"/>
      <c r="AP149" s="77"/>
      <c r="AQ149" s="76"/>
      <c r="AS149" s="77"/>
      <c r="AT149" s="76"/>
      <c r="AV149" s="77"/>
    </row>
    <row r="150">
      <c r="K150" s="1"/>
      <c r="L150" s="2"/>
      <c r="M150" s="1"/>
      <c r="N150" s="1"/>
      <c r="O150" s="1"/>
      <c r="Y150" s="76"/>
      <c r="AA150" s="77"/>
      <c r="AB150" s="76"/>
      <c r="AD150" s="77"/>
      <c r="AE150" s="76"/>
      <c r="AG150" s="77"/>
      <c r="AH150" s="76"/>
      <c r="AJ150" s="77"/>
      <c r="AK150" s="76"/>
      <c r="AM150" s="77"/>
      <c r="AN150" s="76"/>
      <c r="AP150" s="77"/>
      <c r="AQ150" s="76"/>
      <c r="AS150" s="77"/>
      <c r="AT150" s="76"/>
      <c r="AV150" s="77"/>
    </row>
    <row r="151">
      <c r="K151" s="1"/>
      <c r="L151" s="2"/>
      <c r="M151" s="1"/>
      <c r="N151" s="1"/>
      <c r="O151" s="1"/>
      <c r="Y151" s="76"/>
      <c r="AA151" s="77"/>
      <c r="AB151" s="76"/>
      <c r="AD151" s="77"/>
      <c r="AE151" s="76"/>
      <c r="AG151" s="77"/>
      <c r="AH151" s="76"/>
      <c r="AJ151" s="77"/>
      <c r="AK151" s="76"/>
      <c r="AM151" s="77"/>
      <c r="AN151" s="76"/>
      <c r="AP151" s="77"/>
      <c r="AQ151" s="76"/>
      <c r="AS151" s="77"/>
      <c r="AT151" s="76"/>
      <c r="AV151" s="77"/>
    </row>
    <row r="152">
      <c r="K152" s="1"/>
      <c r="L152" s="2"/>
      <c r="M152" s="1"/>
      <c r="N152" s="1"/>
      <c r="O152" s="1"/>
      <c r="Y152" s="76"/>
      <c r="AA152" s="77"/>
      <c r="AB152" s="76"/>
      <c r="AD152" s="77"/>
      <c r="AE152" s="76"/>
      <c r="AG152" s="77"/>
      <c r="AH152" s="76"/>
      <c r="AJ152" s="77"/>
      <c r="AK152" s="76"/>
      <c r="AM152" s="77"/>
      <c r="AN152" s="76"/>
      <c r="AP152" s="77"/>
      <c r="AQ152" s="76"/>
      <c r="AS152" s="77"/>
      <c r="AT152" s="76"/>
      <c r="AV152" s="77"/>
    </row>
    <row r="153">
      <c r="K153" s="1"/>
      <c r="L153" s="2"/>
      <c r="M153" s="1"/>
      <c r="N153" s="1"/>
      <c r="O153" s="1"/>
      <c r="Y153" s="76"/>
      <c r="AA153" s="77"/>
      <c r="AB153" s="76"/>
      <c r="AD153" s="77"/>
      <c r="AE153" s="76"/>
      <c r="AG153" s="77"/>
      <c r="AH153" s="76"/>
      <c r="AJ153" s="77"/>
      <c r="AK153" s="76"/>
      <c r="AM153" s="77"/>
      <c r="AN153" s="76"/>
      <c r="AP153" s="77"/>
      <c r="AQ153" s="76"/>
      <c r="AS153" s="77"/>
      <c r="AT153" s="76"/>
      <c r="AV153" s="77"/>
    </row>
    <row r="154">
      <c r="K154" s="1"/>
      <c r="L154" s="2"/>
      <c r="M154" s="1"/>
      <c r="N154" s="1"/>
      <c r="O154" s="1"/>
      <c r="Y154" s="76"/>
      <c r="AA154" s="77"/>
      <c r="AB154" s="76"/>
      <c r="AD154" s="77"/>
      <c r="AE154" s="76"/>
      <c r="AG154" s="77"/>
      <c r="AH154" s="76"/>
      <c r="AJ154" s="77"/>
      <c r="AK154" s="76"/>
      <c r="AM154" s="77"/>
      <c r="AN154" s="76"/>
      <c r="AP154" s="77"/>
      <c r="AQ154" s="76"/>
      <c r="AS154" s="77"/>
      <c r="AT154" s="76"/>
      <c r="AV154" s="77"/>
    </row>
    <row r="155">
      <c r="K155" s="1"/>
      <c r="L155" s="2"/>
      <c r="M155" s="1"/>
      <c r="N155" s="1"/>
      <c r="O155" s="1"/>
      <c r="Y155" s="76"/>
      <c r="AA155" s="77"/>
      <c r="AB155" s="76"/>
      <c r="AD155" s="77"/>
      <c r="AE155" s="76"/>
      <c r="AG155" s="77"/>
      <c r="AH155" s="76"/>
      <c r="AJ155" s="77"/>
      <c r="AK155" s="76"/>
      <c r="AM155" s="77"/>
      <c r="AN155" s="76"/>
      <c r="AP155" s="77"/>
      <c r="AQ155" s="76"/>
      <c r="AS155" s="77"/>
      <c r="AT155" s="76"/>
      <c r="AV155" s="77"/>
    </row>
    <row r="156">
      <c r="K156" s="1"/>
      <c r="L156" s="2"/>
      <c r="M156" s="1"/>
      <c r="N156" s="1"/>
      <c r="O156" s="1"/>
      <c r="Y156" s="76"/>
      <c r="AA156" s="77"/>
      <c r="AB156" s="76"/>
      <c r="AD156" s="77"/>
      <c r="AE156" s="76"/>
      <c r="AG156" s="77"/>
      <c r="AH156" s="76"/>
      <c r="AJ156" s="77"/>
      <c r="AK156" s="76"/>
      <c r="AM156" s="77"/>
      <c r="AN156" s="76"/>
      <c r="AP156" s="77"/>
      <c r="AQ156" s="76"/>
      <c r="AS156" s="77"/>
      <c r="AT156" s="76"/>
      <c r="AV156" s="77"/>
    </row>
    <row r="157">
      <c r="K157" s="1"/>
      <c r="L157" s="2"/>
      <c r="M157" s="1"/>
      <c r="N157" s="1"/>
      <c r="O157" s="1"/>
      <c r="Y157" s="76"/>
      <c r="AA157" s="77"/>
      <c r="AB157" s="76"/>
      <c r="AD157" s="77"/>
      <c r="AE157" s="76"/>
      <c r="AG157" s="77"/>
      <c r="AH157" s="76"/>
      <c r="AJ157" s="77"/>
      <c r="AK157" s="76"/>
      <c r="AM157" s="77"/>
      <c r="AN157" s="76"/>
      <c r="AP157" s="77"/>
      <c r="AQ157" s="76"/>
      <c r="AS157" s="77"/>
      <c r="AT157" s="76"/>
      <c r="AV157" s="77"/>
    </row>
    <row r="158">
      <c r="K158" s="1"/>
      <c r="L158" s="2"/>
      <c r="M158" s="1"/>
      <c r="N158" s="1"/>
      <c r="O158" s="1"/>
      <c r="Y158" s="76"/>
      <c r="AA158" s="77"/>
      <c r="AB158" s="76"/>
      <c r="AD158" s="77"/>
      <c r="AE158" s="76"/>
      <c r="AG158" s="77"/>
      <c r="AH158" s="76"/>
      <c r="AJ158" s="77"/>
      <c r="AK158" s="76"/>
      <c r="AM158" s="77"/>
      <c r="AN158" s="76"/>
      <c r="AP158" s="77"/>
      <c r="AQ158" s="76"/>
      <c r="AS158" s="77"/>
      <c r="AT158" s="76"/>
      <c r="AV158" s="77"/>
    </row>
    <row r="159">
      <c r="K159" s="1"/>
      <c r="L159" s="2"/>
      <c r="M159" s="1"/>
      <c r="N159" s="1"/>
      <c r="O159" s="1"/>
      <c r="Y159" s="76"/>
      <c r="AA159" s="77"/>
      <c r="AB159" s="76"/>
      <c r="AD159" s="77"/>
      <c r="AE159" s="76"/>
      <c r="AG159" s="77"/>
      <c r="AH159" s="76"/>
      <c r="AJ159" s="77"/>
      <c r="AK159" s="76"/>
      <c r="AM159" s="77"/>
      <c r="AN159" s="76"/>
      <c r="AP159" s="77"/>
      <c r="AQ159" s="76"/>
      <c r="AS159" s="77"/>
      <c r="AT159" s="76"/>
      <c r="AV159" s="77"/>
    </row>
    <row r="160">
      <c r="K160" s="1"/>
      <c r="L160" s="2"/>
      <c r="M160" s="1"/>
      <c r="N160" s="1"/>
      <c r="O160" s="1"/>
      <c r="Y160" s="76"/>
      <c r="AA160" s="77"/>
      <c r="AB160" s="76"/>
      <c r="AD160" s="77"/>
      <c r="AE160" s="76"/>
      <c r="AG160" s="77"/>
      <c r="AH160" s="76"/>
      <c r="AJ160" s="77"/>
      <c r="AK160" s="76"/>
      <c r="AM160" s="77"/>
      <c r="AN160" s="76"/>
      <c r="AP160" s="77"/>
      <c r="AQ160" s="76"/>
      <c r="AS160" s="77"/>
      <c r="AT160" s="76"/>
      <c r="AV160" s="77"/>
    </row>
    <row r="161">
      <c r="K161" s="1"/>
      <c r="L161" s="2"/>
      <c r="M161" s="1"/>
      <c r="N161" s="1"/>
      <c r="O161" s="1"/>
      <c r="Y161" s="76"/>
      <c r="AA161" s="77"/>
      <c r="AB161" s="76"/>
      <c r="AD161" s="77"/>
      <c r="AE161" s="76"/>
      <c r="AG161" s="77"/>
      <c r="AH161" s="76"/>
      <c r="AJ161" s="77"/>
      <c r="AK161" s="76"/>
      <c r="AM161" s="77"/>
      <c r="AN161" s="76"/>
      <c r="AP161" s="77"/>
      <c r="AQ161" s="76"/>
      <c r="AS161" s="77"/>
      <c r="AT161" s="76"/>
      <c r="AV161" s="77"/>
    </row>
    <row r="162">
      <c r="K162" s="1"/>
      <c r="L162" s="2"/>
      <c r="M162" s="1"/>
      <c r="N162" s="1"/>
      <c r="O162" s="1"/>
      <c r="Y162" s="76"/>
      <c r="AA162" s="77"/>
      <c r="AB162" s="76"/>
      <c r="AD162" s="77"/>
      <c r="AE162" s="76"/>
      <c r="AG162" s="77"/>
      <c r="AH162" s="76"/>
      <c r="AJ162" s="77"/>
      <c r="AK162" s="76"/>
      <c r="AM162" s="77"/>
      <c r="AN162" s="76"/>
      <c r="AP162" s="77"/>
      <c r="AQ162" s="76"/>
      <c r="AS162" s="77"/>
      <c r="AT162" s="76"/>
      <c r="AV162" s="77"/>
    </row>
    <row r="163">
      <c r="K163" s="1"/>
      <c r="L163" s="2"/>
      <c r="M163" s="1"/>
      <c r="N163" s="1"/>
      <c r="O163" s="1"/>
      <c r="Y163" s="76"/>
      <c r="AA163" s="77"/>
      <c r="AB163" s="76"/>
      <c r="AD163" s="77"/>
      <c r="AE163" s="76"/>
      <c r="AG163" s="77"/>
      <c r="AH163" s="76"/>
      <c r="AJ163" s="77"/>
      <c r="AK163" s="76"/>
      <c r="AM163" s="77"/>
      <c r="AN163" s="76"/>
      <c r="AP163" s="77"/>
      <c r="AQ163" s="76"/>
      <c r="AS163" s="77"/>
      <c r="AT163" s="76"/>
      <c r="AV163" s="77"/>
    </row>
    <row r="164">
      <c r="K164" s="1"/>
      <c r="L164" s="2"/>
      <c r="M164" s="1"/>
      <c r="N164" s="1"/>
      <c r="O164" s="1"/>
      <c r="Y164" s="76"/>
      <c r="AA164" s="77"/>
      <c r="AB164" s="76"/>
      <c r="AD164" s="77"/>
      <c r="AE164" s="76"/>
      <c r="AG164" s="77"/>
      <c r="AH164" s="76"/>
      <c r="AJ164" s="77"/>
      <c r="AK164" s="76"/>
      <c r="AM164" s="77"/>
      <c r="AN164" s="76"/>
      <c r="AP164" s="77"/>
      <c r="AQ164" s="76"/>
      <c r="AS164" s="77"/>
      <c r="AT164" s="76"/>
      <c r="AV164" s="77"/>
    </row>
    <row r="165">
      <c r="K165" s="1"/>
      <c r="L165" s="2"/>
      <c r="M165" s="1"/>
      <c r="N165" s="1"/>
      <c r="O165" s="1"/>
      <c r="Y165" s="76"/>
      <c r="AA165" s="77"/>
      <c r="AB165" s="76"/>
      <c r="AD165" s="77"/>
      <c r="AE165" s="76"/>
      <c r="AG165" s="77"/>
      <c r="AH165" s="76"/>
      <c r="AJ165" s="77"/>
      <c r="AK165" s="76"/>
      <c r="AM165" s="77"/>
      <c r="AN165" s="76"/>
      <c r="AP165" s="77"/>
      <c r="AQ165" s="76"/>
      <c r="AS165" s="77"/>
      <c r="AT165" s="76"/>
      <c r="AV165" s="77"/>
    </row>
    <row r="166">
      <c r="K166" s="1"/>
      <c r="L166" s="2"/>
      <c r="M166" s="1"/>
      <c r="N166" s="1"/>
      <c r="O166" s="1"/>
      <c r="Y166" s="76"/>
      <c r="AA166" s="77"/>
      <c r="AB166" s="76"/>
      <c r="AD166" s="77"/>
      <c r="AE166" s="76"/>
      <c r="AG166" s="77"/>
      <c r="AH166" s="76"/>
      <c r="AJ166" s="77"/>
      <c r="AK166" s="76"/>
      <c r="AM166" s="77"/>
      <c r="AN166" s="76"/>
      <c r="AP166" s="77"/>
      <c r="AQ166" s="76"/>
      <c r="AS166" s="77"/>
      <c r="AT166" s="76"/>
      <c r="AV166" s="77"/>
    </row>
    <row r="167">
      <c r="K167" s="1"/>
      <c r="L167" s="2"/>
      <c r="M167" s="1"/>
      <c r="N167" s="1"/>
      <c r="O167" s="1"/>
      <c r="Y167" s="76"/>
      <c r="AA167" s="77"/>
      <c r="AB167" s="76"/>
      <c r="AD167" s="77"/>
      <c r="AE167" s="76"/>
      <c r="AG167" s="77"/>
      <c r="AH167" s="76"/>
      <c r="AJ167" s="77"/>
      <c r="AK167" s="76"/>
      <c r="AM167" s="77"/>
      <c r="AN167" s="76"/>
      <c r="AP167" s="77"/>
      <c r="AQ167" s="76"/>
      <c r="AS167" s="77"/>
      <c r="AT167" s="76"/>
      <c r="AV167" s="77"/>
    </row>
    <row r="168">
      <c r="K168" s="1"/>
      <c r="L168" s="2"/>
      <c r="M168" s="1"/>
      <c r="N168" s="1"/>
      <c r="O168" s="1"/>
      <c r="Y168" s="76"/>
      <c r="AA168" s="77"/>
      <c r="AB168" s="76"/>
      <c r="AD168" s="77"/>
      <c r="AE168" s="76"/>
      <c r="AG168" s="77"/>
      <c r="AH168" s="76"/>
      <c r="AJ168" s="77"/>
      <c r="AK168" s="76"/>
      <c r="AM168" s="77"/>
      <c r="AN168" s="76"/>
      <c r="AP168" s="77"/>
      <c r="AQ168" s="76"/>
      <c r="AS168" s="77"/>
      <c r="AT168" s="76"/>
      <c r="AV168" s="77"/>
    </row>
    <row r="169">
      <c r="K169" s="1"/>
      <c r="L169" s="2"/>
      <c r="M169" s="1"/>
      <c r="N169" s="1"/>
      <c r="O169" s="1"/>
      <c r="Y169" s="76"/>
      <c r="AA169" s="77"/>
      <c r="AB169" s="76"/>
      <c r="AD169" s="77"/>
      <c r="AE169" s="76"/>
      <c r="AG169" s="77"/>
      <c r="AH169" s="76"/>
      <c r="AJ169" s="77"/>
      <c r="AK169" s="76"/>
      <c r="AM169" s="77"/>
      <c r="AN169" s="76"/>
      <c r="AP169" s="77"/>
      <c r="AQ169" s="76"/>
      <c r="AS169" s="77"/>
      <c r="AT169" s="76"/>
      <c r="AV169" s="77"/>
    </row>
    <row r="170">
      <c r="K170" s="1"/>
      <c r="L170" s="2"/>
      <c r="M170" s="1"/>
      <c r="N170" s="1"/>
      <c r="O170" s="1"/>
      <c r="Y170" s="76"/>
      <c r="AA170" s="77"/>
      <c r="AB170" s="76"/>
      <c r="AD170" s="77"/>
      <c r="AE170" s="76"/>
      <c r="AG170" s="77"/>
      <c r="AH170" s="76"/>
      <c r="AJ170" s="77"/>
      <c r="AK170" s="76"/>
      <c r="AM170" s="77"/>
      <c r="AN170" s="76"/>
      <c r="AP170" s="77"/>
      <c r="AQ170" s="76"/>
      <c r="AS170" s="77"/>
      <c r="AT170" s="76"/>
      <c r="AV170" s="77"/>
    </row>
    <row r="171">
      <c r="K171" s="1"/>
      <c r="L171" s="2"/>
      <c r="M171" s="1"/>
      <c r="N171" s="1"/>
      <c r="O171" s="1"/>
      <c r="Y171" s="76"/>
      <c r="AA171" s="77"/>
      <c r="AB171" s="76"/>
      <c r="AD171" s="77"/>
      <c r="AE171" s="76"/>
      <c r="AG171" s="77"/>
      <c r="AH171" s="76"/>
      <c r="AJ171" s="77"/>
      <c r="AK171" s="76"/>
      <c r="AM171" s="77"/>
      <c r="AN171" s="76"/>
      <c r="AP171" s="77"/>
      <c r="AQ171" s="76"/>
      <c r="AS171" s="77"/>
      <c r="AT171" s="76"/>
      <c r="AV171" s="77"/>
    </row>
    <row r="172">
      <c r="K172" s="1"/>
      <c r="L172" s="2"/>
      <c r="M172" s="1"/>
      <c r="N172" s="1"/>
      <c r="O172" s="1"/>
      <c r="Y172" s="76"/>
      <c r="AA172" s="77"/>
      <c r="AB172" s="76"/>
      <c r="AD172" s="77"/>
      <c r="AE172" s="76"/>
      <c r="AG172" s="77"/>
      <c r="AH172" s="76"/>
      <c r="AJ172" s="77"/>
      <c r="AK172" s="76"/>
      <c r="AM172" s="77"/>
      <c r="AN172" s="76"/>
      <c r="AP172" s="77"/>
      <c r="AQ172" s="76"/>
      <c r="AS172" s="77"/>
      <c r="AT172" s="76"/>
      <c r="AV172" s="77"/>
    </row>
    <row r="173">
      <c r="K173" s="1"/>
      <c r="L173" s="2"/>
      <c r="M173" s="1"/>
      <c r="N173" s="1"/>
      <c r="O173" s="1"/>
      <c r="Y173" s="76"/>
      <c r="AA173" s="77"/>
      <c r="AB173" s="76"/>
      <c r="AD173" s="77"/>
      <c r="AE173" s="76"/>
      <c r="AG173" s="77"/>
      <c r="AH173" s="76"/>
      <c r="AJ173" s="77"/>
      <c r="AK173" s="76"/>
      <c r="AM173" s="77"/>
      <c r="AN173" s="76"/>
      <c r="AP173" s="77"/>
      <c r="AQ173" s="76"/>
      <c r="AS173" s="77"/>
      <c r="AT173" s="76"/>
      <c r="AV173" s="77"/>
    </row>
    <row r="174">
      <c r="K174" s="1"/>
      <c r="L174" s="2"/>
      <c r="M174" s="1"/>
      <c r="N174" s="1"/>
      <c r="O174" s="1"/>
      <c r="Y174" s="76"/>
      <c r="AA174" s="77"/>
      <c r="AB174" s="76"/>
      <c r="AD174" s="77"/>
      <c r="AE174" s="76"/>
      <c r="AG174" s="77"/>
      <c r="AH174" s="76"/>
      <c r="AJ174" s="77"/>
      <c r="AK174" s="76"/>
      <c r="AM174" s="77"/>
      <c r="AN174" s="76"/>
      <c r="AP174" s="77"/>
      <c r="AQ174" s="76"/>
      <c r="AS174" s="77"/>
      <c r="AT174" s="76"/>
      <c r="AV174" s="77"/>
    </row>
    <row r="175">
      <c r="K175" s="1"/>
      <c r="L175" s="2"/>
      <c r="M175" s="1"/>
      <c r="N175" s="1"/>
      <c r="O175" s="1"/>
      <c r="Y175" s="76"/>
      <c r="AA175" s="77"/>
      <c r="AB175" s="76"/>
      <c r="AD175" s="77"/>
      <c r="AE175" s="76"/>
      <c r="AG175" s="77"/>
      <c r="AH175" s="76"/>
      <c r="AJ175" s="77"/>
      <c r="AK175" s="76"/>
      <c r="AM175" s="77"/>
      <c r="AN175" s="76"/>
      <c r="AP175" s="77"/>
      <c r="AQ175" s="76"/>
      <c r="AS175" s="77"/>
      <c r="AT175" s="76"/>
      <c r="AV175" s="77"/>
    </row>
    <row r="176">
      <c r="K176" s="1"/>
      <c r="L176" s="2"/>
      <c r="M176" s="1"/>
      <c r="N176" s="1"/>
      <c r="O176" s="1"/>
      <c r="Y176" s="76"/>
      <c r="AA176" s="77"/>
      <c r="AB176" s="76"/>
      <c r="AD176" s="77"/>
      <c r="AE176" s="76"/>
      <c r="AG176" s="77"/>
      <c r="AH176" s="76"/>
      <c r="AJ176" s="77"/>
      <c r="AK176" s="76"/>
      <c r="AM176" s="77"/>
      <c r="AN176" s="76"/>
      <c r="AP176" s="77"/>
      <c r="AQ176" s="76"/>
      <c r="AS176" s="77"/>
      <c r="AT176" s="76"/>
      <c r="AV176" s="77"/>
    </row>
    <row r="177">
      <c r="K177" s="1"/>
      <c r="L177" s="2"/>
      <c r="M177" s="1"/>
      <c r="N177" s="1"/>
      <c r="O177" s="1"/>
      <c r="Y177" s="76"/>
      <c r="AA177" s="77"/>
      <c r="AB177" s="76"/>
      <c r="AD177" s="77"/>
      <c r="AE177" s="76"/>
      <c r="AG177" s="77"/>
      <c r="AH177" s="76"/>
      <c r="AJ177" s="77"/>
      <c r="AK177" s="76"/>
      <c r="AM177" s="77"/>
      <c r="AN177" s="76"/>
      <c r="AP177" s="77"/>
      <c r="AQ177" s="76"/>
      <c r="AS177" s="77"/>
      <c r="AT177" s="76"/>
      <c r="AV177" s="77"/>
    </row>
    <row r="178">
      <c r="K178" s="1"/>
      <c r="L178" s="2"/>
      <c r="M178" s="1"/>
      <c r="N178" s="1"/>
      <c r="O178" s="1"/>
      <c r="Y178" s="76"/>
      <c r="AA178" s="77"/>
      <c r="AB178" s="76"/>
      <c r="AD178" s="77"/>
      <c r="AE178" s="76"/>
      <c r="AG178" s="77"/>
      <c r="AH178" s="76"/>
      <c r="AJ178" s="77"/>
      <c r="AK178" s="76"/>
      <c r="AM178" s="77"/>
      <c r="AN178" s="76"/>
      <c r="AP178" s="77"/>
      <c r="AQ178" s="76"/>
      <c r="AS178" s="77"/>
      <c r="AT178" s="76"/>
      <c r="AV178" s="77"/>
    </row>
    <row r="179">
      <c r="K179" s="1"/>
      <c r="L179" s="2"/>
      <c r="M179" s="1"/>
      <c r="N179" s="1"/>
      <c r="O179" s="1"/>
      <c r="Y179" s="76"/>
      <c r="AA179" s="77"/>
      <c r="AB179" s="76"/>
      <c r="AD179" s="77"/>
      <c r="AE179" s="76"/>
      <c r="AG179" s="77"/>
      <c r="AH179" s="76"/>
      <c r="AJ179" s="77"/>
      <c r="AK179" s="76"/>
      <c r="AM179" s="77"/>
      <c r="AN179" s="76"/>
      <c r="AP179" s="77"/>
      <c r="AQ179" s="76"/>
      <c r="AS179" s="77"/>
      <c r="AT179" s="76"/>
      <c r="AV179" s="77"/>
    </row>
    <row r="180">
      <c r="K180" s="1"/>
      <c r="L180" s="2"/>
      <c r="M180" s="1"/>
      <c r="N180" s="1"/>
      <c r="O180" s="1"/>
      <c r="Y180" s="76"/>
      <c r="AA180" s="77"/>
      <c r="AB180" s="76"/>
      <c r="AD180" s="77"/>
      <c r="AE180" s="76"/>
      <c r="AG180" s="77"/>
      <c r="AH180" s="76"/>
      <c r="AJ180" s="77"/>
      <c r="AK180" s="76"/>
      <c r="AM180" s="77"/>
      <c r="AN180" s="76"/>
      <c r="AP180" s="77"/>
      <c r="AQ180" s="76"/>
      <c r="AS180" s="77"/>
      <c r="AT180" s="76"/>
      <c r="AV180" s="77"/>
    </row>
    <row r="181">
      <c r="K181" s="1"/>
      <c r="L181" s="2"/>
      <c r="M181" s="1"/>
      <c r="N181" s="1"/>
      <c r="O181" s="1"/>
      <c r="Y181" s="76"/>
      <c r="AA181" s="77"/>
      <c r="AB181" s="76"/>
      <c r="AD181" s="77"/>
      <c r="AE181" s="76"/>
      <c r="AG181" s="77"/>
      <c r="AH181" s="76"/>
      <c r="AJ181" s="77"/>
      <c r="AK181" s="76"/>
      <c r="AM181" s="77"/>
      <c r="AN181" s="76"/>
      <c r="AP181" s="77"/>
      <c r="AQ181" s="76"/>
      <c r="AS181" s="77"/>
      <c r="AT181" s="76"/>
      <c r="AV181" s="77"/>
    </row>
    <row r="182">
      <c r="K182" s="1"/>
      <c r="L182" s="2"/>
      <c r="M182" s="1"/>
      <c r="N182" s="1"/>
      <c r="O182" s="1"/>
      <c r="Y182" s="76"/>
      <c r="AA182" s="77"/>
      <c r="AB182" s="76"/>
      <c r="AD182" s="77"/>
      <c r="AE182" s="76"/>
      <c r="AG182" s="77"/>
      <c r="AH182" s="76"/>
      <c r="AJ182" s="77"/>
      <c r="AK182" s="76"/>
      <c r="AM182" s="77"/>
      <c r="AN182" s="76"/>
      <c r="AP182" s="77"/>
      <c r="AQ182" s="76"/>
      <c r="AS182" s="77"/>
      <c r="AT182" s="76"/>
      <c r="AV182" s="77"/>
    </row>
    <row r="183">
      <c r="K183" s="1"/>
      <c r="L183" s="2"/>
      <c r="M183" s="1"/>
      <c r="N183" s="1"/>
      <c r="O183" s="1"/>
      <c r="Y183" s="76"/>
      <c r="AA183" s="77"/>
      <c r="AB183" s="76"/>
      <c r="AD183" s="77"/>
      <c r="AE183" s="76"/>
      <c r="AG183" s="77"/>
      <c r="AH183" s="76"/>
      <c r="AJ183" s="77"/>
      <c r="AK183" s="76"/>
      <c r="AM183" s="77"/>
      <c r="AN183" s="76"/>
      <c r="AP183" s="77"/>
      <c r="AQ183" s="76"/>
      <c r="AS183" s="77"/>
      <c r="AT183" s="76"/>
      <c r="AV183" s="77"/>
    </row>
    <row r="184">
      <c r="K184" s="1"/>
      <c r="L184" s="2"/>
      <c r="M184" s="1"/>
      <c r="N184" s="1"/>
      <c r="O184" s="1"/>
      <c r="Y184" s="76"/>
      <c r="AA184" s="77"/>
      <c r="AB184" s="76"/>
      <c r="AD184" s="77"/>
      <c r="AE184" s="76"/>
      <c r="AG184" s="77"/>
      <c r="AH184" s="76"/>
      <c r="AJ184" s="77"/>
      <c r="AK184" s="76"/>
      <c r="AM184" s="77"/>
      <c r="AN184" s="76"/>
      <c r="AP184" s="77"/>
      <c r="AQ184" s="76"/>
      <c r="AS184" s="77"/>
      <c r="AT184" s="76"/>
      <c r="AV184" s="77"/>
    </row>
    <row r="185">
      <c r="K185" s="1"/>
      <c r="L185" s="2"/>
      <c r="M185" s="1"/>
      <c r="N185" s="1"/>
      <c r="O185" s="1"/>
      <c r="Y185" s="76"/>
      <c r="AA185" s="77"/>
      <c r="AB185" s="76"/>
      <c r="AD185" s="77"/>
      <c r="AE185" s="76"/>
      <c r="AG185" s="77"/>
      <c r="AH185" s="76"/>
      <c r="AJ185" s="77"/>
      <c r="AK185" s="76"/>
      <c r="AM185" s="77"/>
      <c r="AN185" s="76"/>
      <c r="AP185" s="77"/>
      <c r="AQ185" s="76"/>
      <c r="AS185" s="77"/>
      <c r="AT185" s="76"/>
      <c r="AV185" s="77"/>
    </row>
    <row r="186">
      <c r="K186" s="1"/>
      <c r="L186" s="2"/>
      <c r="M186" s="1"/>
      <c r="N186" s="1"/>
      <c r="O186" s="1"/>
      <c r="Y186" s="76"/>
      <c r="AA186" s="77"/>
      <c r="AB186" s="76"/>
      <c r="AD186" s="77"/>
      <c r="AE186" s="76"/>
      <c r="AG186" s="77"/>
      <c r="AH186" s="76"/>
      <c r="AJ186" s="77"/>
      <c r="AK186" s="76"/>
      <c r="AM186" s="77"/>
      <c r="AN186" s="76"/>
      <c r="AP186" s="77"/>
      <c r="AQ186" s="76"/>
      <c r="AS186" s="77"/>
      <c r="AT186" s="76"/>
      <c r="AV186" s="77"/>
    </row>
    <row r="187">
      <c r="K187" s="1"/>
      <c r="L187" s="2"/>
      <c r="M187" s="1"/>
      <c r="N187" s="1"/>
      <c r="O187" s="1"/>
      <c r="Y187" s="76"/>
      <c r="AA187" s="77"/>
      <c r="AB187" s="76"/>
      <c r="AD187" s="77"/>
      <c r="AE187" s="76"/>
      <c r="AG187" s="77"/>
      <c r="AH187" s="76"/>
      <c r="AJ187" s="77"/>
      <c r="AK187" s="76"/>
      <c r="AM187" s="77"/>
      <c r="AN187" s="76"/>
      <c r="AP187" s="77"/>
      <c r="AQ187" s="76"/>
      <c r="AS187" s="77"/>
      <c r="AT187" s="76"/>
      <c r="AV187" s="77"/>
    </row>
    <row r="188">
      <c r="K188" s="1"/>
      <c r="L188" s="2"/>
      <c r="M188" s="1"/>
      <c r="N188" s="1"/>
      <c r="O188" s="1"/>
      <c r="Y188" s="76"/>
      <c r="AA188" s="77"/>
      <c r="AB188" s="76"/>
      <c r="AD188" s="77"/>
      <c r="AE188" s="76"/>
      <c r="AG188" s="77"/>
      <c r="AH188" s="76"/>
      <c r="AJ188" s="77"/>
      <c r="AK188" s="76"/>
      <c r="AM188" s="77"/>
      <c r="AN188" s="76"/>
      <c r="AP188" s="77"/>
      <c r="AQ188" s="76"/>
      <c r="AS188" s="77"/>
      <c r="AT188" s="76"/>
      <c r="AV188" s="77"/>
    </row>
    <row r="189">
      <c r="K189" s="1"/>
      <c r="L189" s="2"/>
      <c r="M189" s="1"/>
      <c r="N189" s="1"/>
      <c r="O189" s="1"/>
      <c r="Y189" s="76"/>
      <c r="AA189" s="77"/>
      <c r="AB189" s="76"/>
      <c r="AD189" s="77"/>
      <c r="AE189" s="76"/>
      <c r="AG189" s="77"/>
      <c r="AH189" s="76"/>
      <c r="AJ189" s="77"/>
      <c r="AK189" s="76"/>
      <c r="AM189" s="77"/>
      <c r="AN189" s="76"/>
      <c r="AP189" s="77"/>
      <c r="AQ189" s="76"/>
      <c r="AS189" s="77"/>
      <c r="AT189" s="76"/>
      <c r="AV189" s="77"/>
    </row>
    <row r="190">
      <c r="K190" s="1"/>
      <c r="L190" s="2"/>
      <c r="M190" s="1"/>
      <c r="N190" s="1"/>
      <c r="O190" s="1"/>
      <c r="Y190" s="76"/>
      <c r="AA190" s="77"/>
      <c r="AB190" s="76"/>
      <c r="AD190" s="77"/>
      <c r="AE190" s="76"/>
      <c r="AG190" s="77"/>
      <c r="AH190" s="76"/>
      <c r="AJ190" s="77"/>
      <c r="AK190" s="76"/>
      <c r="AM190" s="77"/>
      <c r="AN190" s="76"/>
      <c r="AP190" s="77"/>
      <c r="AQ190" s="76"/>
      <c r="AS190" s="77"/>
      <c r="AT190" s="76"/>
      <c r="AV190" s="77"/>
    </row>
    <row r="191">
      <c r="K191" s="1"/>
      <c r="L191" s="2"/>
      <c r="M191" s="1"/>
      <c r="N191" s="1"/>
      <c r="O191" s="1"/>
      <c r="Y191" s="76"/>
      <c r="AA191" s="77"/>
      <c r="AB191" s="76"/>
      <c r="AD191" s="77"/>
      <c r="AE191" s="76"/>
      <c r="AG191" s="77"/>
      <c r="AH191" s="76"/>
      <c r="AJ191" s="77"/>
      <c r="AK191" s="76"/>
      <c r="AM191" s="77"/>
      <c r="AN191" s="76"/>
      <c r="AP191" s="77"/>
      <c r="AQ191" s="76"/>
      <c r="AS191" s="77"/>
      <c r="AT191" s="76"/>
      <c r="AV191" s="77"/>
    </row>
    <row r="192">
      <c r="K192" s="1"/>
      <c r="L192" s="2"/>
      <c r="M192" s="1"/>
      <c r="N192" s="1"/>
      <c r="O192" s="1"/>
      <c r="Y192" s="76"/>
      <c r="AA192" s="77"/>
      <c r="AB192" s="76"/>
      <c r="AD192" s="77"/>
      <c r="AE192" s="76"/>
      <c r="AG192" s="77"/>
      <c r="AH192" s="76"/>
      <c r="AJ192" s="77"/>
      <c r="AK192" s="76"/>
      <c r="AM192" s="77"/>
      <c r="AN192" s="76"/>
      <c r="AP192" s="77"/>
      <c r="AQ192" s="76"/>
      <c r="AS192" s="77"/>
      <c r="AT192" s="76"/>
      <c r="AV192" s="77"/>
    </row>
    <row r="193">
      <c r="K193" s="1"/>
      <c r="L193" s="2"/>
      <c r="M193" s="1"/>
      <c r="N193" s="1"/>
      <c r="O193" s="1"/>
      <c r="Y193" s="76"/>
      <c r="AA193" s="77"/>
      <c r="AB193" s="76"/>
      <c r="AD193" s="77"/>
      <c r="AE193" s="76"/>
      <c r="AG193" s="77"/>
      <c r="AH193" s="76"/>
      <c r="AJ193" s="77"/>
      <c r="AK193" s="76"/>
      <c r="AM193" s="77"/>
      <c r="AN193" s="76"/>
      <c r="AP193" s="77"/>
      <c r="AQ193" s="76"/>
      <c r="AS193" s="77"/>
      <c r="AT193" s="76"/>
      <c r="AV193" s="77"/>
    </row>
    <row r="194">
      <c r="K194" s="1"/>
      <c r="L194" s="2"/>
      <c r="M194" s="1"/>
      <c r="N194" s="1"/>
      <c r="O194" s="1"/>
      <c r="Y194" s="76"/>
      <c r="AA194" s="77"/>
      <c r="AB194" s="76"/>
      <c r="AD194" s="77"/>
      <c r="AE194" s="76"/>
      <c r="AG194" s="77"/>
      <c r="AH194" s="76"/>
      <c r="AJ194" s="77"/>
      <c r="AK194" s="76"/>
      <c r="AM194" s="77"/>
      <c r="AN194" s="76"/>
      <c r="AP194" s="77"/>
      <c r="AQ194" s="76"/>
      <c r="AS194" s="77"/>
      <c r="AT194" s="76"/>
      <c r="AV194" s="77"/>
    </row>
    <row r="195">
      <c r="K195" s="1"/>
      <c r="L195" s="2"/>
      <c r="M195" s="1"/>
      <c r="N195" s="1"/>
      <c r="O195" s="1"/>
      <c r="Y195" s="76"/>
      <c r="AA195" s="77"/>
      <c r="AB195" s="76"/>
      <c r="AD195" s="77"/>
      <c r="AE195" s="76"/>
      <c r="AG195" s="77"/>
      <c r="AH195" s="76"/>
      <c r="AJ195" s="77"/>
      <c r="AK195" s="76"/>
      <c r="AM195" s="77"/>
      <c r="AN195" s="76"/>
      <c r="AP195" s="77"/>
      <c r="AQ195" s="76"/>
      <c r="AS195" s="77"/>
      <c r="AT195" s="76"/>
      <c r="AV195" s="77"/>
    </row>
    <row r="196">
      <c r="K196" s="1"/>
      <c r="L196" s="2"/>
      <c r="M196" s="1"/>
      <c r="N196" s="1"/>
      <c r="O196" s="1"/>
      <c r="Y196" s="76"/>
      <c r="AA196" s="77"/>
      <c r="AB196" s="76"/>
      <c r="AD196" s="77"/>
      <c r="AE196" s="76"/>
      <c r="AG196" s="77"/>
      <c r="AH196" s="76"/>
      <c r="AJ196" s="77"/>
      <c r="AK196" s="76"/>
      <c r="AM196" s="77"/>
      <c r="AN196" s="76"/>
      <c r="AP196" s="77"/>
      <c r="AQ196" s="76"/>
      <c r="AS196" s="77"/>
      <c r="AT196" s="76"/>
      <c r="AV196" s="77"/>
    </row>
    <row r="197">
      <c r="K197" s="1"/>
      <c r="L197" s="2"/>
      <c r="M197" s="1"/>
      <c r="N197" s="1"/>
      <c r="O197" s="1"/>
      <c r="Y197" s="76"/>
      <c r="AA197" s="77"/>
      <c r="AB197" s="76"/>
      <c r="AD197" s="77"/>
      <c r="AE197" s="76"/>
      <c r="AG197" s="77"/>
      <c r="AH197" s="76"/>
      <c r="AJ197" s="77"/>
      <c r="AK197" s="76"/>
      <c r="AM197" s="77"/>
      <c r="AN197" s="76"/>
      <c r="AP197" s="77"/>
      <c r="AQ197" s="76"/>
      <c r="AS197" s="77"/>
      <c r="AT197" s="76"/>
      <c r="AV197" s="77"/>
    </row>
    <row r="198">
      <c r="K198" s="1"/>
      <c r="L198" s="2"/>
      <c r="M198" s="1"/>
      <c r="N198" s="1"/>
      <c r="O198" s="1"/>
      <c r="Y198" s="76"/>
      <c r="AA198" s="77"/>
      <c r="AB198" s="76"/>
      <c r="AD198" s="77"/>
      <c r="AE198" s="76"/>
      <c r="AG198" s="77"/>
      <c r="AH198" s="76"/>
      <c r="AJ198" s="77"/>
      <c r="AK198" s="76"/>
      <c r="AM198" s="77"/>
      <c r="AN198" s="76"/>
      <c r="AP198" s="77"/>
      <c r="AQ198" s="76"/>
      <c r="AS198" s="77"/>
      <c r="AT198" s="76"/>
      <c r="AV198" s="77"/>
    </row>
    <row r="199">
      <c r="K199" s="1"/>
      <c r="L199" s="2"/>
      <c r="M199" s="1"/>
      <c r="N199" s="1"/>
      <c r="O199" s="1"/>
      <c r="Y199" s="76"/>
      <c r="AA199" s="77"/>
      <c r="AB199" s="76"/>
      <c r="AD199" s="77"/>
      <c r="AE199" s="76"/>
      <c r="AG199" s="77"/>
      <c r="AH199" s="76"/>
      <c r="AJ199" s="77"/>
      <c r="AK199" s="76"/>
      <c r="AM199" s="77"/>
      <c r="AN199" s="76"/>
      <c r="AP199" s="77"/>
      <c r="AQ199" s="76"/>
      <c r="AS199" s="77"/>
      <c r="AT199" s="76"/>
      <c r="AV199" s="77"/>
    </row>
    <row r="200">
      <c r="K200" s="1"/>
      <c r="L200" s="2"/>
      <c r="M200" s="1"/>
      <c r="N200" s="1"/>
      <c r="O200" s="1"/>
      <c r="Y200" s="76"/>
      <c r="AA200" s="77"/>
      <c r="AB200" s="76"/>
      <c r="AD200" s="77"/>
      <c r="AE200" s="76"/>
      <c r="AG200" s="77"/>
      <c r="AH200" s="76"/>
      <c r="AJ200" s="77"/>
      <c r="AK200" s="76"/>
      <c r="AM200" s="77"/>
      <c r="AN200" s="76"/>
      <c r="AP200" s="77"/>
      <c r="AQ200" s="76"/>
      <c r="AS200" s="77"/>
      <c r="AT200" s="76"/>
      <c r="AV200" s="77"/>
    </row>
    <row r="201">
      <c r="K201" s="1"/>
      <c r="L201" s="2"/>
      <c r="M201" s="1"/>
      <c r="N201" s="1"/>
      <c r="O201" s="1"/>
      <c r="Y201" s="76"/>
      <c r="AA201" s="77"/>
      <c r="AB201" s="76"/>
      <c r="AD201" s="77"/>
      <c r="AE201" s="76"/>
      <c r="AG201" s="77"/>
      <c r="AH201" s="76"/>
      <c r="AJ201" s="77"/>
      <c r="AK201" s="76"/>
      <c r="AM201" s="77"/>
      <c r="AN201" s="76"/>
      <c r="AP201" s="77"/>
      <c r="AQ201" s="76"/>
      <c r="AS201" s="77"/>
      <c r="AT201" s="76"/>
      <c r="AV201" s="77"/>
    </row>
    <row r="202">
      <c r="K202" s="1"/>
      <c r="L202" s="2"/>
      <c r="M202" s="1"/>
      <c r="N202" s="1"/>
      <c r="O202" s="1"/>
      <c r="Y202" s="76"/>
      <c r="AA202" s="77"/>
      <c r="AB202" s="76"/>
      <c r="AD202" s="77"/>
      <c r="AE202" s="76"/>
      <c r="AG202" s="77"/>
      <c r="AH202" s="76"/>
      <c r="AJ202" s="77"/>
      <c r="AK202" s="76"/>
      <c r="AM202" s="77"/>
      <c r="AN202" s="76"/>
      <c r="AP202" s="77"/>
      <c r="AQ202" s="76"/>
      <c r="AS202" s="77"/>
      <c r="AT202" s="76"/>
      <c r="AV202" s="77"/>
    </row>
    <row r="203">
      <c r="K203" s="1"/>
      <c r="L203" s="2"/>
      <c r="M203" s="1"/>
      <c r="N203" s="1"/>
      <c r="O203" s="1"/>
      <c r="Y203" s="76"/>
      <c r="AA203" s="77"/>
      <c r="AB203" s="76"/>
      <c r="AD203" s="77"/>
      <c r="AE203" s="76"/>
      <c r="AG203" s="77"/>
      <c r="AH203" s="76"/>
      <c r="AJ203" s="77"/>
      <c r="AK203" s="76"/>
      <c r="AM203" s="77"/>
      <c r="AN203" s="76"/>
      <c r="AP203" s="77"/>
      <c r="AQ203" s="76"/>
      <c r="AS203" s="77"/>
      <c r="AT203" s="76"/>
      <c r="AV203" s="77"/>
    </row>
    <row r="204">
      <c r="K204" s="1"/>
      <c r="L204" s="2"/>
      <c r="M204" s="1"/>
      <c r="N204" s="1"/>
      <c r="O204" s="1"/>
      <c r="Y204" s="76"/>
      <c r="AA204" s="77"/>
      <c r="AB204" s="76"/>
      <c r="AD204" s="77"/>
      <c r="AE204" s="76"/>
      <c r="AG204" s="77"/>
      <c r="AH204" s="76"/>
      <c r="AJ204" s="77"/>
      <c r="AK204" s="76"/>
      <c r="AM204" s="77"/>
      <c r="AN204" s="76"/>
      <c r="AP204" s="77"/>
      <c r="AQ204" s="76"/>
      <c r="AS204" s="77"/>
      <c r="AT204" s="76"/>
      <c r="AV204" s="77"/>
    </row>
    <row r="205">
      <c r="K205" s="1"/>
      <c r="L205" s="2"/>
      <c r="M205" s="1"/>
      <c r="N205" s="1"/>
      <c r="O205" s="1"/>
      <c r="Y205" s="76"/>
      <c r="AA205" s="77"/>
      <c r="AB205" s="76"/>
      <c r="AD205" s="77"/>
      <c r="AE205" s="76"/>
      <c r="AG205" s="77"/>
      <c r="AH205" s="76"/>
      <c r="AJ205" s="77"/>
      <c r="AK205" s="76"/>
      <c r="AM205" s="77"/>
      <c r="AN205" s="76"/>
      <c r="AP205" s="77"/>
      <c r="AQ205" s="76"/>
      <c r="AS205" s="77"/>
      <c r="AT205" s="76"/>
      <c r="AV205" s="77"/>
    </row>
    <row r="206">
      <c r="K206" s="1"/>
      <c r="L206" s="2"/>
      <c r="M206" s="1"/>
      <c r="N206" s="1"/>
      <c r="O206" s="1"/>
      <c r="Y206" s="76"/>
      <c r="AA206" s="77"/>
      <c r="AB206" s="76"/>
      <c r="AD206" s="77"/>
      <c r="AE206" s="76"/>
      <c r="AG206" s="77"/>
      <c r="AH206" s="76"/>
      <c r="AJ206" s="77"/>
      <c r="AK206" s="76"/>
      <c r="AM206" s="77"/>
      <c r="AN206" s="76"/>
      <c r="AP206" s="77"/>
      <c r="AQ206" s="76"/>
      <c r="AS206" s="77"/>
      <c r="AT206" s="76"/>
      <c r="AV206" s="77"/>
    </row>
    <row r="207">
      <c r="K207" s="1"/>
      <c r="L207" s="2"/>
      <c r="M207" s="1"/>
      <c r="N207" s="1"/>
      <c r="O207" s="1"/>
      <c r="Y207" s="76"/>
      <c r="AA207" s="77"/>
      <c r="AB207" s="76"/>
      <c r="AD207" s="77"/>
      <c r="AE207" s="76"/>
      <c r="AG207" s="77"/>
      <c r="AH207" s="76"/>
      <c r="AJ207" s="77"/>
      <c r="AK207" s="76"/>
      <c r="AM207" s="77"/>
      <c r="AN207" s="76"/>
      <c r="AP207" s="77"/>
      <c r="AQ207" s="76"/>
      <c r="AS207" s="77"/>
      <c r="AT207" s="76"/>
      <c r="AV207" s="77"/>
    </row>
    <row r="208">
      <c r="K208" s="1"/>
      <c r="L208" s="2"/>
      <c r="M208" s="1"/>
      <c r="N208" s="1"/>
      <c r="O208" s="1"/>
      <c r="Y208" s="76"/>
      <c r="AA208" s="77"/>
      <c r="AB208" s="76"/>
      <c r="AD208" s="77"/>
      <c r="AE208" s="76"/>
      <c r="AG208" s="77"/>
      <c r="AH208" s="76"/>
      <c r="AJ208" s="77"/>
      <c r="AK208" s="76"/>
      <c r="AM208" s="77"/>
      <c r="AN208" s="76"/>
      <c r="AP208" s="77"/>
      <c r="AQ208" s="76"/>
      <c r="AS208" s="77"/>
      <c r="AT208" s="76"/>
      <c r="AV208" s="77"/>
    </row>
    <row r="209">
      <c r="K209" s="1"/>
      <c r="L209" s="2"/>
      <c r="M209" s="1"/>
      <c r="N209" s="1"/>
      <c r="O209" s="1"/>
      <c r="Y209" s="76"/>
      <c r="AA209" s="77"/>
      <c r="AB209" s="76"/>
      <c r="AD209" s="77"/>
      <c r="AE209" s="76"/>
      <c r="AG209" s="77"/>
      <c r="AH209" s="76"/>
      <c r="AJ209" s="77"/>
      <c r="AK209" s="76"/>
      <c r="AM209" s="77"/>
      <c r="AN209" s="76"/>
      <c r="AP209" s="77"/>
      <c r="AQ209" s="76"/>
      <c r="AS209" s="77"/>
      <c r="AT209" s="76"/>
      <c r="AV209" s="77"/>
    </row>
    <row r="210">
      <c r="K210" s="1"/>
      <c r="L210" s="2"/>
      <c r="M210" s="1"/>
      <c r="N210" s="1"/>
      <c r="O210" s="1"/>
      <c r="Y210" s="76"/>
      <c r="AA210" s="77"/>
      <c r="AB210" s="76"/>
      <c r="AD210" s="77"/>
      <c r="AE210" s="76"/>
      <c r="AG210" s="77"/>
      <c r="AH210" s="76"/>
      <c r="AJ210" s="77"/>
      <c r="AK210" s="76"/>
      <c r="AM210" s="77"/>
      <c r="AN210" s="76"/>
      <c r="AP210" s="77"/>
      <c r="AQ210" s="76"/>
      <c r="AS210" s="77"/>
      <c r="AT210" s="76"/>
      <c r="AV210" s="77"/>
    </row>
    <row r="211">
      <c r="K211" s="1"/>
      <c r="L211" s="2"/>
      <c r="M211" s="1"/>
      <c r="N211" s="1"/>
      <c r="O211" s="1"/>
      <c r="Y211" s="76"/>
      <c r="AA211" s="77"/>
      <c r="AB211" s="76"/>
      <c r="AD211" s="77"/>
      <c r="AE211" s="76"/>
      <c r="AG211" s="77"/>
      <c r="AH211" s="76"/>
      <c r="AJ211" s="77"/>
      <c r="AK211" s="76"/>
      <c r="AM211" s="77"/>
      <c r="AN211" s="76"/>
      <c r="AP211" s="77"/>
      <c r="AQ211" s="76"/>
      <c r="AS211" s="77"/>
      <c r="AT211" s="76"/>
      <c r="AV211" s="77"/>
    </row>
    <row r="212">
      <c r="K212" s="1"/>
      <c r="L212" s="2"/>
      <c r="M212" s="1"/>
      <c r="N212" s="1"/>
      <c r="O212" s="1"/>
      <c r="Y212" s="76"/>
      <c r="AA212" s="77"/>
      <c r="AB212" s="76"/>
      <c r="AD212" s="77"/>
      <c r="AE212" s="76"/>
      <c r="AG212" s="77"/>
      <c r="AH212" s="76"/>
      <c r="AJ212" s="77"/>
      <c r="AK212" s="76"/>
      <c r="AM212" s="77"/>
      <c r="AN212" s="76"/>
      <c r="AP212" s="77"/>
      <c r="AQ212" s="76"/>
      <c r="AS212" s="77"/>
      <c r="AT212" s="76"/>
      <c r="AV212" s="77"/>
    </row>
    <row r="213">
      <c r="K213" s="1"/>
      <c r="L213" s="2"/>
      <c r="M213" s="1"/>
      <c r="N213" s="1"/>
      <c r="O213" s="1"/>
      <c r="Y213" s="76"/>
      <c r="AA213" s="77"/>
      <c r="AB213" s="76"/>
      <c r="AD213" s="77"/>
      <c r="AE213" s="76"/>
      <c r="AG213" s="77"/>
      <c r="AH213" s="76"/>
      <c r="AJ213" s="77"/>
      <c r="AK213" s="76"/>
      <c r="AM213" s="77"/>
      <c r="AN213" s="76"/>
      <c r="AP213" s="77"/>
      <c r="AQ213" s="76"/>
      <c r="AS213" s="77"/>
      <c r="AT213" s="76"/>
      <c r="AV213" s="77"/>
    </row>
    <row r="214">
      <c r="K214" s="1"/>
      <c r="L214" s="2"/>
      <c r="M214" s="1"/>
      <c r="N214" s="1"/>
      <c r="O214" s="1"/>
      <c r="Y214" s="76"/>
      <c r="AA214" s="77"/>
      <c r="AB214" s="76"/>
      <c r="AD214" s="77"/>
      <c r="AE214" s="76"/>
      <c r="AG214" s="77"/>
      <c r="AH214" s="76"/>
      <c r="AJ214" s="77"/>
      <c r="AK214" s="76"/>
      <c r="AM214" s="77"/>
      <c r="AN214" s="76"/>
      <c r="AP214" s="77"/>
      <c r="AQ214" s="76"/>
      <c r="AS214" s="77"/>
      <c r="AT214" s="76"/>
      <c r="AV214" s="77"/>
    </row>
    <row r="215">
      <c r="K215" s="1"/>
      <c r="L215" s="2"/>
      <c r="M215" s="1"/>
      <c r="N215" s="1"/>
      <c r="O215" s="1"/>
      <c r="Y215" s="76"/>
      <c r="AA215" s="77"/>
      <c r="AB215" s="76"/>
      <c r="AD215" s="77"/>
      <c r="AE215" s="76"/>
      <c r="AG215" s="77"/>
      <c r="AH215" s="76"/>
      <c r="AJ215" s="77"/>
      <c r="AK215" s="76"/>
      <c r="AM215" s="77"/>
      <c r="AN215" s="76"/>
      <c r="AP215" s="77"/>
      <c r="AQ215" s="76"/>
      <c r="AS215" s="77"/>
      <c r="AT215" s="76"/>
      <c r="AV215" s="77"/>
    </row>
    <row r="216">
      <c r="K216" s="1"/>
      <c r="L216" s="2"/>
      <c r="M216" s="1"/>
      <c r="N216" s="1"/>
      <c r="O216" s="1"/>
      <c r="Y216" s="76"/>
      <c r="AA216" s="77"/>
      <c r="AB216" s="76"/>
      <c r="AD216" s="77"/>
      <c r="AE216" s="76"/>
      <c r="AG216" s="77"/>
      <c r="AH216" s="76"/>
      <c r="AJ216" s="77"/>
      <c r="AK216" s="76"/>
      <c r="AM216" s="77"/>
      <c r="AN216" s="76"/>
      <c r="AP216" s="77"/>
      <c r="AQ216" s="76"/>
      <c r="AS216" s="77"/>
      <c r="AT216" s="76"/>
      <c r="AV216" s="77"/>
    </row>
    <row r="217">
      <c r="K217" s="1"/>
      <c r="L217" s="2"/>
      <c r="M217" s="1"/>
      <c r="N217" s="1"/>
      <c r="O217" s="1"/>
      <c r="Y217" s="76"/>
      <c r="AA217" s="77"/>
      <c r="AB217" s="76"/>
      <c r="AD217" s="77"/>
      <c r="AE217" s="76"/>
      <c r="AG217" s="77"/>
      <c r="AH217" s="76"/>
      <c r="AJ217" s="77"/>
      <c r="AK217" s="76"/>
      <c r="AM217" s="77"/>
      <c r="AN217" s="76"/>
      <c r="AP217" s="77"/>
      <c r="AQ217" s="76"/>
      <c r="AS217" s="77"/>
      <c r="AT217" s="76"/>
      <c r="AV217" s="77"/>
    </row>
    <row r="218">
      <c r="K218" s="1"/>
      <c r="L218" s="2"/>
      <c r="M218" s="1"/>
      <c r="N218" s="1"/>
      <c r="O218" s="1"/>
      <c r="Y218" s="76"/>
      <c r="AA218" s="77"/>
      <c r="AB218" s="76"/>
      <c r="AD218" s="77"/>
      <c r="AE218" s="76"/>
      <c r="AG218" s="77"/>
      <c r="AH218" s="76"/>
      <c r="AJ218" s="77"/>
      <c r="AK218" s="76"/>
      <c r="AM218" s="77"/>
      <c r="AN218" s="76"/>
      <c r="AP218" s="77"/>
      <c r="AQ218" s="76"/>
      <c r="AS218" s="77"/>
      <c r="AT218" s="76"/>
      <c r="AV218" s="77"/>
    </row>
    <row r="219">
      <c r="K219" s="1"/>
      <c r="L219" s="2"/>
      <c r="M219" s="1"/>
      <c r="N219" s="1"/>
      <c r="O219" s="1"/>
      <c r="Y219" s="76"/>
      <c r="AA219" s="77"/>
      <c r="AB219" s="76"/>
      <c r="AD219" s="77"/>
      <c r="AE219" s="76"/>
      <c r="AG219" s="77"/>
      <c r="AH219" s="76"/>
      <c r="AJ219" s="77"/>
      <c r="AK219" s="76"/>
      <c r="AM219" s="77"/>
      <c r="AN219" s="76"/>
      <c r="AP219" s="77"/>
      <c r="AQ219" s="76"/>
      <c r="AS219" s="77"/>
      <c r="AT219" s="76"/>
      <c r="AV219" s="77"/>
    </row>
    <row r="220">
      <c r="K220" s="1"/>
      <c r="L220" s="2"/>
      <c r="M220" s="1"/>
      <c r="N220" s="1"/>
      <c r="O220" s="1"/>
      <c r="Y220" s="76"/>
      <c r="AA220" s="77"/>
      <c r="AB220" s="76"/>
      <c r="AD220" s="77"/>
      <c r="AE220" s="76"/>
      <c r="AG220" s="77"/>
      <c r="AH220" s="76"/>
      <c r="AJ220" s="77"/>
      <c r="AK220" s="76"/>
      <c r="AM220" s="77"/>
      <c r="AN220" s="76"/>
      <c r="AP220" s="77"/>
      <c r="AQ220" s="76"/>
      <c r="AS220" s="77"/>
      <c r="AT220" s="76"/>
      <c r="AV220" s="77"/>
    </row>
    <row r="221">
      <c r="K221" s="1"/>
      <c r="L221" s="2"/>
      <c r="M221" s="1"/>
      <c r="N221" s="1"/>
      <c r="O221" s="1"/>
      <c r="Y221" s="76"/>
      <c r="AA221" s="77"/>
      <c r="AB221" s="76"/>
      <c r="AD221" s="77"/>
      <c r="AE221" s="76"/>
      <c r="AG221" s="77"/>
      <c r="AH221" s="76"/>
      <c r="AJ221" s="77"/>
      <c r="AK221" s="76"/>
      <c r="AM221" s="77"/>
      <c r="AN221" s="76"/>
      <c r="AP221" s="77"/>
      <c r="AQ221" s="76"/>
      <c r="AS221" s="77"/>
      <c r="AT221" s="76"/>
      <c r="AV221" s="77"/>
    </row>
    <row r="222">
      <c r="K222" s="1"/>
      <c r="L222" s="2"/>
      <c r="M222" s="1"/>
      <c r="N222" s="1"/>
      <c r="O222" s="1"/>
      <c r="Y222" s="76"/>
      <c r="AA222" s="77"/>
      <c r="AB222" s="76"/>
      <c r="AD222" s="77"/>
      <c r="AE222" s="76"/>
      <c r="AG222" s="77"/>
      <c r="AH222" s="76"/>
      <c r="AJ222" s="77"/>
      <c r="AK222" s="76"/>
      <c r="AM222" s="77"/>
      <c r="AN222" s="76"/>
      <c r="AP222" s="77"/>
      <c r="AQ222" s="76"/>
      <c r="AS222" s="77"/>
      <c r="AT222" s="76"/>
      <c r="AV222" s="77"/>
    </row>
    <row r="223">
      <c r="K223" s="1"/>
      <c r="L223" s="2"/>
      <c r="M223" s="1"/>
      <c r="N223" s="1"/>
      <c r="O223" s="1"/>
      <c r="Y223" s="76"/>
      <c r="AA223" s="77"/>
      <c r="AB223" s="76"/>
      <c r="AD223" s="77"/>
      <c r="AE223" s="76"/>
      <c r="AG223" s="77"/>
      <c r="AH223" s="76"/>
      <c r="AJ223" s="77"/>
      <c r="AK223" s="76"/>
      <c r="AM223" s="77"/>
      <c r="AN223" s="76"/>
      <c r="AP223" s="77"/>
      <c r="AQ223" s="76"/>
      <c r="AS223" s="77"/>
      <c r="AT223" s="76"/>
      <c r="AV223" s="77"/>
    </row>
    <row r="224">
      <c r="K224" s="1"/>
      <c r="L224" s="2"/>
      <c r="M224" s="1"/>
      <c r="N224" s="1"/>
      <c r="O224" s="1"/>
      <c r="Y224" s="76"/>
      <c r="AA224" s="77"/>
      <c r="AB224" s="76"/>
      <c r="AD224" s="77"/>
      <c r="AE224" s="76"/>
      <c r="AG224" s="77"/>
      <c r="AH224" s="76"/>
      <c r="AJ224" s="77"/>
      <c r="AK224" s="76"/>
      <c r="AM224" s="77"/>
      <c r="AN224" s="76"/>
      <c r="AP224" s="77"/>
      <c r="AQ224" s="76"/>
      <c r="AS224" s="77"/>
      <c r="AT224" s="76"/>
      <c r="AV224" s="77"/>
    </row>
    <row r="225">
      <c r="K225" s="1"/>
      <c r="L225" s="2"/>
      <c r="M225" s="1"/>
      <c r="N225" s="1"/>
      <c r="O225" s="1"/>
      <c r="Y225" s="76"/>
      <c r="AA225" s="77"/>
      <c r="AB225" s="76"/>
      <c r="AD225" s="77"/>
      <c r="AE225" s="76"/>
      <c r="AG225" s="77"/>
      <c r="AH225" s="76"/>
      <c r="AJ225" s="77"/>
      <c r="AK225" s="76"/>
      <c r="AM225" s="77"/>
      <c r="AN225" s="76"/>
      <c r="AP225" s="77"/>
      <c r="AQ225" s="76"/>
      <c r="AS225" s="77"/>
      <c r="AT225" s="76"/>
      <c r="AV225" s="77"/>
    </row>
    <row r="226">
      <c r="K226" s="1"/>
      <c r="L226" s="2"/>
      <c r="M226" s="1"/>
      <c r="N226" s="1"/>
      <c r="O226" s="1"/>
      <c r="Y226" s="76"/>
      <c r="AA226" s="77"/>
      <c r="AB226" s="76"/>
      <c r="AD226" s="77"/>
      <c r="AE226" s="76"/>
      <c r="AG226" s="77"/>
      <c r="AH226" s="76"/>
      <c r="AJ226" s="77"/>
      <c r="AK226" s="76"/>
      <c r="AM226" s="77"/>
      <c r="AN226" s="76"/>
      <c r="AP226" s="77"/>
      <c r="AQ226" s="76"/>
      <c r="AS226" s="77"/>
      <c r="AT226" s="76"/>
      <c r="AV226" s="77"/>
    </row>
    <row r="227">
      <c r="K227" s="1"/>
      <c r="L227" s="2"/>
      <c r="M227" s="1"/>
      <c r="N227" s="1"/>
      <c r="O227" s="1"/>
      <c r="Y227" s="76"/>
      <c r="AA227" s="77"/>
      <c r="AB227" s="76"/>
      <c r="AD227" s="77"/>
      <c r="AE227" s="76"/>
      <c r="AG227" s="77"/>
      <c r="AH227" s="76"/>
      <c r="AJ227" s="77"/>
      <c r="AK227" s="76"/>
      <c r="AM227" s="77"/>
      <c r="AN227" s="76"/>
      <c r="AP227" s="77"/>
      <c r="AQ227" s="76"/>
      <c r="AS227" s="77"/>
      <c r="AT227" s="76"/>
      <c r="AV227" s="77"/>
    </row>
    <row r="228">
      <c r="K228" s="1"/>
      <c r="L228" s="2"/>
      <c r="M228" s="1"/>
      <c r="N228" s="1"/>
      <c r="O228" s="1"/>
      <c r="Y228" s="76"/>
      <c r="AA228" s="77"/>
      <c r="AB228" s="76"/>
      <c r="AD228" s="77"/>
      <c r="AE228" s="76"/>
      <c r="AG228" s="77"/>
      <c r="AH228" s="76"/>
      <c r="AJ228" s="77"/>
      <c r="AK228" s="76"/>
      <c r="AM228" s="77"/>
      <c r="AN228" s="76"/>
      <c r="AP228" s="77"/>
      <c r="AQ228" s="76"/>
      <c r="AS228" s="77"/>
      <c r="AT228" s="76"/>
      <c r="AV228" s="77"/>
    </row>
    <row r="229">
      <c r="K229" s="1"/>
      <c r="L229" s="2"/>
      <c r="M229" s="1"/>
      <c r="N229" s="1"/>
      <c r="O229" s="1"/>
      <c r="Y229" s="76"/>
      <c r="AA229" s="77"/>
      <c r="AB229" s="76"/>
      <c r="AD229" s="77"/>
      <c r="AE229" s="76"/>
      <c r="AG229" s="77"/>
      <c r="AH229" s="76"/>
      <c r="AJ229" s="77"/>
      <c r="AK229" s="76"/>
      <c r="AM229" s="77"/>
      <c r="AN229" s="76"/>
      <c r="AP229" s="77"/>
      <c r="AQ229" s="76"/>
      <c r="AS229" s="77"/>
      <c r="AT229" s="76"/>
      <c r="AV229" s="77"/>
    </row>
    <row r="230">
      <c r="K230" s="1"/>
      <c r="L230" s="2"/>
      <c r="M230" s="1"/>
      <c r="N230" s="1"/>
      <c r="O230" s="1"/>
      <c r="Y230" s="76"/>
      <c r="AA230" s="77"/>
      <c r="AB230" s="76"/>
      <c r="AD230" s="77"/>
      <c r="AE230" s="76"/>
      <c r="AG230" s="77"/>
      <c r="AH230" s="76"/>
      <c r="AJ230" s="77"/>
      <c r="AK230" s="76"/>
      <c r="AM230" s="77"/>
      <c r="AN230" s="76"/>
      <c r="AP230" s="77"/>
      <c r="AQ230" s="76"/>
      <c r="AS230" s="77"/>
      <c r="AT230" s="76"/>
      <c r="AV230" s="77"/>
    </row>
    <row r="231">
      <c r="K231" s="1"/>
      <c r="L231" s="2"/>
      <c r="M231" s="1"/>
      <c r="N231" s="1"/>
      <c r="O231" s="1"/>
      <c r="Y231" s="76"/>
      <c r="AA231" s="77"/>
      <c r="AB231" s="76"/>
      <c r="AD231" s="77"/>
      <c r="AE231" s="76"/>
      <c r="AG231" s="77"/>
      <c r="AH231" s="76"/>
      <c r="AJ231" s="77"/>
      <c r="AK231" s="76"/>
      <c r="AM231" s="77"/>
      <c r="AN231" s="76"/>
      <c r="AP231" s="77"/>
      <c r="AQ231" s="76"/>
      <c r="AS231" s="77"/>
      <c r="AT231" s="76"/>
      <c r="AV231" s="77"/>
    </row>
    <row r="232">
      <c r="K232" s="1"/>
      <c r="L232" s="2"/>
      <c r="M232" s="1"/>
      <c r="N232" s="1"/>
      <c r="O232" s="1"/>
      <c r="Y232" s="76"/>
      <c r="AA232" s="77"/>
      <c r="AB232" s="76"/>
      <c r="AD232" s="77"/>
      <c r="AE232" s="76"/>
      <c r="AG232" s="77"/>
      <c r="AH232" s="76"/>
      <c r="AJ232" s="77"/>
      <c r="AK232" s="76"/>
      <c r="AM232" s="77"/>
      <c r="AN232" s="76"/>
      <c r="AP232" s="77"/>
      <c r="AQ232" s="76"/>
      <c r="AS232" s="77"/>
      <c r="AT232" s="76"/>
      <c r="AV232" s="77"/>
    </row>
    <row r="233">
      <c r="K233" s="1"/>
      <c r="L233" s="2"/>
      <c r="M233" s="1"/>
      <c r="N233" s="1"/>
      <c r="O233" s="1"/>
      <c r="Y233" s="76"/>
      <c r="AA233" s="77"/>
      <c r="AB233" s="76"/>
      <c r="AD233" s="77"/>
      <c r="AE233" s="76"/>
      <c r="AG233" s="77"/>
      <c r="AH233" s="76"/>
      <c r="AJ233" s="77"/>
      <c r="AK233" s="76"/>
      <c r="AM233" s="77"/>
      <c r="AN233" s="76"/>
      <c r="AP233" s="77"/>
      <c r="AQ233" s="76"/>
      <c r="AS233" s="77"/>
      <c r="AT233" s="76"/>
      <c r="AV233" s="77"/>
    </row>
    <row r="234">
      <c r="K234" s="1"/>
      <c r="L234" s="2"/>
      <c r="M234" s="1"/>
      <c r="N234" s="1"/>
      <c r="O234" s="1"/>
      <c r="Y234" s="76"/>
      <c r="AA234" s="77"/>
      <c r="AB234" s="76"/>
      <c r="AD234" s="77"/>
      <c r="AE234" s="76"/>
      <c r="AG234" s="77"/>
      <c r="AH234" s="76"/>
      <c r="AJ234" s="77"/>
      <c r="AK234" s="76"/>
      <c r="AM234" s="77"/>
      <c r="AN234" s="76"/>
      <c r="AP234" s="77"/>
      <c r="AQ234" s="76"/>
      <c r="AS234" s="77"/>
      <c r="AT234" s="76"/>
      <c r="AV234" s="77"/>
    </row>
    <row r="235">
      <c r="K235" s="1"/>
      <c r="L235" s="2"/>
      <c r="M235" s="1"/>
      <c r="N235" s="1"/>
      <c r="O235" s="1"/>
      <c r="Y235" s="76"/>
      <c r="AA235" s="77"/>
      <c r="AB235" s="76"/>
      <c r="AD235" s="77"/>
      <c r="AE235" s="76"/>
      <c r="AG235" s="77"/>
      <c r="AH235" s="76"/>
      <c r="AJ235" s="77"/>
      <c r="AK235" s="76"/>
      <c r="AM235" s="77"/>
      <c r="AN235" s="76"/>
      <c r="AP235" s="77"/>
      <c r="AQ235" s="76"/>
      <c r="AS235" s="77"/>
      <c r="AT235" s="76"/>
      <c r="AV235" s="77"/>
    </row>
    <row r="236">
      <c r="K236" s="1"/>
      <c r="L236" s="2"/>
      <c r="M236" s="1"/>
      <c r="N236" s="1"/>
      <c r="O236" s="1"/>
      <c r="Y236" s="76"/>
      <c r="AA236" s="77"/>
      <c r="AB236" s="76"/>
      <c r="AD236" s="77"/>
      <c r="AE236" s="76"/>
      <c r="AG236" s="77"/>
      <c r="AH236" s="76"/>
      <c r="AJ236" s="77"/>
      <c r="AK236" s="76"/>
      <c r="AM236" s="77"/>
      <c r="AN236" s="76"/>
      <c r="AP236" s="77"/>
      <c r="AQ236" s="76"/>
      <c r="AS236" s="77"/>
      <c r="AT236" s="76"/>
      <c r="AV236" s="77"/>
    </row>
    <row r="237">
      <c r="K237" s="1"/>
      <c r="L237" s="2"/>
      <c r="M237" s="1"/>
      <c r="N237" s="1"/>
      <c r="O237" s="1"/>
      <c r="Y237" s="76"/>
      <c r="AA237" s="77"/>
      <c r="AB237" s="76"/>
      <c r="AD237" s="77"/>
      <c r="AE237" s="76"/>
      <c r="AG237" s="77"/>
      <c r="AH237" s="76"/>
      <c r="AJ237" s="77"/>
      <c r="AK237" s="76"/>
      <c r="AM237" s="77"/>
      <c r="AN237" s="76"/>
      <c r="AP237" s="77"/>
      <c r="AQ237" s="76"/>
      <c r="AS237" s="77"/>
      <c r="AT237" s="76"/>
      <c r="AV237" s="77"/>
    </row>
    <row r="238">
      <c r="K238" s="1"/>
      <c r="L238" s="2"/>
      <c r="M238" s="1"/>
      <c r="N238" s="1"/>
      <c r="O238" s="1"/>
      <c r="Y238" s="76"/>
      <c r="AA238" s="77"/>
      <c r="AB238" s="76"/>
      <c r="AD238" s="77"/>
      <c r="AE238" s="76"/>
      <c r="AG238" s="77"/>
      <c r="AH238" s="76"/>
      <c r="AJ238" s="77"/>
      <c r="AK238" s="76"/>
      <c r="AM238" s="77"/>
      <c r="AN238" s="76"/>
      <c r="AP238" s="77"/>
      <c r="AQ238" s="76"/>
      <c r="AS238" s="77"/>
      <c r="AT238" s="76"/>
      <c r="AV238" s="77"/>
    </row>
    <row r="239">
      <c r="K239" s="1"/>
      <c r="L239" s="2"/>
      <c r="M239" s="1"/>
      <c r="N239" s="1"/>
      <c r="O239" s="1"/>
      <c r="Y239" s="76"/>
      <c r="AA239" s="77"/>
      <c r="AB239" s="76"/>
      <c r="AD239" s="77"/>
      <c r="AE239" s="76"/>
      <c r="AG239" s="77"/>
      <c r="AH239" s="76"/>
      <c r="AJ239" s="77"/>
      <c r="AK239" s="76"/>
      <c r="AM239" s="77"/>
      <c r="AN239" s="76"/>
      <c r="AP239" s="77"/>
      <c r="AQ239" s="76"/>
      <c r="AS239" s="77"/>
      <c r="AT239" s="76"/>
      <c r="AV239" s="77"/>
    </row>
    <row r="240">
      <c r="K240" s="1"/>
      <c r="L240" s="2"/>
      <c r="M240" s="1"/>
      <c r="N240" s="1"/>
      <c r="O240" s="1"/>
      <c r="Y240" s="76"/>
      <c r="AA240" s="77"/>
      <c r="AB240" s="76"/>
      <c r="AD240" s="77"/>
      <c r="AE240" s="76"/>
      <c r="AG240" s="77"/>
      <c r="AH240" s="76"/>
      <c r="AJ240" s="77"/>
      <c r="AK240" s="76"/>
      <c r="AM240" s="77"/>
      <c r="AN240" s="76"/>
      <c r="AP240" s="77"/>
      <c r="AQ240" s="76"/>
      <c r="AS240" s="77"/>
      <c r="AT240" s="76"/>
      <c r="AV240" s="77"/>
    </row>
    <row r="241">
      <c r="K241" s="1"/>
      <c r="L241" s="2"/>
      <c r="M241" s="1"/>
      <c r="N241" s="1"/>
      <c r="O241" s="1"/>
      <c r="Y241" s="76"/>
      <c r="AA241" s="77"/>
      <c r="AB241" s="76"/>
      <c r="AD241" s="77"/>
      <c r="AE241" s="76"/>
      <c r="AG241" s="77"/>
      <c r="AH241" s="76"/>
      <c r="AJ241" s="77"/>
      <c r="AK241" s="76"/>
      <c r="AM241" s="77"/>
      <c r="AN241" s="76"/>
      <c r="AP241" s="77"/>
      <c r="AQ241" s="76"/>
      <c r="AS241" s="77"/>
      <c r="AT241" s="76"/>
      <c r="AV241" s="77"/>
    </row>
    <row r="242">
      <c r="K242" s="1"/>
      <c r="L242" s="2"/>
      <c r="M242" s="1"/>
      <c r="N242" s="1"/>
      <c r="O242" s="1"/>
      <c r="Y242" s="76"/>
      <c r="AA242" s="77"/>
      <c r="AB242" s="76"/>
      <c r="AD242" s="77"/>
      <c r="AE242" s="76"/>
      <c r="AG242" s="77"/>
      <c r="AH242" s="76"/>
      <c r="AJ242" s="77"/>
      <c r="AK242" s="76"/>
      <c r="AM242" s="77"/>
      <c r="AN242" s="76"/>
      <c r="AP242" s="77"/>
      <c r="AQ242" s="76"/>
      <c r="AS242" s="77"/>
      <c r="AT242" s="76"/>
      <c r="AV242" s="77"/>
    </row>
    <row r="243">
      <c r="K243" s="1"/>
      <c r="L243" s="2"/>
      <c r="M243" s="1"/>
      <c r="N243" s="1"/>
      <c r="O243" s="1"/>
      <c r="Y243" s="76"/>
      <c r="AA243" s="77"/>
      <c r="AB243" s="76"/>
      <c r="AD243" s="77"/>
      <c r="AE243" s="76"/>
      <c r="AG243" s="77"/>
      <c r="AH243" s="76"/>
      <c r="AJ243" s="77"/>
      <c r="AK243" s="76"/>
      <c r="AM243" s="77"/>
      <c r="AN243" s="76"/>
      <c r="AP243" s="77"/>
      <c r="AQ243" s="76"/>
      <c r="AS243" s="77"/>
      <c r="AT243" s="76"/>
      <c r="AV243" s="77"/>
    </row>
    <row r="244">
      <c r="K244" s="1"/>
      <c r="L244" s="2"/>
      <c r="M244" s="1"/>
      <c r="N244" s="1"/>
      <c r="O244" s="1"/>
      <c r="Y244" s="76"/>
      <c r="AA244" s="77"/>
      <c r="AB244" s="76"/>
      <c r="AD244" s="77"/>
      <c r="AE244" s="76"/>
      <c r="AG244" s="77"/>
      <c r="AH244" s="76"/>
      <c r="AJ244" s="77"/>
      <c r="AK244" s="76"/>
      <c r="AM244" s="77"/>
      <c r="AN244" s="76"/>
      <c r="AP244" s="77"/>
      <c r="AQ244" s="76"/>
      <c r="AS244" s="77"/>
      <c r="AT244" s="76"/>
      <c r="AV244" s="77"/>
    </row>
    <row r="245">
      <c r="K245" s="1"/>
      <c r="L245" s="2"/>
      <c r="M245" s="1"/>
      <c r="N245" s="1"/>
      <c r="O245" s="1"/>
      <c r="Y245" s="76"/>
      <c r="AA245" s="77"/>
      <c r="AB245" s="76"/>
      <c r="AD245" s="77"/>
      <c r="AE245" s="76"/>
      <c r="AG245" s="77"/>
      <c r="AH245" s="76"/>
      <c r="AJ245" s="77"/>
      <c r="AK245" s="76"/>
      <c r="AM245" s="77"/>
      <c r="AN245" s="76"/>
      <c r="AP245" s="77"/>
      <c r="AQ245" s="76"/>
      <c r="AS245" s="77"/>
      <c r="AT245" s="76"/>
      <c r="AV245" s="77"/>
    </row>
    <row r="246">
      <c r="K246" s="1"/>
      <c r="L246" s="2"/>
      <c r="M246" s="1"/>
      <c r="N246" s="1"/>
      <c r="O246" s="1"/>
      <c r="Y246" s="76"/>
      <c r="AA246" s="77"/>
      <c r="AB246" s="76"/>
      <c r="AD246" s="77"/>
      <c r="AE246" s="76"/>
      <c r="AG246" s="77"/>
      <c r="AH246" s="76"/>
      <c r="AJ246" s="77"/>
      <c r="AK246" s="76"/>
      <c r="AM246" s="77"/>
      <c r="AN246" s="76"/>
      <c r="AP246" s="77"/>
      <c r="AQ246" s="76"/>
      <c r="AS246" s="77"/>
      <c r="AT246" s="76"/>
      <c r="AV246" s="77"/>
    </row>
    <row r="247">
      <c r="K247" s="1"/>
      <c r="L247" s="2"/>
      <c r="M247" s="1"/>
      <c r="N247" s="1"/>
      <c r="O247" s="1"/>
      <c r="Y247" s="76"/>
      <c r="AA247" s="77"/>
      <c r="AB247" s="76"/>
      <c r="AD247" s="77"/>
      <c r="AE247" s="76"/>
      <c r="AG247" s="77"/>
      <c r="AH247" s="76"/>
      <c r="AJ247" s="77"/>
      <c r="AK247" s="76"/>
      <c r="AM247" s="77"/>
      <c r="AN247" s="76"/>
      <c r="AP247" s="77"/>
      <c r="AQ247" s="76"/>
      <c r="AS247" s="77"/>
      <c r="AT247" s="76"/>
      <c r="AV247" s="77"/>
    </row>
    <row r="248">
      <c r="K248" s="1"/>
      <c r="L248" s="2"/>
      <c r="M248" s="1"/>
      <c r="N248" s="1"/>
      <c r="O248" s="1"/>
      <c r="Y248" s="76"/>
      <c r="AA248" s="77"/>
      <c r="AB248" s="76"/>
      <c r="AD248" s="77"/>
      <c r="AE248" s="76"/>
      <c r="AG248" s="77"/>
      <c r="AH248" s="76"/>
      <c r="AJ248" s="77"/>
      <c r="AK248" s="76"/>
      <c r="AM248" s="77"/>
      <c r="AN248" s="76"/>
      <c r="AP248" s="77"/>
      <c r="AQ248" s="76"/>
      <c r="AS248" s="77"/>
      <c r="AT248" s="76"/>
      <c r="AV248" s="77"/>
    </row>
    <row r="249">
      <c r="K249" s="1"/>
      <c r="L249" s="2"/>
      <c r="M249" s="1"/>
      <c r="N249" s="1"/>
      <c r="O249" s="1"/>
      <c r="Y249" s="76"/>
      <c r="AA249" s="77"/>
      <c r="AB249" s="76"/>
      <c r="AD249" s="77"/>
      <c r="AE249" s="76"/>
      <c r="AG249" s="77"/>
      <c r="AH249" s="76"/>
      <c r="AJ249" s="77"/>
      <c r="AK249" s="76"/>
      <c r="AM249" s="77"/>
      <c r="AN249" s="76"/>
      <c r="AP249" s="77"/>
      <c r="AQ249" s="76"/>
      <c r="AS249" s="77"/>
      <c r="AT249" s="76"/>
      <c r="AV249" s="77"/>
    </row>
    <row r="250">
      <c r="K250" s="1"/>
      <c r="L250" s="2"/>
      <c r="M250" s="1"/>
      <c r="N250" s="1"/>
      <c r="O250" s="1"/>
      <c r="Y250" s="76"/>
      <c r="AA250" s="77"/>
      <c r="AB250" s="76"/>
      <c r="AD250" s="77"/>
      <c r="AE250" s="76"/>
      <c r="AG250" s="77"/>
      <c r="AH250" s="76"/>
      <c r="AJ250" s="77"/>
      <c r="AK250" s="76"/>
      <c r="AM250" s="77"/>
      <c r="AN250" s="76"/>
      <c r="AP250" s="77"/>
      <c r="AQ250" s="76"/>
      <c r="AS250" s="77"/>
      <c r="AT250" s="76"/>
      <c r="AV250" s="77"/>
    </row>
    <row r="251">
      <c r="K251" s="1"/>
      <c r="L251" s="2"/>
      <c r="M251" s="1"/>
      <c r="N251" s="1"/>
      <c r="O251" s="1"/>
      <c r="Y251" s="76"/>
      <c r="AA251" s="77"/>
      <c r="AB251" s="76"/>
      <c r="AD251" s="77"/>
      <c r="AE251" s="76"/>
      <c r="AG251" s="77"/>
      <c r="AH251" s="76"/>
      <c r="AJ251" s="77"/>
      <c r="AK251" s="76"/>
      <c r="AM251" s="77"/>
      <c r="AN251" s="76"/>
      <c r="AP251" s="77"/>
      <c r="AQ251" s="76"/>
      <c r="AS251" s="77"/>
      <c r="AT251" s="76"/>
      <c r="AV251" s="77"/>
    </row>
    <row r="252">
      <c r="K252" s="1"/>
      <c r="L252" s="2"/>
      <c r="M252" s="1"/>
      <c r="N252" s="1"/>
      <c r="O252" s="1"/>
      <c r="Y252" s="76"/>
      <c r="AA252" s="77"/>
      <c r="AB252" s="76"/>
      <c r="AD252" s="77"/>
      <c r="AE252" s="76"/>
      <c r="AG252" s="77"/>
      <c r="AH252" s="76"/>
      <c r="AJ252" s="77"/>
      <c r="AK252" s="76"/>
      <c r="AM252" s="77"/>
      <c r="AN252" s="76"/>
      <c r="AP252" s="77"/>
      <c r="AQ252" s="76"/>
      <c r="AS252" s="77"/>
      <c r="AT252" s="76"/>
      <c r="AV252" s="77"/>
    </row>
    <row r="253">
      <c r="K253" s="1"/>
      <c r="L253" s="2"/>
      <c r="M253" s="1"/>
      <c r="N253" s="1"/>
      <c r="O253" s="1"/>
      <c r="Y253" s="76"/>
      <c r="AA253" s="77"/>
      <c r="AB253" s="76"/>
      <c r="AD253" s="77"/>
      <c r="AE253" s="76"/>
      <c r="AG253" s="77"/>
      <c r="AH253" s="76"/>
      <c r="AJ253" s="77"/>
      <c r="AK253" s="76"/>
      <c r="AM253" s="77"/>
      <c r="AN253" s="76"/>
      <c r="AP253" s="77"/>
      <c r="AQ253" s="76"/>
      <c r="AS253" s="77"/>
      <c r="AT253" s="76"/>
      <c r="AV253" s="77"/>
    </row>
    <row r="254">
      <c r="K254" s="1"/>
      <c r="L254" s="2"/>
      <c r="M254" s="1"/>
      <c r="N254" s="1"/>
      <c r="O254" s="1"/>
      <c r="Y254" s="76"/>
      <c r="AA254" s="77"/>
      <c r="AB254" s="76"/>
      <c r="AD254" s="77"/>
      <c r="AE254" s="76"/>
      <c r="AG254" s="77"/>
      <c r="AH254" s="76"/>
      <c r="AJ254" s="77"/>
      <c r="AK254" s="76"/>
      <c r="AM254" s="77"/>
      <c r="AN254" s="76"/>
      <c r="AP254" s="77"/>
      <c r="AQ254" s="76"/>
      <c r="AS254" s="77"/>
      <c r="AT254" s="76"/>
      <c r="AV254" s="77"/>
    </row>
    <row r="255">
      <c r="K255" s="1"/>
      <c r="L255" s="2"/>
      <c r="M255" s="1"/>
      <c r="N255" s="1"/>
      <c r="O255" s="1"/>
      <c r="Y255" s="76"/>
      <c r="AA255" s="77"/>
      <c r="AB255" s="76"/>
      <c r="AD255" s="77"/>
      <c r="AE255" s="76"/>
      <c r="AG255" s="77"/>
      <c r="AH255" s="76"/>
      <c r="AJ255" s="77"/>
      <c r="AK255" s="76"/>
      <c r="AM255" s="77"/>
      <c r="AN255" s="76"/>
      <c r="AP255" s="77"/>
      <c r="AQ255" s="76"/>
      <c r="AS255" s="77"/>
      <c r="AT255" s="76"/>
      <c r="AV255" s="77"/>
    </row>
    <row r="256">
      <c r="K256" s="1"/>
      <c r="L256" s="2"/>
      <c r="M256" s="1"/>
      <c r="N256" s="1"/>
      <c r="O256" s="1"/>
      <c r="Y256" s="76"/>
      <c r="AA256" s="77"/>
      <c r="AB256" s="76"/>
      <c r="AD256" s="77"/>
      <c r="AE256" s="76"/>
      <c r="AG256" s="77"/>
      <c r="AH256" s="76"/>
      <c r="AJ256" s="77"/>
      <c r="AK256" s="76"/>
      <c r="AM256" s="77"/>
      <c r="AN256" s="76"/>
      <c r="AP256" s="77"/>
      <c r="AQ256" s="76"/>
      <c r="AS256" s="77"/>
      <c r="AT256" s="76"/>
      <c r="AV256" s="77"/>
    </row>
    <row r="257">
      <c r="K257" s="1"/>
      <c r="L257" s="2"/>
      <c r="M257" s="1"/>
      <c r="N257" s="1"/>
      <c r="O257" s="1"/>
      <c r="Y257" s="76"/>
      <c r="AA257" s="77"/>
      <c r="AB257" s="76"/>
      <c r="AD257" s="77"/>
      <c r="AE257" s="76"/>
      <c r="AG257" s="77"/>
      <c r="AH257" s="76"/>
      <c r="AJ257" s="77"/>
      <c r="AK257" s="76"/>
      <c r="AM257" s="77"/>
      <c r="AN257" s="76"/>
      <c r="AP257" s="77"/>
      <c r="AQ257" s="76"/>
      <c r="AS257" s="77"/>
      <c r="AT257" s="76"/>
      <c r="AV257" s="77"/>
    </row>
    <row r="258">
      <c r="K258" s="1"/>
      <c r="L258" s="2"/>
      <c r="M258" s="1"/>
      <c r="N258" s="1"/>
      <c r="O258" s="1"/>
      <c r="Y258" s="76"/>
      <c r="AA258" s="77"/>
      <c r="AB258" s="76"/>
      <c r="AD258" s="77"/>
      <c r="AE258" s="76"/>
      <c r="AG258" s="77"/>
      <c r="AH258" s="76"/>
      <c r="AJ258" s="77"/>
      <c r="AK258" s="76"/>
      <c r="AM258" s="77"/>
      <c r="AN258" s="76"/>
      <c r="AP258" s="77"/>
      <c r="AQ258" s="76"/>
      <c r="AS258" s="77"/>
      <c r="AT258" s="76"/>
      <c r="AV258" s="77"/>
    </row>
    <row r="259">
      <c r="K259" s="1"/>
      <c r="L259" s="2"/>
      <c r="M259" s="1"/>
      <c r="N259" s="1"/>
      <c r="O259" s="1"/>
      <c r="Y259" s="76"/>
      <c r="AA259" s="77"/>
      <c r="AB259" s="76"/>
      <c r="AD259" s="77"/>
      <c r="AE259" s="76"/>
      <c r="AG259" s="77"/>
      <c r="AH259" s="76"/>
      <c r="AJ259" s="77"/>
      <c r="AK259" s="76"/>
      <c r="AM259" s="77"/>
      <c r="AN259" s="76"/>
      <c r="AP259" s="77"/>
      <c r="AQ259" s="76"/>
      <c r="AS259" s="77"/>
      <c r="AT259" s="76"/>
      <c r="AV259" s="77"/>
    </row>
    <row r="260">
      <c r="K260" s="1"/>
      <c r="L260" s="2"/>
      <c r="M260" s="1"/>
      <c r="N260" s="1"/>
      <c r="O260" s="1"/>
      <c r="Y260" s="76"/>
      <c r="AA260" s="77"/>
      <c r="AB260" s="76"/>
      <c r="AD260" s="77"/>
      <c r="AE260" s="76"/>
      <c r="AG260" s="77"/>
      <c r="AH260" s="76"/>
      <c r="AJ260" s="77"/>
      <c r="AK260" s="76"/>
      <c r="AM260" s="77"/>
      <c r="AN260" s="76"/>
      <c r="AP260" s="77"/>
      <c r="AQ260" s="76"/>
      <c r="AS260" s="77"/>
      <c r="AT260" s="76"/>
      <c r="AV260" s="77"/>
    </row>
    <row r="261">
      <c r="K261" s="1"/>
      <c r="L261" s="2"/>
      <c r="M261" s="1"/>
      <c r="N261" s="1"/>
      <c r="O261" s="1"/>
      <c r="Y261" s="76"/>
      <c r="AA261" s="77"/>
      <c r="AB261" s="76"/>
      <c r="AD261" s="77"/>
      <c r="AE261" s="76"/>
      <c r="AG261" s="77"/>
      <c r="AH261" s="76"/>
      <c r="AJ261" s="77"/>
      <c r="AK261" s="76"/>
      <c r="AM261" s="77"/>
      <c r="AN261" s="76"/>
      <c r="AP261" s="77"/>
      <c r="AQ261" s="76"/>
      <c r="AS261" s="77"/>
      <c r="AT261" s="76"/>
      <c r="AV261" s="77"/>
    </row>
    <row r="262">
      <c r="K262" s="1"/>
      <c r="L262" s="2"/>
      <c r="M262" s="1"/>
      <c r="N262" s="1"/>
      <c r="O262" s="1"/>
      <c r="Y262" s="76"/>
      <c r="AA262" s="77"/>
      <c r="AB262" s="76"/>
      <c r="AD262" s="77"/>
      <c r="AE262" s="76"/>
      <c r="AG262" s="77"/>
      <c r="AH262" s="76"/>
      <c r="AJ262" s="77"/>
      <c r="AK262" s="76"/>
      <c r="AM262" s="77"/>
      <c r="AN262" s="76"/>
      <c r="AP262" s="77"/>
      <c r="AQ262" s="76"/>
      <c r="AS262" s="77"/>
      <c r="AT262" s="76"/>
      <c r="AV262" s="77"/>
    </row>
    <row r="263">
      <c r="K263" s="1"/>
      <c r="L263" s="2"/>
      <c r="M263" s="1"/>
      <c r="N263" s="1"/>
      <c r="O263" s="1"/>
      <c r="Y263" s="76"/>
      <c r="AA263" s="77"/>
      <c r="AB263" s="76"/>
      <c r="AD263" s="77"/>
      <c r="AE263" s="76"/>
      <c r="AG263" s="77"/>
      <c r="AH263" s="76"/>
      <c r="AJ263" s="77"/>
      <c r="AK263" s="76"/>
      <c r="AM263" s="77"/>
      <c r="AN263" s="76"/>
      <c r="AP263" s="77"/>
      <c r="AQ263" s="76"/>
      <c r="AS263" s="77"/>
      <c r="AT263" s="76"/>
      <c r="AV263" s="77"/>
    </row>
    <row r="264">
      <c r="K264" s="1"/>
      <c r="L264" s="2"/>
      <c r="M264" s="1"/>
      <c r="N264" s="1"/>
      <c r="O264" s="1"/>
      <c r="Y264" s="76"/>
      <c r="AA264" s="77"/>
      <c r="AB264" s="76"/>
      <c r="AD264" s="77"/>
      <c r="AE264" s="76"/>
      <c r="AG264" s="77"/>
      <c r="AH264" s="76"/>
      <c r="AJ264" s="77"/>
      <c r="AK264" s="76"/>
      <c r="AM264" s="77"/>
      <c r="AN264" s="76"/>
      <c r="AP264" s="77"/>
      <c r="AQ264" s="76"/>
      <c r="AS264" s="77"/>
      <c r="AT264" s="76"/>
      <c r="AV264" s="77"/>
    </row>
    <row r="265">
      <c r="K265" s="1"/>
      <c r="L265" s="2"/>
      <c r="M265" s="1"/>
      <c r="N265" s="1"/>
      <c r="O265" s="1"/>
      <c r="Y265" s="76"/>
      <c r="AA265" s="77"/>
      <c r="AB265" s="76"/>
      <c r="AD265" s="77"/>
      <c r="AE265" s="76"/>
      <c r="AG265" s="77"/>
      <c r="AH265" s="76"/>
      <c r="AJ265" s="77"/>
      <c r="AK265" s="76"/>
      <c r="AM265" s="77"/>
      <c r="AN265" s="76"/>
      <c r="AP265" s="77"/>
      <c r="AQ265" s="76"/>
      <c r="AS265" s="77"/>
      <c r="AT265" s="76"/>
      <c r="AV265" s="77"/>
    </row>
    <row r="266">
      <c r="K266" s="1"/>
      <c r="L266" s="2"/>
      <c r="M266" s="1"/>
      <c r="N266" s="1"/>
      <c r="O266" s="1"/>
      <c r="Y266" s="76"/>
      <c r="AA266" s="77"/>
      <c r="AB266" s="76"/>
      <c r="AD266" s="77"/>
      <c r="AE266" s="76"/>
      <c r="AG266" s="77"/>
      <c r="AH266" s="76"/>
      <c r="AJ266" s="77"/>
      <c r="AK266" s="76"/>
      <c r="AM266" s="77"/>
      <c r="AN266" s="76"/>
      <c r="AP266" s="77"/>
      <c r="AQ266" s="76"/>
      <c r="AS266" s="77"/>
      <c r="AT266" s="76"/>
      <c r="AV266" s="77"/>
    </row>
    <row r="267">
      <c r="K267" s="1"/>
      <c r="L267" s="2"/>
      <c r="M267" s="1"/>
      <c r="N267" s="1"/>
      <c r="O267" s="1"/>
      <c r="Y267" s="76"/>
      <c r="AA267" s="77"/>
      <c r="AB267" s="76"/>
      <c r="AD267" s="77"/>
      <c r="AE267" s="76"/>
      <c r="AG267" s="77"/>
      <c r="AH267" s="76"/>
      <c r="AJ267" s="77"/>
      <c r="AK267" s="76"/>
      <c r="AM267" s="77"/>
      <c r="AN267" s="76"/>
      <c r="AP267" s="77"/>
      <c r="AQ267" s="76"/>
      <c r="AS267" s="77"/>
      <c r="AT267" s="76"/>
      <c r="AV267" s="77"/>
    </row>
    <row r="268">
      <c r="K268" s="1"/>
      <c r="L268" s="2"/>
      <c r="M268" s="1"/>
      <c r="N268" s="1"/>
      <c r="O268" s="1"/>
      <c r="Y268" s="76"/>
      <c r="AA268" s="77"/>
      <c r="AB268" s="76"/>
      <c r="AD268" s="77"/>
      <c r="AE268" s="76"/>
      <c r="AG268" s="77"/>
      <c r="AH268" s="76"/>
      <c r="AJ268" s="77"/>
      <c r="AK268" s="76"/>
      <c r="AM268" s="77"/>
      <c r="AN268" s="76"/>
      <c r="AP268" s="77"/>
      <c r="AQ268" s="76"/>
      <c r="AS268" s="77"/>
      <c r="AT268" s="76"/>
      <c r="AV268" s="77"/>
    </row>
    <row r="269">
      <c r="K269" s="1"/>
      <c r="L269" s="2"/>
      <c r="M269" s="1"/>
      <c r="N269" s="1"/>
      <c r="O269" s="1"/>
      <c r="Y269" s="76"/>
      <c r="AA269" s="77"/>
      <c r="AB269" s="76"/>
      <c r="AD269" s="77"/>
      <c r="AE269" s="76"/>
      <c r="AG269" s="77"/>
      <c r="AH269" s="76"/>
      <c r="AJ269" s="77"/>
      <c r="AK269" s="76"/>
      <c r="AM269" s="77"/>
      <c r="AN269" s="76"/>
      <c r="AP269" s="77"/>
      <c r="AQ269" s="76"/>
      <c r="AS269" s="77"/>
      <c r="AT269" s="76"/>
      <c r="AV269" s="77"/>
    </row>
    <row r="270">
      <c r="K270" s="1"/>
      <c r="L270" s="2"/>
      <c r="M270" s="1"/>
      <c r="N270" s="1"/>
      <c r="O270" s="1"/>
      <c r="Y270" s="76"/>
      <c r="AA270" s="77"/>
      <c r="AB270" s="76"/>
      <c r="AD270" s="77"/>
      <c r="AE270" s="76"/>
      <c r="AG270" s="77"/>
      <c r="AH270" s="76"/>
      <c r="AJ270" s="77"/>
      <c r="AK270" s="76"/>
      <c r="AM270" s="77"/>
      <c r="AN270" s="76"/>
      <c r="AP270" s="77"/>
      <c r="AQ270" s="76"/>
      <c r="AS270" s="77"/>
      <c r="AT270" s="76"/>
      <c r="AV270" s="77"/>
    </row>
    <row r="271">
      <c r="K271" s="1"/>
      <c r="L271" s="2"/>
      <c r="M271" s="1"/>
      <c r="N271" s="1"/>
      <c r="O271" s="1"/>
      <c r="Y271" s="76"/>
      <c r="AA271" s="77"/>
      <c r="AB271" s="76"/>
      <c r="AD271" s="77"/>
      <c r="AE271" s="76"/>
      <c r="AG271" s="77"/>
      <c r="AH271" s="76"/>
      <c r="AJ271" s="77"/>
      <c r="AK271" s="76"/>
      <c r="AM271" s="77"/>
      <c r="AN271" s="76"/>
      <c r="AP271" s="77"/>
      <c r="AQ271" s="76"/>
      <c r="AS271" s="77"/>
      <c r="AT271" s="76"/>
      <c r="AV271" s="77"/>
    </row>
    <row r="272">
      <c r="K272" s="1"/>
      <c r="L272" s="2"/>
      <c r="M272" s="1"/>
      <c r="N272" s="1"/>
      <c r="O272" s="1"/>
      <c r="Y272" s="76"/>
      <c r="AA272" s="77"/>
      <c r="AB272" s="76"/>
      <c r="AD272" s="77"/>
      <c r="AE272" s="76"/>
      <c r="AG272" s="77"/>
      <c r="AH272" s="76"/>
      <c r="AJ272" s="77"/>
      <c r="AK272" s="76"/>
      <c r="AM272" s="77"/>
      <c r="AN272" s="76"/>
      <c r="AP272" s="77"/>
      <c r="AQ272" s="76"/>
      <c r="AS272" s="77"/>
      <c r="AT272" s="76"/>
      <c r="AV272" s="77"/>
    </row>
    <row r="273">
      <c r="K273" s="1"/>
      <c r="L273" s="2"/>
      <c r="M273" s="1"/>
      <c r="N273" s="1"/>
      <c r="O273" s="1"/>
      <c r="Y273" s="76"/>
      <c r="AA273" s="77"/>
      <c r="AB273" s="76"/>
      <c r="AD273" s="77"/>
      <c r="AE273" s="76"/>
      <c r="AG273" s="77"/>
      <c r="AH273" s="76"/>
      <c r="AJ273" s="77"/>
      <c r="AK273" s="76"/>
      <c r="AM273" s="77"/>
      <c r="AN273" s="76"/>
      <c r="AP273" s="77"/>
      <c r="AQ273" s="76"/>
      <c r="AS273" s="77"/>
      <c r="AT273" s="76"/>
      <c r="AV273" s="77"/>
    </row>
    <row r="274">
      <c r="K274" s="1"/>
      <c r="L274" s="2"/>
      <c r="M274" s="1"/>
      <c r="N274" s="1"/>
      <c r="O274" s="1"/>
      <c r="Y274" s="76"/>
      <c r="AA274" s="77"/>
      <c r="AB274" s="76"/>
      <c r="AD274" s="77"/>
      <c r="AE274" s="76"/>
      <c r="AG274" s="77"/>
      <c r="AH274" s="76"/>
      <c r="AJ274" s="77"/>
      <c r="AK274" s="76"/>
      <c r="AM274" s="77"/>
      <c r="AN274" s="76"/>
      <c r="AP274" s="77"/>
      <c r="AQ274" s="76"/>
      <c r="AS274" s="77"/>
      <c r="AT274" s="76"/>
      <c r="AV274" s="77"/>
    </row>
    <row r="275">
      <c r="K275" s="1"/>
      <c r="L275" s="2"/>
      <c r="M275" s="1"/>
      <c r="N275" s="1"/>
      <c r="O275" s="1"/>
      <c r="Y275" s="76"/>
      <c r="AA275" s="77"/>
      <c r="AB275" s="76"/>
      <c r="AD275" s="77"/>
      <c r="AE275" s="76"/>
      <c r="AG275" s="77"/>
      <c r="AH275" s="76"/>
      <c r="AJ275" s="77"/>
      <c r="AK275" s="76"/>
      <c r="AM275" s="77"/>
      <c r="AN275" s="76"/>
      <c r="AP275" s="77"/>
      <c r="AQ275" s="76"/>
      <c r="AS275" s="77"/>
      <c r="AT275" s="76"/>
      <c r="AV275" s="77"/>
    </row>
    <row r="276">
      <c r="K276" s="1"/>
      <c r="L276" s="2"/>
      <c r="M276" s="1"/>
      <c r="N276" s="1"/>
      <c r="O276" s="1"/>
      <c r="Y276" s="76"/>
      <c r="AA276" s="77"/>
      <c r="AB276" s="76"/>
      <c r="AD276" s="77"/>
      <c r="AE276" s="76"/>
      <c r="AG276" s="77"/>
      <c r="AH276" s="76"/>
      <c r="AJ276" s="77"/>
      <c r="AK276" s="76"/>
      <c r="AM276" s="77"/>
      <c r="AN276" s="76"/>
      <c r="AP276" s="77"/>
      <c r="AQ276" s="76"/>
      <c r="AS276" s="77"/>
      <c r="AT276" s="76"/>
      <c r="AV276" s="77"/>
    </row>
    <row r="277">
      <c r="K277" s="1"/>
      <c r="L277" s="2"/>
      <c r="M277" s="1"/>
      <c r="N277" s="1"/>
      <c r="O277" s="1"/>
      <c r="Y277" s="76"/>
      <c r="AA277" s="77"/>
      <c r="AB277" s="76"/>
      <c r="AD277" s="77"/>
      <c r="AE277" s="76"/>
      <c r="AG277" s="77"/>
      <c r="AH277" s="76"/>
      <c r="AJ277" s="77"/>
      <c r="AK277" s="76"/>
      <c r="AM277" s="77"/>
      <c r="AN277" s="76"/>
      <c r="AP277" s="77"/>
      <c r="AQ277" s="76"/>
      <c r="AS277" s="77"/>
      <c r="AT277" s="76"/>
      <c r="AV277" s="77"/>
    </row>
    <row r="278">
      <c r="K278" s="1"/>
      <c r="L278" s="2"/>
      <c r="M278" s="1"/>
      <c r="N278" s="1"/>
      <c r="O278" s="1"/>
      <c r="Y278" s="76"/>
      <c r="AA278" s="77"/>
      <c r="AB278" s="76"/>
      <c r="AD278" s="77"/>
      <c r="AE278" s="76"/>
      <c r="AG278" s="77"/>
      <c r="AH278" s="76"/>
      <c r="AJ278" s="77"/>
      <c r="AK278" s="76"/>
      <c r="AM278" s="77"/>
      <c r="AN278" s="76"/>
      <c r="AP278" s="77"/>
      <c r="AQ278" s="76"/>
      <c r="AS278" s="77"/>
      <c r="AT278" s="76"/>
      <c r="AV278" s="77"/>
    </row>
    <row r="279">
      <c r="K279" s="1"/>
      <c r="L279" s="2"/>
      <c r="M279" s="1"/>
      <c r="N279" s="1"/>
      <c r="O279" s="1"/>
      <c r="Y279" s="76"/>
      <c r="AA279" s="77"/>
      <c r="AB279" s="76"/>
      <c r="AD279" s="77"/>
      <c r="AE279" s="76"/>
      <c r="AG279" s="77"/>
      <c r="AH279" s="76"/>
      <c r="AJ279" s="77"/>
      <c r="AK279" s="76"/>
      <c r="AM279" s="77"/>
      <c r="AN279" s="76"/>
      <c r="AP279" s="77"/>
      <c r="AQ279" s="76"/>
      <c r="AS279" s="77"/>
      <c r="AT279" s="76"/>
      <c r="AV279" s="77"/>
    </row>
    <row r="280">
      <c r="K280" s="1"/>
      <c r="L280" s="2"/>
      <c r="M280" s="1"/>
      <c r="N280" s="1"/>
      <c r="O280" s="1"/>
      <c r="Y280" s="76"/>
      <c r="AA280" s="77"/>
      <c r="AB280" s="76"/>
      <c r="AD280" s="77"/>
      <c r="AE280" s="76"/>
      <c r="AG280" s="77"/>
      <c r="AH280" s="76"/>
      <c r="AJ280" s="77"/>
      <c r="AK280" s="76"/>
      <c r="AM280" s="77"/>
      <c r="AN280" s="76"/>
      <c r="AP280" s="77"/>
      <c r="AQ280" s="76"/>
      <c r="AS280" s="77"/>
      <c r="AT280" s="76"/>
      <c r="AV280" s="77"/>
    </row>
    <row r="281">
      <c r="K281" s="1"/>
      <c r="L281" s="2"/>
      <c r="M281" s="1"/>
      <c r="N281" s="1"/>
      <c r="O281" s="1"/>
      <c r="Y281" s="76"/>
      <c r="AA281" s="77"/>
      <c r="AB281" s="76"/>
      <c r="AD281" s="77"/>
      <c r="AE281" s="76"/>
      <c r="AG281" s="77"/>
      <c r="AH281" s="76"/>
      <c r="AJ281" s="77"/>
      <c r="AK281" s="76"/>
      <c r="AM281" s="77"/>
      <c r="AN281" s="76"/>
      <c r="AP281" s="77"/>
      <c r="AQ281" s="76"/>
      <c r="AS281" s="77"/>
      <c r="AT281" s="76"/>
      <c r="AV281" s="77"/>
    </row>
    <row r="282">
      <c r="K282" s="1"/>
      <c r="L282" s="2"/>
      <c r="M282" s="1"/>
      <c r="N282" s="1"/>
      <c r="O282" s="1"/>
      <c r="Y282" s="76"/>
      <c r="AA282" s="77"/>
      <c r="AB282" s="76"/>
      <c r="AD282" s="77"/>
      <c r="AE282" s="76"/>
      <c r="AG282" s="77"/>
      <c r="AH282" s="76"/>
      <c r="AJ282" s="77"/>
      <c r="AK282" s="76"/>
      <c r="AM282" s="77"/>
      <c r="AN282" s="76"/>
      <c r="AP282" s="77"/>
      <c r="AQ282" s="76"/>
      <c r="AS282" s="77"/>
      <c r="AT282" s="76"/>
      <c r="AV282" s="77"/>
    </row>
    <row r="283">
      <c r="K283" s="1"/>
      <c r="L283" s="2"/>
      <c r="M283" s="1"/>
      <c r="N283" s="1"/>
      <c r="O283" s="1"/>
      <c r="Y283" s="76"/>
      <c r="AA283" s="77"/>
      <c r="AB283" s="76"/>
      <c r="AD283" s="77"/>
      <c r="AE283" s="76"/>
      <c r="AG283" s="77"/>
      <c r="AH283" s="76"/>
      <c r="AJ283" s="77"/>
      <c r="AK283" s="76"/>
      <c r="AM283" s="77"/>
      <c r="AN283" s="76"/>
      <c r="AP283" s="77"/>
      <c r="AQ283" s="76"/>
      <c r="AS283" s="77"/>
      <c r="AT283" s="76"/>
      <c r="AV283" s="77"/>
    </row>
    <row r="284">
      <c r="K284" s="1"/>
      <c r="L284" s="2"/>
      <c r="M284" s="1"/>
      <c r="N284" s="1"/>
      <c r="O284" s="1"/>
      <c r="Y284" s="76"/>
      <c r="AA284" s="77"/>
      <c r="AB284" s="76"/>
      <c r="AD284" s="77"/>
      <c r="AE284" s="76"/>
      <c r="AG284" s="77"/>
      <c r="AH284" s="76"/>
      <c r="AJ284" s="77"/>
      <c r="AK284" s="76"/>
      <c r="AM284" s="77"/>
      <c r="AN284" s="76"/>
      <c r="AP284" s="77"/>
      <c r="AQ284" s="76"/>
      <c r="AS284" s="77"/>
      <c r="AT284" s="76"/>
      <c r="AV284" s="77"/>
    </row>
    <row r="285">
      <c r="K285" s="1"/>
      <c r="L285" s="2"/>
      <c r="M285" s="1"/>
      <c r="N285" s="1"/>
      <c r="O285" s="1"/>
      <c r="Y285" s="76"/>
      <c r="AA285" s="77"/>
      <c r="AB285" s="76"/>
      <c r="AD285" s="77"/>
      <c r="AE285" s="76"/>
      <c r="AG285" s="77"/>
      <c r="AH285" s="76"/>
      <c r="AJ285" s="77"/>
      <c r="AK285" s="76"/>
      <c r="AM285" s="77"/>
      <c r="AN285" s="76"/>
      <c r="AP285" s="77"/>
      <c r="AQ285" s="76"/>
      <c r="AS285" s="77"/>
      <c r="AT285" s="76"/>
      <c r="AV285" s="77"/>
    </row>
    <row r="286">
      <c r="K286" s="1"/>
      <c r="L286" s="2"/>
      <c r="M286" s="1"/>
      <c r="N286" s="1"/>
      <c r="O286" s="1"/>
      <c r="Y286" s="76"/>
      <c r="AA286" s="77"/>
      <c r="AB286" s="76"/>
      <c r="AD286" s="77"/>
      <c r="AE286" s="76"/>
      <c r="AG286" s="77"/>
      <c r="AH286" s="76"/>
      <c r="AJ286" s="77"/>
      <c r="AK286" s="76"/>
      <c r="AM286" s="77"/>
      <c r="AN286" s="76"/>
      <c r="AP286" s="77"/>
      <c r="AQ286" s="76"/>
      <c r="AS286" s="77"/>
      <c r="AT286" s="76"/>
      <c r="AV286" s="77"/>
    </row>
    <row r="287">
      <c r="K287" s="1"/>
      <c r="L287" s="2"/>
      <c r="M287" s="1"/>
      <c r="N287" s="1"/>
      <c r="O287" s="1"/>
      <c r="Y287" s="76"/>
      <c r="AA287" s="77"/>
      <c r="AB287" s="76"/>
      <c r="AD287" s="77"/>
      <c r="AE287" s="76"/>
      <c r="AG287" s="77"/>
      <c r="AH287" s="76"/>
      <c r="AJ287" s="77"/>
      <c r="AK287" s="76"/>
      <c r="AM287" s="77"/>
      <c r="AN287" s="76"/>
      <c r="AP287" s="77"/>
      <c r="AQ287" s="76"/>
      <c r="AS287" s="77"/>
      <c r="AT287" s="76"/>
      <c r="AV287" s="77"/>
    </row>
    <row r="288">
      <c r="K288" s="1"/>
      <c r="L288" s="2"/>
      <c r="M288" s="1"/>
      <c r="N288" s="1"/>
      <c r="O288" s="1"/>
      <c r="Y288" s="76"/>
      <c r="AA288" s="77"/>
      <c r="AB288" s="76"/>
      <c r="AD288" s="77"/>
      <c r="AE288" s="76"/>
      <c r="AG288" s="77"/>
      <c r="AH288" s="76"/>
      <c r="AJ288" s="77"/>
      <c r="AK288" s="76"/>
      <c r="AM288" s="77"/>
      <c r="AN288" s="76"/>
      <c r="AP288" s="77"/>
      <c r="AQ288" s="76"/>
      <c r="AS288" s="77"/>
      <c r="AT288" s="76"/>
      <c r="AV288" s="77"/>
    </row>
    <row r="289">
      <c r="K289" s="1"/>
      <c r="L289" s="2"/>
      <c r="M289" s="1"/>
      <c r="N289" s="1"/>
      <c r="O289" s="1"/>
      <c r="Y289" s="76"/>
      <c r="AA289" s="77"/>
      <c r="AB289" s="76"/>
      <c r="AD289" s="77"/>
      <c r="AE289" s="76"/>
      <c r="AG289" s="77"/>
      <c r="AH289" s="76"/>
      <c r="AJ289" s="77"/>
      <c r="AK289" s="76"/>
      <c r="AM289" s="77"/>
      <c r="AN289" s="76"/>
      <c r="AP289" s="77"/>
      <c r="AQ289" s="76"/>
      <c r="AS289" s="77"/>
      <c r="AT289" s="76"/>
      <c r="AV289" s="77"/>
    </row>
    <row r="290">
      <c r="K290" s="1"/>
      <c r="L290" s="2"/>
      <c r="M290" s="1"/>
      <c r="N290" s="1"/>
      <c r="O290" s="1"/>
      <c r="Y290" s="76"/>
      <c r="AA290" s="77"/>
      <c r="AB290" s="76"/>
      <c r="AD290" s="77"/>
      <c r="AE290" s="76"/>
      <c r="AG290" s="77"/>
      <c r="AH290" s="76"/>
      <c r="AJ290" s="77"/>
      <c r="AK290" s="76"/>
      <c r="AM290" s="77"/>
      <c r="AN290" s="76"/>
      <c r="AP290" s="77"/>
      <c r="AQ290" s="76"/>
      <c r="AS290" s="77"/>
      <c r="AT290" s="76"/>
      <c r="AV290" s="77"/>
    </row>
    <row r="291">
      <c r="K291" s="1"/>
      <c r="L291" s="2"/>
      <c r="M291" s="1"/>
      <c r="N291" s="1"/>
      <c r="O291" s="1"/>
      <c r="Y291" s="76"/>
      <c r="AA291" s="77"/>
      <c r="AB291" s="76"/>
      <c r="AD291" s="77"/>
      <c r="AE291" s="76"/>
      <c r="AG291" s="77"/>
      <c r="AH291" s="76"/>
      <c r="AJ291" s="77"/>
      <c r="AK291" s="76"/>
      <c r="AM291" s="77"/>
      <c r="AN291" s="76"/>
      <c r="AP291" s="77"/>
      <c r="AQ291" s="76"/>
      <c r="AS291" s="77"/>
      <c r="AT291" s="76"/>
      <c r="AV291" s="77"/>
    </row>
    <row r="292">
      <c r="K292" s="1"/>
      <c r="L292" s="2"/>
      <c r="M292" s="1"/>
      <c r="N292" s="1"/>
      <c r="O292" s="1"/>
      <c r="Y292" s="76"/>
      <c r="AA292" s="77"/>
      <c r="AB292" s="76"/>
      <c r="AD292" s="77"/>
      <c r="AE292" s="76"/>
      <c r="AG292" s="77"/>
      <c r="AH292" s="76"/>
      <c r="AJ292" s="77"/>
      <c r="AK292" s="76"/>
      <c r="AM292" s="77"/>
      <c r="AN292" s="76"/>
      <c r="AP292" s="77"/>
      <c r="AQ292" s="76"/>
      <c r="AS292" s="77"/>
      <c r="AT292" s="76"/>
      <c r="AV292" s="77"/>
    </row>
    <row r="293">
      <c r="K293" s="1"/>
      <c r="L293" s="2"/>
      <c r="M293" s="1"/>
      <c r="N293" s="1"/>
      <c r="O293" s="1"/>
      <c r="Y293" s="76"/>
      <c r="AA293" s="77"/>
      <c r="AB293" s="76"/>
      <c r="AD293" s="77"/>
      <c r="AE293" s="76"/>
      <c r="AG293" s="77"/>
      <c r="AH293" s="76"/>
      <c r="AJ293" s="77"/>
      <c r="AK293" s="76"/>
      <c r="AM293" s="77"/>
      <c r="AN293" s="76"/>
      <c r="AP293" s="77"/>
      <c r="AQ293" s="76"/>
      <c r="AS293" s="77"/>
      <c r="AT293" s="76"/>
      <c r="AV293" s="77"/>
    </row>
    <row r="294">
      <c r="K294" s="1"/>
      <c r="L294" s="2"/>
      <c r="M294" s="1"/>
      <c r="N294" s="1"/>
      <c r="O294" s="1"/>
      <c r="Y294" s="76"/>
      <c r="AA294" s="77"/>
      <c r="AB294" s="76"/>
      <c r="AD294" s="77"/>
      <c r="AE294" s="76"/>
      <c r="AG294" s="77"/>
      <c r="AH294" s="76"/>
      <c r="AJ294" s="77"/>
      <c r="AK294" s="76"/>
      <c r="AM294" s="77"/>
      <c r="AN294" s="76"/>
      <c r="AP294" s="77"/>
      <c r="AQ294" s="76"/>
      <c r="AS294" s="77"/>
      <c r="AT294" s="76"/>
      <c r="AV294" s="77"/>
    </row>
    <row r="295">
      <c r="K295" s="1"/>
      <c r="L295" s="2"/>
      <c r="M295" s="1"/>
      <c r="N295" s="1"/>
      <c r="O295" s="1"/>
      <c r="Y295" s="76"/>
      <c r="AA295" s="77"/>
      <c r="AB295" s="76"/>
      <c r="AD295" s="77"/>
      <c r="AE295" s="76"/>
      <c r="AG295" s="77"/>
      <c r="AH295" s="76"/>
      <c r="AJ295" s="77"/>
      <c r="AK295" s="76"/>
      <c r="AM295" s="77"/>
      <c r="AN295" s="76"/>
      <c r="AP295" s="77"/>
      <c r="AQ295" s="76"/>
      <c r="AS295" s="77"/>
      <c r="AT295" s="76"/>
      <c r="AV295" s="77"/>
    </row>
    <row r="296">
      <c r="K296" s="1"/>
      <c r="L296" s="2"/>
      <c r="M296" s="1"/>
      <c r="N296" s="1"/>
      <c r="O296" s="1"/>
      <c r="Y296" s="76"/>
      <c r="AA296" s="77"/>
      <c r="AB296" s="76"/>
      <c r="AD296" s="77"/>
      <c r="AE296" s="76"/>
      <c r="AG296" s="77"/>
      <c r="AH296" s="76"/>
      <c r="AJ296" s="77"/>
      <c r="AK296" s="76"/>
      <c r="AM296" s="77"/>
      <c r="AN296" s="76"/>
      <c r="AP296" s="77"/>
      <c r="AQ296" s="76"/>
      <c r="AS296" s="77"/>
      <c r="AT296" s="76"/>
      <c r="AV296" s="77"/>
    </row>
    <row r="297">
      <c r="K297" s="1"/>
      <c r="L297" s="2"/>
      <c r="M297" s="1"/>
      <c r="N297" s="1"/>
      <c r="O297" s="1"/>
      <c r="Y297" s="76"/>
      <c r="AA297" s="77"/>
      <c r="AB297" s="76"/>
      <c r="AD297" s="77"/>
      <c r="AE297" s="76"/>
      <c r="AG297" s="77"/>
      <c r="AH297" s="76"/>
      <c r="AJ297" s="77"/>
      <c r="AK297" s="76"/>
      <c r="AM297" s="77"/>
      <c r="AN297" s="76"/>
      <c r="AP297" s="77"/>
      <c r="AQ297" s="76"/>
      <c r="AS297" s="77"/>
      <c r="AT297" s="76"/>
      <c r="AV297" s="77"/>
    </row>
    <row r="298">
      <c r="K298" s="1"/>
      <c r="L298" s="2"/>
      <c r="M298" s="1"/>
      <c r="N298" s="1"/>
      <c r="O298" s="1"/>
      <c r="Y298" s="76"/>
      <c r="AA298" s="77"/>
      <c r="AB298" s="76"/>
      <c r="AD298" s="77"/>
      <c r="AE298" s="76"/>
      <c r="AG298" s="77"/>
      <c r="AH298" s="76"/>
      <c r="AJ298" s="77"/>
      <c r="AK298" s="76"/>
      <c r="AM298" s="77"/>
      <c r="AN298" s="76"/>
      <c r="AP298" s="77"/>
      <c r="AQ298" s="76"/>
      <c r="AS298" s="77"/>
      <c r="AT298" s="76"/>
      <c r="AV298" s="77"/>
    </row>
    <row r="299">
      <c r="K299" s="1"/>
      <c r="L299" s="2"/>
      <c r="M299" s="1"/>
      <c r="N299" s="1"/>
      <c r="O299" s="1"/>
      <c r="Y299" s="76"/>
      <c r="AA299" s="77"/>
      <c r="AB299" s="76"/>
      <c r="AD299" s="77"/>
      <c r="AE299" s="76"/>
      <c r="AG299" s="77"/>
      <c r="AH299" s="76"/>
      <c r="AJ299" s="77"/>
      <c r="AK299" s="76"/>
      <c r="AM299" s="77"/>
      <c r="AN299" s="76"/>
      <c r="AP299" s="77"/>
      <c r="AQ299" s="76"/>
      <c r="AS299" s="77"/>
      <c r="AT299" s="76"/>
      <c r="AV299" s="77"/>
    </row>
    <row r="300">
      <c r="K300" s="1"/>
      <c r="L300" s="2"/>
      <c r="M300" s="1"/>
      <c r="N300" s="1"/>
      <c r="O300" s="1"/>
      <c r="Y300" s="76"/>
      <c r="AA300" s="77"/>
      <c r="AB300" s="76"/>
      <c r="AD300" s="77"/>
      <c r="AE300" s="76"/>
      <c r="AG300" s="77"/>
      <c r="AH300" s="76"/>
      <c r="AJ300" s="77"/>
      <c r="AK300" s="76"/>
      <c r="AM300" s="77"/>
      <c r="AN300" s="76"/>
      <c r="AP300" s="77"/>
      <c r="AQ300" s="76"/>
      <c r="AS300" s="77"/>
      <c r="AT300" s="76"/>
      <c r="AV300" s="77"/>
    </row>
    <row r="301">
      <c r="K301" s="1"/>
      <c r="L301" s="2"/>
      <c r="M301" s="1"/>
      <c r="N301" s="1"/>
      <c r="O301" s="1"/>
      <c r="Y301" s="76"/>
      <c r="AA301" s="77"/>
      <c r="AB301" s="76"/>
      <c r="AD301" s="77"/>
      <c r="AE301" s="76"/>
      <c r="AG301" s="77"/>
      <c r="AH301" s="76"/>
      <c r="AJ301" s="77"/>
      <c r="AK301" s="76"/>
      <c r="AM301" s="77"/>
      <c r="AN301" s="76"/>
      <c r="AP301" s="77"/>
      <c r="AQ301" s="76"/>
      <c r="AS301" s="77"/>
      <c r="AT301" s="76"/>
      <c r="AV301" s="77"/>
    </row>
    <row r="302">
      <c r="K302" s="1"/>
      <c r="L302" s="2"/>
      <c r="M302" s="1"/>
      <c r="N302" s="1"/>
      <c r="O302" s="1"/>
      <c r="Y302" s="76"/>
      <c r="AA302" s="77"/>
      <c r="AB302" s="76"/>
      <c r="AD302" s="77"/>
      <c r="AE302" s="76"/>
      <c r="AG302" s="77"/>
      <c r="AH302" s="76"/>
      <c r="AJ302" s="77"/>
      <c r="AK302" s="76"/>
      <c r="AM302" s="77"/>
      <c r="AN302" s="76"/>
      <c r="AP302" s="77"/>
      <c r="AQ302" s="76"/>
      <c r="AS302" s="77"/>
      <c r="AT302" s="76"/>
      <c r="AV302" s="77"/>
    </row>
    <row r="303">
      <c r="K303" s="1"/>
      <c r="L303" s="2"/>
      <c r="M303" s="1"/>
      <c r="N303" s="1"/>
      <c r="O303" s="1"/>
      <c r="Y303" s="76"/>
      <c r="AA303" s="77"/>
      <c r="AB303" s="76"/>
      <c r="AD303" s="77"/>
      <c r="AE303" s="76"/>
      <c r="AG303" s="77"/>
      <c r="AH303" s="76"/>
      <c r="AJ303" s="77"/>
      <c r="AK303" s="76"/>
      <c r="AM303" s="77"/>
      <c r="AN303" s="76"/>
      <c r="AP303" s="77"/>
      <c r="AQ303" s="76"/>
      <c r="AS303" s="77"/>
      <c r="AT303" s="76"/>
      <c r="AV303" s="77"/>
    </row>
    <row r="304">
      <c r="K304" s="1"/>
      <c r="L304" s="2"/>
      <c r="M304" s="1"/>
      <c r="N304" s="1"/>
      <c r="O304" s="1"/>
      <c r="Y304" s="76"/>
      <c r="AA304" s="77"/>
      <c r="AB304" s="76"/>
      <c r="AD304" s="77"/>
      <c r="AE304" s="76"/>
      <c r="AG304" s="77"/>
      <c r="AH304" s="76"/>
      <c r="AJ304" s="77"/>
      <c r="AK304" s="76"/>
      <c r="AM304" s="77"/>
      <c r="AN304" s="76"/>
      <c r="AP304" s="77"/>
      <c r="AQ304" s="76"/>
      <c r="AS304" s="77"/>
      <c r="AT304" s="76"/>
      <c r="AV304" s="77"/>
    </row>
    <row r="305">
      <c r="K305" s="1"/>
      <c r="L305" s="2"/>
      <c r="M305" s="1"/>
      <c r="N305" s="1"/>
      <c r="O305" s="1"/>
      <c r="Y305" s="76"/>
      <c r="AA305" s="77"/>
      <c r="AB305" s="76"/>
      <c r="AD305" s="77"/>
      <c r="AE305" s="76"/>
      <c r="AG305" s="77"/>
      <c r="AH305" s="76"/>
      <c r="AJ305" s="77"/>
      <c r="AK305" s="76"/>
      <c r="AM305" s="77"/>
      <c r="AN305" s="76"/>
      <c r="AP305" s="77"/>
      <c r="AQ305" s="76"/>
      <c r="AS305" s="77"/>
      <c r="AT305" s="76"/>
      <c r="AV305" s="77"/>
    </row>
    <row r="306">
      <c r="K306" s="1"/>
      <c r="L306" s="2"/>
      <c r="M306" s="1"/>
      <c r="N306" s="1"/>
      <c r="O306" s="1"/>
      <c r="Y306" s="76"/>
      <c r="AA306" s="77"/>
      <c r="AB306" s="76"/>
      <c r="AD306" s="77"/>
      <c r="AE306" s="76"/>
      <c r="AG306" s="77"/>
      <c r="AH306" s="76"/>
      <c r="AJ306" s="77"/>
      <c r="AK306" s="76"/>
      <c r="AM306" s="77"/>
      <c r="AN306" s="76"/>
      <c r="AP306" s="77"/>
      <c r="AQ306" s="76"/>
      <c r="AS306" s="77"/>
      <c r="AT306" s="76"/>
      <c r="AV306" s="77"/>
    </row>
    <row r="307">
      <c r="K307" s="1"/>
      <c r="L307" s="2"/>
      <c r="M307" s="1"/>
      <c r="N307" s="1"/>
      <c r="O307" s="1"/>
      <c r="Y307" s="76"/>
      <c r="AA307" s="77"/>
      <c r="AB307" s="76"/>
      <c r="AD307" s="77"/>
      <c r="AE307" s="76"/>
      <c r="AG307" s="77"/>
      <c r="AH307" s="76"/>
      <c r="AJ307" s="77"/>
      <c r="AK307" s="76"/>
      <c r="AM307" s="77"/>
      <c r="AN307" s="76"/>
      <c r="AP307" s="77"/>
      <c r="AQ307" s="76"/>
      <c r="AS307" s="77"/>
      <c r="AT307" s="76"/>
      <c r="AV307" s="77"/>
    </row>
    <row r="308">
      <c r="K308" s="1"/>
      <c r="L308" s="2"/>
      <c r="M308" s="1"/>
      <c r="N308" s="1"/>
      <c r="O308" s="1"/>
      <c r="Y308" s="76"/>
      <c r="AA308" s="77"/>
      <c r="AB308" s="76"/>
      <c r="AD308" s="77"/>
      <c r="AE308" s="76"/>
      <c r="AG308" s="77"/>
      <c r="AH308" s="76"/>
      <c r="AJ308" s="77"/>
      <c r="AK308" s="76"/>
      <c r="AM308" s="77"/>
      <c r="AN308" s="76"/>
      <c r="AP308" s="77"/>
      <c r="AQ308" s="76"/>
      <c r="AS308" s="77"/>
      <c r="AT308" s="76"/>
      <c r="AV308" s="77"/>
    </row>
    <row r="309">
      <c r="K309" s="1"/>
      <c r="L309" s="2"/>
      <c r="M309" s="1"/>
      <c r="N309" s="1"/>
      <c r="O309" s="1"/>
      <c r="Y309" s="76"/>
      <c r="AA309" s="77"/>
      <c r="AB309" s="76"/>
      <c r="AD309" s="77"/>
      <c r="AE309" s="76"/>
      <c r="AG309" s="77"/>
      <c r="AH309" s="76"/>
      <c r="AJ309" s="77"/>
      <c r="AK309" s="76"/>
      <c r="AM309" s="77"/>
      <c r="AN309" s="76"/>
      <c r="AP309" s="77"/>
      <c r="AQ309" s="76"/>
      <c r="AS309" s="77"/>
      <c r="AT309" s="76"/>
      <c r="AV309" s="77"/>
    </row>
    <row r="310">
      <c r="K310" s="1"/>
      <c r="L310" s="2"/>
      <c r="M310" s="1"/>
      <c r="N310" s="1"/>
      <c r="O310" s="1"/>
      <c r="Y310" s="76"/>
      <c r="AA310" s="77"/>
      <c r="AB310" s="76"/>
      <c r="AD310" s="77"/>
      <c r="AE310" s="76"/>
      <c r="AG310" s="77"/>
      <c r="AH310" s="76"/>
      <c r="AJ310" s="77"/>
      <c r="AK310" s="76"/>
      <c r="AM310" s="77"/>
      <c r="AN310" s="76"/>
      <c r="AP310" s="77"/>
      <c r="AQ310" s="76"/>
      <c r="AS310" s="77"/>
      <c r="AT310" s="76"/>
      <c r="AV310" s="77"/>
    </row>
    <row r="311">
      <c r="K311" s="1"/>
      <c r="L311" s="2"/>
      <c r="M311" s="1"/>
      <c r="N311" s="1"/>
      <c r="O311" s="1"/>
      <c r="Y311" s="76"/>
      <c r="AA311" s="77"/>
      <c r="AB311" s="76"/>
      <c r="AD311" s="77"/>
      <c r="AE311" s="76"/>
      <c r="AG311" s="77"/>
      <c r="AH311" s="76"/>
      <c r="AJ311" s="77"/>
      <c r="AK311" s="76"/>
      <c r="AM311" s="77"/>
      <c r="AN311" s="76"/>
      <c r="AP311" s="77"/>
      <c r="AQ311" s="76"/>
      <c r="AS311" s="77"/>
      <c r="AT311" s="76"/>
      <c r="AV311" s="77"/>
    </row>
    <row r="312">
      <c r="K312" s="1"/>
      <c r="L312" s="2"/>
      <c r="M312" s="1"/>
      <c r="N312" s="1"/>
      <c r="O312" s="1"/>
      <c r="Y312" s="76"/>
      <c r="AA312" s="77"/>
      <c r="AB312" s="76"/>
      <c r="AD312" s="77"/>
      <c r="AE312" s="76"/>
      <c r="AG312" s="77"/>
      <c r="AH312" s="76"/>
      <c r="AJ312" s="77"/>
      <c r="AK312" s="76"/>
      <c r="AM312" s="77"/>
      <c r="AN312" s="76"/>
      <c r="AP312" s="77"/>
      <c r="AQ312" s="76"/>
      <c r="AS312" s="77"/>
      <c r="AT312" s="76"/>
      <c r="AV312" s="77"/>
    </row>
    <row r="313">
      <c r="K313" s="1"/>
      <c r="L313" s="2"/>
      <c r="M313" s="1"/>
      <c r="N313" s="1"/>
      <c r="O313" s="1"/>
      <c r="Y313" s="76"/>
      <c r="AA313" s="77"/>
      <c r="AB313" s="76"/>
      <c r="AD313" s="77"/>
      <c r="AE313" s="76"/>
      <c r="AG313" s="77"/>
      <c r="AH313" s="76"/>
      <c r="AJ313" s="77"/>
      <c r="AK313" s="76"/>
      <c r="AM313" s="77"/>
      <c r="AN313" s="76"/>
      <c r="AP313" s="77"/>
      <c r="AQ313" s="76"/>
      <c r="AS313" s="77"/>
      <c r="AT313" s="76"/>
      <c r="AV313" s="77"/>
    </row>
    <row r="314">
      <c r="K314" s="1"/>
      <c r="L314" s="2"/>
      <c r="M314" s="1"/>
      <c r="N314" s="1"/>
      <c r="O314" s="1"/>
      <c r="Y314" s="76"/>
      <c r="AA314" s="77"/>
      <c r="AB314" s="76"/>
      <c r="AD314" s="77"/>
      <c r="AE314" s="76"/>
      <c r="AG314" s="77"/>
      <c r="AH314" s="76"/>
      <c r="AJ314" s="77"/>
      <c r="AK314" s="76"/>
      <c r="AM314" s="77"/>
      <c r="AN314" s="76"/>
      <c r="AP314" s="77"/>
      <c r="AQ314" s="76"/>
      <c r="AS314" s="77"/>
      <c r="AT314" s="76"/>
      <c r="AV314" s="77"/>
    </row>
    <row r="315">
      <c r="K315" s="1"/>
      <c r="L315" s="2"/>
      <c r="M315" s="1"/>
      <c r="N315" s="1"/>
      <c r="O315" s="1"/>
      <c r="Y315" s="76"/>
      <c r="AA315" s="77"/>
      <c r="AB315" s="76"/>
      <c r="AD315" s="77"/>
      <c r="AE315" s="76"/>
      <c r="AG315" s="77"/>
      <c r="AH315" s="76"/>
      <c r="AJ315" s="77"/>
      <c r="AK315" s="76"/>
      <c r="AM315" s="77"/>
      <c r="AN315" s="76"/>
      <c r="AP315" s="77"/>
      <c r="AQ315" s="76"/>
      <c r="AS315" s="77"/>
      <c r="AT315" s="76"/>
      <c r="AV315" s="77"/>
    </row>
    <row r="316">
      <c r="K316" s="1"/>
      <c r="L316" s="2"/>
      <c r="M316" s="1"/>
      <c r="N316" s="1"/>
      <c r="O316" s="1"/>
      <c r="Y316" s="76"/>
      <c r="AA316" s="77"/>
      <c r="AB316" s="76"/>
      <c r="AD316" s="77"/>
      <c r="AE316" s="76"/>
      <c r="AG316" s="77"/>
      <c r="AH316" s="76"/>
      <c r="AJ316" s="77"/>
      <c r="AK316" s="76"/>
      <c r="AM316" s="77"/>
      <c r="AN316" s="76"/>
      <c r="AP316" s="77"/>
      <c r="AQ316" s="76"/>
      <c r="AS316" s="77"/>
      <c r="AT316" s="76"/>
      <c r="AV316" s="77"/>
    </row>
    <row r="317">
      <c r="K317" s="1"/>
      <c r="L317" s="2"/>
      <c r="M317" s="1"/>
      <c r="N317" s="1"/>
      <c r="O317" s="1"/>
      <c r="Y317" s="76"/>
      <c r="AA317" s="77"/>
      <c r="AB317" s="76"/>
      <c r="AD317" s="77"/>
      <c r="AE317" s="76"/>
      <c r="AG317" s="77"/>
      <c r="AH317" s="76"/>
      <c r="AJ317" s="77"/>
      <c r="AK317" s="76"/>
      <c r="AM317" s="77"/>
      <c r="AN317" s="76"/>
      <c r="AP317" s="77"/>
      <c r="AQ317" s="76"/>
      <c r="AS317" s="77"/>
      <c r="AT317" s="76"/>
      <c r="AV317" s="77"/>
    </row>
    <row r="318">
      <c r="K318" s="1"/>
      <c r="L318" s="2"/>
      <c r="M318" s="1"/>
      <c r="N318" s="1"/>
      <c r="O318" s="1"/>
      <c r="Y318" s="76"/>
      <c r="AA318" s="77"/>
      <c r="AB318" s="76"/>
      <c r="AD318" s="77"/>
      <c r="AE318" s="76"/>
      <c r="AG318" s="77"/>
      <c r="AH318" s="76"/>
      <c r="AJ318" s="77"/>
      <c r="AK318" s="76"/>
      <c r="AM318" s="77"/>
      <c r="AN318" s="76"/>
      <c r="AP318" s="77"/>
      <c r="AQ318" s="76"/>
      <c r="AS318" s="77"/>
      <c r="AT318" s="76"/>
      <c r="AV318" s="77"/>
    </row>
    <row r="319">
      <c r="K319" s="1"/>
      <c r="L319" s="2"/>
      <c r="M319" s="1"/>
      <c r="N319" s="1"/>
      <c r="O319" s="1"/>
      <c r="Y319" s="76"/>
      <c r="AA319" s="77"/>
      <c r="AB319" s="76"/>
      <c r="AD319" s="77"/>
      <c r="AE319" s="76"/>
      <c r="AG319" s="77"/>
      <c r="AH319" s="76"/>
      <c r="AJ319" s="77"/>
      <c r="AK319" s="76"/>
      <c r="AM319" s="77"/>
      <c r="AN319" s="76"/>
      <c r="AP319" s="77"/>
      <c r="AQ319" s="76"/>
      <c r="AS319" s="77"/>
      <c r="AT319" s="76"/>
      <c r="AV319" s="77"/>
    </row>
    <row r="320">
      <c r="K320" s="1"/>
      <c r="L320" s="2"/>
      <c r="M320" s="1"/>
      <c r="N320" s="1"/>
      <c r="O320" s="1"/>
      <c r="Y320" s="76"/>
      <c r="AA320" s="77"/>
      <c r="AB320" s="76"/>
      <c r="AD320" s="77"/>
      <c r="AE320" s="76"/>
      <c r="AG320" s="77"/>
      <c r="AH320" s="76"/>
      <c r="AJ320" s="77"/>
      <c r="AK320" s="76"/>
      <c r="AM320" s="77"/>
      <c r="AN320" s="76"/>
      <c r="AP320" s="77"/>
      <c r="AQ320" s="76"/>
      <c r="AS320" s="77"/>
      <c r="AT320" s="76"/>
      <c r="AV320" s="77"/>
    </row>
    <row r="321">
      <c r="K321" s="1"/>
      <c r="L321" s="2"/>
      <c r="M321" s="1"/>
      <c r="N321" s="1"/>
      <c r="O321" s="1"/>
      <c r="Y321" s="76"/>
      <c r="AA321" s="77"/>
      <c r="AB321" s="76"/>
      <c r="AD321" s="77"/>
      <c r="AE321" s="76"/>
      <c r="AG321" s="77"/>
      <c r="AH321" s="76"/>
      <c r="AJ321" s="77"/>
      <c r="AK321" s="76"/>
      <c r="AM321" s="77"/>
      <c r="AN321" s="76"/>
      <c r="AP321" s="77"/>
      <c r="AQ321" s="76"/>
      <c r="AS321" s="77"/>
      <c r="AT321" s="76"/>
      <c r="AV321" s="77"/>
    </row>
    <row r="322">
      <c r="K322" s="1"/>
      <c r="L322" s="2"/>
      <c r="M322" s="1"/>
      <c r="N322" s="1"/>
      <c r="O322" s="1"/>
      <c r="Y322" s="76"/>
      <c r="AA322" s="77"/>
      <c r="AB322" s="76"/>
      <c r="AD322" s="77"/>
      <c r="AE322" s="76"/>
      <c r="AG322" s="77"/>
      <c r="AH322" s="76"/>
      <c r="AJ322" s="77"/>
      <c r="AK322" s="76"/>
      <c r="AM322" s="77"/>
      <c r="AN322" s="76"/>
      <c r="AP322" s="77"/>
      <c r="AQ322" s="76"/>
      <c r="AS322" s="77"/>
      <c r="AT322" s="76"/>
      <c r="AV322" s="77"/>
    </row>
    <row r="323">
      <c r="K323" s="1"/>
      <c r="L323" s="2"/>
      <c r="M323" s="1"/>
      <c r="N323" s="1"/>
      <c r="O323" s="1"/>
      <c r="Y323" s="76"/>
      <c r="AA323" s="77"/>
      <c r="AB323" s="76"/>
      <c r="AD323" s="77"/>
      <c r="AE323" s="76"/>
      <c r="AG323" s="77"/>
      <c r="AH323" s="76"/>
      <c r="AJ323" s="77"/>
      <c r="AK323" s="76"/>
      <c r="AM323" s="77"/>
      <c r="AN323" s="76"/>
      <c r="AP323" s="77"/>
      <c r="AQ323" s="76"/>
      <c r="AS323" s="77"/>
      <c r="AT323" s="76"/>
      <c r="AV323" s="77"/>
    </row>
    <row r="324">
      <c r="K324" s="1"/>
      <c r="L324" s="2"/>
      <c r="M324" s="1"/>
      <c r="N324" s="1"/>
      <c r="O324" s="1"/>
      <c r="Y324" s="76"/>
      <c r="AA324" s="77"/>
      <c r="AB324" s="76"/>
      <c r="AD324" s="77"/>
      <c r="AE324" s="76"/>
      <c r="AG324" s="77"/>
      <c r="AH324" s="76"/>
      <c r="AJ324" s="77"/>
      <c r="AK324" s="76"/>
      <c r="AM324" s="77"/>
      <c r="AN324" s="76"/>
      <c r="AP324" s="77"/>
      <c r="AQ324" s="76"/>
      <c r="AS324" s="77"/>
      <c r="AT324" s="76"/>
      <c r="AV324" s="77"/>
    </row>
    <row r="325">
      <c r="K325" s="1"/>
      <c r="L325" s="2"/>
      <c r="M325" s="1"/>
      <c r="N325" s="1"/>
      <c r="O325" s="1"/>
      <c r="Y325" s="76"/>
      <c r="AA325" s="77"/>
      <c r="AB325" s="76"/>
      <c r="AD325" s="77"/>
      <c r="AE325" s="76"/>
      <c r="AG325" s="77"/>
      <c r="AH325" s="76"/>
      <c r="AJ325" s="77"/>
      <c r="AK325" s="76"/>
      <c r="AM325" s="77"/>
      <c r="AN325" s="76"/>
      <c r="AP325" s="77"/>
      <c r="AQ325" s="76"/>
      <c r="AS325" s="77"/>
      <c r="AT325" s="76"/>
      <c r="AV325" s="77"/>
    </row>
    <row r="326">
      <c r="K326" s="1"/>
      <c r="L326" s="2"/>
      <c r="M326" s="1"/>
      <c r="N326" s="1"/>
      <c r="O326" s="1"/>
      <c r="Y326" s="76"/>
      <c r="AA326" s="77"/>
      <c r="AB326" s="76"/>
      <c r="AD326" s="77"/>
      <c r="AE326" s="76"/>
      <c r="AG326" s="77"/>
      <c r="AH326" s="76"/>
      <c r="AJ326" s="77"/>
      <c r="AK326" s="76"/>
      <c r="AM326" s="77"/>
      <c r="AN326" s="76"/>
      <c r="AP326" s="77"/>
      <c r="AQ326" s="76"/>
      <c r="AS326" s="77"/>
      <c r="AT326" s="76"/>
      <c r="AV326" s="77"/>
    </row>
    <row r="327">
      <c r="K327" s="1"/>
      <c r="L327" s="2"/>
      <c r="M327" s="1"/>
      <c r="N327" s="1"/>
      <c r="O327" s="1"/>
      <c r="Y327" s="76"/>
      <c r="AA327" s="77"/>
      <c r="AB327" s="76"/>
      <c r="AD327" s="77"/>
      <c r="AE327" s="76"/>
      <c r="AG327" s="77"/>
      <c r="AH327" s="76"/>
      <c r="AJ327" s="77"/>
      <c r="AK327" s="76"/>
      <c r="AM327" s="77"/>
      <c r="AN327" s="76"/>
      <c r="AP327" s="77"/>
      <c r="AQ327" s="76"/>
      <c r="AS327" s="77"/>
      <c r="AT327" s="76"/>
      <c r="AV327" s="77"/>
    </row>
    <row r="328">
      <c r="K328" s="1"/>
      <c r="L328" s="2"/>
      <c r="M328" s="1"/>
      <c r="N328" s="1"/>
      <c r="O328" s="1"/>
      <c r="Y328" s="76"/>
      <c r="AA328" s="77"/>
      <c r="AB328" s="76"/>
      <c r="AD328" s="77"/>
      <c r="AE328" s="76"/>
      <c r="AG328" s="77"/>
      <c r="AH328" s="76"/>
      <c r="AJ328" s="77"/>
      <c r="AK328" s="76"/>
      <c r="AM328" s="77"/>
      <c r="AN328" s="76"/>
      <c r="AP328" s="77"/>
      <c r="AQ328" s="76"/>
      <c r="AS328" s="77"/>
      <c r="AT328" s="76"/>
      <c r="AV328" s="77"/>
    </row>
    <row r="329">
      <c r="K329" s="1"/>
      <c r="L329" s="2"/>
      <c r="M329" s="1"/>
      <c r="N329" s="1"/>
      <c r="O329" s="1"/>
      <c r="Y329" s="76"/>
      <c r="AA329" s="77"/>
      <c r="AB329" s="76"/>
      <c r="AD329" s="77"/>
      <c r="AE329" s="76"/>
      <c r="AG329" s="77"/>
      <c r="AH329" s="76"/>
      <c r="AJ329" s="77"/>
      <c r="AK329" s="76"/>
      <c r="AM329" s="77"/>
      <c r="AN329" s="76"/>
      <c r="AP329" s="77"/>
      <c r="AQ329" s="76"/>
      <c r="AS329" s="77"/>
      <c r="AT329" s="76"/>
      <c r="AV329" s="77"/>
    </row>
    <row r="330">
      <c r="K330" s="1"/>
      <c r="L330" s="2"/>
      <c r="M330" s="1"/>
      <c r="N330" s="1"/>
      <c r="O330" s="1"/>
      <c r="Y330" s="76"/>
      <c r="AA330" s="77"/>
      <c r="AB330" s="76"/>
      <c r="AD330" s="77"/>
      <c r="AE330" s="76"/>
      <c r="AG330" s="77"/>
      <c r="AH330" s="76"/>
      <c r="AJ330" s="77"/>
      <c r="AK330" s="76"/>
      <c r="AM330" s="77"/>
      <c r="AN330" s="76"/>
      <c r="AP330" s="77"/>
      <c r="AQ330" s="76"/>
      <c r="AS330" s="77"/>
      <c r="AT330" s="76"/>
      <c r="AV330" s="77"/>
    </row>
    <row r="331">
      <c r="K331" s="1"/>
      <c r="L331" s="2"/>
      <c r="M331" s="1"/>
      <c r="N331" s="1"/>
      <c r="O331" s="1"/>
      <c r="Y331" s="76"/>
      <c r="AA331" s="77"/>
      <c r="AB331" s="76"/>
      <c r="AD331" s="77"/>
      <c r="AE331" s="76"/>
      <c r="AG331" s="77"/>
      <c r="AH331" s="76"/>
      <c r="AJ331" s="77"/>
      <c r="AK331" s="76"/>
      <c r="AM331" s="77"/>
      <c r="AN331" s="76"/>
      <c r="AP331" s="77"/>
      <c r="AQ331" s="76"/>
      <c r="AS331" s="77"/>
      <c r="AT331" s="76"/>
      <c r="AV331" s="77"/>
    </row>
    <row r="332">
      <c r="K332" s="1"/>
      <c r="L332" s="2"/>
      <c r="M332" s="1"/>
      <c r="N332" s="1"/>
      <c r="O332" s="1"/>
      <c r="Y332" s="76"/>
      <c r="AA332" s="77"/>
      <c r="AB332" s="76"/>
      <c r="AD332" s="77"/>
      <c r="AE332" s="76"/>
      <c r="AG332" s="77"/>
      <c r="AH332" s="76"/>
      <c r="AJ332" s="77"/>
      <c r="AK332" s="76"/>
      <c r="AM332" s="77"/>
      <c r="AN332" s="76"/>
      <c r="AP332" s="77"/>
      <c r="AQ332" s="76"/>
      <c r="AS332" s="77"/>
      <c r="AT332" s="76"/>
      <c r="AV332" s="77"/>
    </row>
    <row r="333">
      <c r="K333" s="1"/>
      <c r="L333" s="2"/>
      <c r="M333" s="1"/>
      <c r="N333" s="1"/>
      <c r="O333" s="1"/>
      <c r="Y333" s="76"/>
      <c r="AA333" s="77"/>
      <c r="AB333" s="76"/>
      <c r="AD333" s="77"/>
      <c r="AE333" s="76"/>
      <c r="AG333" s="77"/>
      <c r="AH333" s="76"/>
      <c r="AJ333" s="77"/>
      <c r="AK333" s="76"/>
      <c r="AM333" s="77"/>
      <c r="AN333" s="76"/>
      <c r="AP333" s="77"/>
      <c r="AQ333" s="76"/>
      <c r="AS333" s="77"/>
      <c r="AT333" s="76"/>
      <c r="AV333" s="77"/>
    </row>
    <row r="334">
      <c r="K334" s="1"/>
      <c r="L334" s="2"/>
      <c r="M334" s="1"/>
      <c r="N334" s="1"/>
      <c r="O334" s="1"/>
      <c r="Y334" s="76"/>
      <c r="AA334" s="77"/>
      <c r="AB334" s="76"/>
      <c r="AD334" s="77"/>
      <c r="AE334" s="76"/>
      <c r="AG334" s="77"/>
      <c r="AH334" s="76"/>
      <c r="AJ334" s="77"/>
      <c r="AK334" s="76"/>
      <c r="AM334" s="77"/>
      <c r="AN334" s="76"/>
      <c r="AP334" s="77"/>
      <c r="AQ334" s="76"/>
      <c r="AS334" s="77"/>
      <c r="AT334" s="76"/>
      <c r="AV334" s="77"/>
    </row>
    <row r="335">
      <c r="K335" s="1"/>
      <c r="L335" s="2"/>
      <c r="M335" s="1"/>
      <c r="N335" s="1"/>
      <c r="O335" s="1"/>
      <c r="Y335" s="76"/>
      <c r="AA335" s="77"/>
      <c r="AB335" s="76"/>
      <c r="AD335" s="77"/>
      <c r="AE335" s="76"/>
      <c r="AG335" s="77"/>
      <c r="AH335" s="76"/>
      <c r="AJ335" s="77"/>
      <c r="AK335" s="76"/>
      <c r="AM335" s="77"/>
      <c r="AN335" s="76"/>
      <c r="AP335" s="77"/>
      <c r="AQ335" s="76"/>
      <c r="AS335" s="77"/>
      <c r="AT335" s="76"/>
      <c r="AV335" s="77"/>
    </row>
    <row r="336">
      <c r="K336" s="1"/>
      <c r="L336" s="2"/>
      <c r="M336" s="1"/>
      <c r="N336" s="1"/>
      <c r="O336" s="1"/>
      <c r="Y336" s="76"/>
      <c r="AA336" s="77"/>
      <c r="AB336" s="76"/>
      <c r="AD336" s="77"/>
      <c r="AE336" s="76"/>
      <c r="AG336" s="77"/>
      <c r="AH336" s="76"/>
      <c r="AJ336" s="77"/>
      <c r="AK336" s="76"/>
      <c r="AM336" s="77"/>
      <c r="AN336" s="76"/>
      <c r="AP336" s="77"/>
      <c r="AQ336" s="76"/>
      <c r="AS336" s="77"/>
      <c r="AT336" s="76"/>
      <c r="AV336" s="77"/>
    </row>
    <row r="337">
      <c r="K337" s="1"/>
      <c r="L337" s="2"/>
      <c r="M337" s="1"/>
      <c r="N337" s="1"/>
      <c r="O337" s="1"/>
      <c r="Y337" s="76"/>
      <c r="AA337" s="77"/>
      <c r="AB337" s="76"/>
      <c r="AD337" s="77"/>
      <c r="AE337" s="76"/>
      <c r="AG337" s="77"/>
      <c r="AH337" s="76"/>
      <c r="AJ337" s="77"/>
      <c r="AK337" s="76"/>
      <c r="AM337" s="77"/>
      <c r="AN337" s="76"/>
      <c r="AP337" s="77"/>
      <c r="AQ337" s="76"/>
      <c r="AS337" s="77"/>
      <c r="AT337" s="76"/>
      <c r="AV337" s="77"/>
    </row>
    <row r="338">
      <c r="K338" s="1"/>
      <c r="L338" s="2"/>
      <c r="M338" s="1"/>
      <c r="N338" s="1"/>
      <c r="O338" s="1"/>
      <c r="Y338" s="76"/>
      <c r="AA338" s="77"/>
      <c r="AB338" s="76"/>
      <c r="AD338" s="77"/>
      <c r="AE338" s="76"/>
      <c r="AG338" s="77"/>
      <c r="AH338" s="76"/>
      <c r="AJ338" s="77"/>
      <c r="AK338" s="76"/>
      <c r="AM338" s="77"/>
      <c r="AN338" s="76"/>
      <c r="AP338" s="77"/>
      <c r="AQ338" s="76"/>
      <c r="AS338" s="77"/>
      <c r="AT338" s="76"/>
      <c r="AV338" s="77"/>
    </row>
    <row r="339">
      <c r="K339" s="1"/>
      <c r="L339" s="2"/>
      <c r="M339" s="1"/>
      <c r="N339" s="1"/>
      <c r="O339" s="1"/>
      <c r="Y339" s="76"/>
      <c r="AA339" s="77"/>
      <c r="AB339" s="76"/>
      <c r="AD339" s="77"/>
      <c r="AE339" s="76"/>
      <c r="AG339" s="77"/>
      <c r="AH339" s="76"/>
      <c r="AJ339" s="77"/>
      <c r="AK339" s="76"/>
      <c r="AM339" s="77"/>
      <c r="AN339" s="76"/>
      <c r="AP339" s="77"/>
      <c r="AQ339" s="76"/>
      <c r="AS339" s="77"/>
      <c r="AT339" s="76"/>
      <c r="AV339" s="77"/>
    </row>
    <row r="340">
      <c r="K340" s="1"/>
      <c r="L340" s="2"/>
      <c r="M340" s="1"/>
      <c r="N340" s="1"/>
      <c r="O340" s="1"/>
      <c r="Y340" s="76"/>
      <c r="AA340" s="77"/>
      <c r="AB340" s="76"/>
      <c r="AD340" s="77"/>
      <c r="AE340" s="76"/>
      <c r="AG340" s="77"/>
      <c r="AH340" s="76"/>
      <c r="AJ340" s="77"/>
      <c r="AK340" s="76"/>
      <c r="AM340" s="77"/>
      <c r="AN340" s="76"/>
      <c r="AP340" s="77"/>
      <c r="AQ340" s="76"/>
      <c r="AS340" s="77"/>
      <c r="AT340" s="76"/>
      <c r="AV340" s="77"/>
    </row>
    <row r="341">
      <c r="K341" s="1"/>
      <c r="L341" s="2"/>
      <c r="M341" s="1"/>
      <c r="N341" s="1"/>
      <c r="O341" s="1"/>
      <c r="Y341" s="76"/>
      <c r="AA341" s="77"/>
      <c r="AB341" s="76"/>
      <c r="AD341" s="77"/>
      <c r="AE341" s="76"/>
      <c r="AG341" s="77"/>
      <c r="AH341" s="76"/>
      <c r="AJ341" s="77"/>
      <c r="AK341" s="76"/>
      <c r="AM341" s="77"/>
      <c r="AN341" s="76"/>
      <c r="AP341" s="77"/>
      <c r="AQ341" s="76"/>
      <c r="AS341" s="77"/>
      <c r="AT341" s="76"/>
      <c r="AV341" s="77"/>
    </row>
    <row r="342">
      <c r="K342" s="1"/>
      <c r="L342" s="2"/>
      <c r="M342" s="1"/>
      <c r="N342" s="1"/>
      <c r="O342" s="1"/>
      <c r="Y342" s="76"/>
      <c r="AA342" s="77"/>
      <c r="AB342" s="76"/>
      <c r="AD342" s="77"/>
      <c r="AE342" s="76"/>
      <c r="AG342" s="77"/>
      <c r="AH342" s="76"/>
      <c r="AJ342" s="77"/>
      <c r="AK342" s="76"/>
      <c r="AM342" s="77"/>
      <c r="AN342" s="76"/>
      <c r="AP342" s="77"/>
      <c r="AQ342" s="76"/>
      <c r="AS342" s="77"/>
      <c r="AT342" s="76"/>
      <c r="AV342" s="77"/>
    </row>
    <row r="343">
      <c r="K343" s="1"/>
      <c r="L343" s="2"/>
      <c r="M343" s="1"/>
      <c r="N343" s="1"/>
      <c r="O343" s="1"/>
      <c r="Y343" s="76"/>
      <c r="AA343" s="77"/>
      <c r="AB343" s="76"/>
      <c r="AD343" s="77"/>
      <c r="AE343" s="76"/>
      <c r="AG343" s="77"/>
      <c r="AH343" s="76"/>
      <c r="AJ343" s="77"/>
      <c r="AK343" s="76"/>
      <c r="AM343" s="77"/>
      <c r="AN343" s="76"/>
      <c r="AP343" s="77"/>
      <c r="AQ343" s="76"/>
      <c r="AS343" s="77"/>
      <c r="AT343" s="76"/>
      <c r="AV343" s="77"/>
    </row>
    <row r="344">
      <c r="K344" s="1"/>
      <c r="L344" s="2"/>
      <c r="M344" s="1"/>
      <c r="N344" s="1"/>
      <c r="O344" s="1"/>
      <c r="Y344" s="76"/>
      <c r="AA344" s="77"/>
      <c r="AB344" s="76"/>
      <c r="AD344" s="77"/>
      <c r="AE344" s="76"/>
      <c r="AG344" s="77"/>
      <c r="AH344" s="76"/>
      <c r="AJ344" s="77"/>
      <c r="AK344" s="76"/>
      <c r="AM344" s="77"/>
      <c r="AN344" s="76"/>
      <c r="AP344" s="77"/>
      <c r="AQ344" s="76"/>
      <c r="AS344" s="77"/>
      <c r="AT344" s="76"/>
      <c r="AV344" s="77"/>
    </row>
    <row r="345">
      <c r="K345" s="1"/>
      <c r="L345" s="2"/>
      <c r="M345" s="1"/>
      <c r="N345" s="1"/>
      <c r="O345" s="1"/>
      <c r="Y345" s="76"/>
      <c r="AA345" s="77"/>
      <c r="AB345" s="76"/>
      <c r="AD345" s="77"/>
      <c r="AE345" s="76"/>
      <c r="AG345" s="77"/>
      <c r="AH345" s="76"/>
      <c r="AJ345" s="77"/>
      <c r="AK345" s="76"/>
      <c r="AM345" s="77"/>
      <c r="AN345" s="76"/>
      <c r="AP345" s="77"/>
      <c r="AQ345" s="76"/>
      <c r="AS345" s="77"/>
      <c r="AT345" s="76"/>
      <c r="AV345" s="77"/>
    </row>
    <row r="346">
      <c r="K346" s="1"/>
      <c r="L346" s="2"/>
      <c r="M346" s="1"/>
      <c r="N346" s="1"/>
      <c r="O346" s="1"/>
      <c r="Y346" s="76"/>
      <c r="AA346" s="77"/>
      <c r="AB346" s="76"/>
      <c r="AD346" s="77"/>
      <c r="AE346" s="76"/>
      <c r="AG346" s="77"/>
      <c r="AH346" s="76"/>
      <c r="AJ346" s="77"/>
      <c r="AK346" s="76"/>
      <c r="AM346" s="77"/>
      <c r="AN346" s="76"/>
      <c r="AP346" s="77"/>
      <c r="AQ346" s="76"/>
      <c r="AS346" s="77"/>
      <c r="AT346" s="76"/>
      <c r="AV346" s="77"/>
    </row>
    <row r="347">
      <c r="K347" s="1"/>
      <c r="L347" s="2"/>
      <c r="M347" s="1"/>
      <c r="N347" s="1"/>
      <c r="O347" s="1"/>
      <c r="Y347" s="76"/>
      <c r="AA347" s="77"/>
      <c r="AB347" s="76"/>
      <c r="AD347" s="77"/>
      <c r="AE347" s="76"/>
      <c r="AG347" s="77"/>
      <c r="AH347" s="76"/>
      <c r="AJ347" s="77"/>
      <c r="AK347" s="76"/>
      <c r="AM347" s="77"/>
      <c r="AN347" s="76"/>
      <c r="AP347" s="77"/>
      <c r="AQ347" s="76"/>
      <c r="AS347" s="77"/>
      <c r="AT347" s="76"/>
      <c r="AV347" s="77"/>
    </row>
    <row r="348">
      <c r="K348" s="1"/>
      <c r="L348" s="2"/>
      <c r="M348" s="1"/>
      <c r="N348" s="1"/>
      <c r="O348" s="1"/>
      <c r="Y348" s="76"/>
      <c r="AA348" s="77"/>
      <c r="AB348" s="76"/>
      <c r="AD348" s="77"/>
      <c r="AE348" s="76"/>
      <c r="AG348" s="77"/>
      <c r="AH348" s="76"/>
      <c r="AJ348" s="77"/>
      <c r="AK348" s="76"/>
      <c r="AM348" s="77"/>
      <c r="AN348" s="76"/>
      <c r="AP348" s="77"/>
      <c r="AQ348" s="76"/>
      <c r="AS348" s="77"/>
      <c r="AT348" s="76"/>
      <c r="AV348" s="77"/>
    </row>
    <row r="349">
      <c r="K349" s="1"/>
      <c r="L349" s="2"/>
      <c r="M349" s="1"/>
      <c r="N349" s="1"/>
      <c r="O349" s="1"/>
      <c r="Y349" s="76"/>
      <c r="AA349" s="77"/>
      <c r="AB349" s="76"/>
      <c r="AD349" s="77"/>
      <c r="AE349" s="76"/>
      <c r="AG349" s="77"/>
      <c r="AH349" s="76"/>
      <c r="AJ349" s="77"/>
      <c r="AK349" s="76"/>
      <c r="AM349" s="77"/>
      <c r="AN349" s="76"/>
      <c r="AP349" s="77"/>
      <c r="AQ349" s="76"/>
      <c r="AS349" s="77"/>
      <c r="AT349" s="76"/>
      <c r="AV349" s="77"/>
    </row>
    <row r="350">
      <c r="K350" s="1"/>
      <c r="L350" s="2"/>
      <c r="M350" s="1"/>
      <c r="N350" s="1"/>
      <c r="O350" s="1"/>
      <c r="Y350" s="76"/>
      <c r="AA350" s="77"/>
      <c r="AB350" s="76"/>
      <c r="AD350" s="77"/>
      <c r="AE350" s="76"/>
      <c r="AG350" s="77"/>
      <c r="AH350" s="76"/>
      <c r="AJ350" s="77"/>
      <c r="AK350" s="76"/>
      <c r="AM350" s="77"/>
      <c r="AN350" s="76"/>
      <c r="AP350" s="77"/>
      <c r="AQ350" s="76"/>
      <c r="AS350" s="77"/>
      <c r="AT350" s="76"/>
      <c r="AV350" s="77"/>
    </row>
    <row r="351">
      <c r="K351" s="1"/>
      <c r="L351" s="2"/>
      <c r="M351" s="1"/>
      <c r="N351" s="1"/>
      <c r="O351" s="1"/>
      <c r="Y351" s="76"/>
      <c r="AA351" s="77"/>
      <c r="AB351" s="76"/>
      <c r="AD351" s="77"/>
      <c r="AE351" s="76"/>
      <c r="AG351" s="77"/>
      <c r="AH351" s="76"/>
      <c r="AJ351" s="77"/>
      <c r="AK351" s="76"/>
      <c r="AM351" s="77"/>
      <c r="AN351" s="76"/>
      <c r="AP351" s="77"/>
      <c r="AQ351" s="76"/>
      <c r="AS351" s="77"/>
      <c r="AT351" s="76"/>
      <c r="AV351" s="77"/>
    </row>
    <row r="352">
      <c r="K352" s="1"/>
      <c r="L352" s="2"/>
      <c r="M352" s="1"/>
      <c r="N352" s="1"/>
      <c r="O352" s="1"/>
      <c r="Y352" s="76"/>
      <c r="AA352" s="77"/>
      <c r="AB352" s="76"/>
      <c r="AD352" s="77"/>
      <c r="AE352" s="76"/>
      <c r="AG352" s="77"/>
      <c r="AH352" s="76"/>
      <c r="AJ352" s="77"/>
      <c r="AK352" s="76"/>
      <c r="AM352" s="77"/>
      <c r="AN352" s="76"/>
      <c r="AP352" s="77"/>
      <c r="AQ352" s="76"/>
      <c r="AS352" s="77"/>
      <c r="AT352" s="76"/>
      <c r="AV352" s="77"/>
    </row>
    <row r="353">
      <c r="K353" s="1"/>
      <c r="L353" s="2"/>
      <c r="M353" s="1"/>
      <c r="N353" s="1"/>
      <c r="O353" s="1"/>
      <c r="Y353" s="76"/>
      <c r="AA353" s="77"/>
      <c r="AB353" s="76"/>
      <c r="AD353" s="77"/>
      <c r="AE353" s="76"/>
      <c r="AG353" s="77"/>
      <c r="AH353" s="76"/>
      <c r="AJ353" s="77"/>
      <c r="AK353" s="76"/>
      <c r="AM353" s="77"/>
      <c r="AN353" s="76"/>
      <c r="AP353" s="77"/>
      <c r="AQ353" s="76"/>
      <c r="AS353" s="77"/>
      <c r="AT353" s="76"/>
      <c r="AV353" s="77"/>
    </row>
    <row r="354">
      <c r="K354" s="1"/>
      <c r="L354" s="2"/>
      <c r="M354" s="1"/>
      <c r="N354" s="1"/>
      <c r="O354" s="1"/>
      <c r="Y354" s="76"/>
      <c r="AA354" s="77"/>
      <c r="AB354" s="76"/>
      <c r="AD354" s="77"/>
      <c r="AE354" s="76"/>
      <c r="AG354" s="77"/>
      <c r="AH354" s="76"/>
      <c r="AJ354" s="77"/>
      <c r="AK354" s="76"/>
      <c r="AM354" s="77"/>
      <c r="AN354" s="76"/>
      <c r="AP354" s="77"/>
      <c r="AQ354" s="76"/>
      <c r="AS354" s="77"/>
      <c r="AT354" s="76"/>
      <c r="AV354" s="77"/>
    </row>
    <row r="355">
      <c r="K355" s="1"/>
      <c r="L355" s="2"/>
      <c r="M355" s="1"/>
      <c r="N355" s="1"/>
      <c r="O355" s="1"/>
      <c r="Y355" s="76"/>
      <c r="AA355" s="77"/>
      <c r="AB355" s="76"/>
      <c r="AD355" s="77"/>
      <c r="AE355" s="76"/>
      <c r="AG355" s="77"/>
      <c r="AH355" s="76"/>
      <c r="AJ355" s="77"/>
      <c r="AK355" s="76"/>
      <c r="AM355" s="77"/>
      <c r="AN355" s="76"/>
      <c r="AP355" s="77"/>
      <c r="AQ355" s="76"/>
      <c r="AS355" s="77"/>
      <c r="AT355" s="76"/>
      <c r="AV355" s="77"/>
    </row>
    <row r="356">
      <c r="K356" s="1"/>
      <c r="L356" s="2"/>
      <c r="M356" s="1"/>
      <c r="N356" s="1"/>
      <c r="O356" s="1"/>
      <c r="Y356" s="76"/>
      <c r="AA356" s="77"/>
      <c r="AB356" s="76"/>
      <c r="AD356" s="77"/>
      <c r="AE356" s="76"/>
      <c r="AG356" s="77"/>
      <c r="AH356" s="76"/>
      <c r="AJ356" s="77"/>
      <c r="AK356" s="76"/>
      <c r="AM356" s="77"/>
      <c r="AN356" s="76"/>
      <c r="AP356" s="77"/>
      <c r="AQ356" s="76"/>
      <c r="AS356" s="77"/>
      <c r="AT356" s="76"/>
      <c r="AV356" s="77"/>
    </row>
    <row r="357">
      <c r="K357" s="1"/>
      <c r="L357" s="2"/>
      <c r="M357" s="1"/>
      <c r="N357" s="1"/>
      <c r="O357" s="1"/>
      <c r="Y357" s="76"/>
      <c r="AA357" s="77"/>
      <c r="AB357" s="76"/>
      <c r="AD357" s="77"/>
      <c r="AE357" s="76"/>
      <c r="AG357" s="77"/>
      <c r="AH357" s="76"/>
      <c r="AJ357" s="77"/>
      <c r="AK357" s="76"/>
      <c r="AM357" s="77"/>
      <c r="AN357" s="76"/>
      <c r="AP357" s="77"/>
      <c r="AQ357" s="76"/>
      <c r="AS357" s="77"/>
      <c r="AT357" s="76"/>
      <c r="AV357" s="77"/>
    </row>
    <row r="358">
      <c r="K358" s="1"/>
      <c r="L358" s="2"/>
      <c r="M358" s="1"/>
      <c r="N358" s="1"/>
      <c r="O358" s="1"/>
      <c r="Y358" s="76"/>
      <c r="AA358" s="77"/>
      <c r="AB358" s="76"/>
      <c r="AD358" s="77"/>
      <c r="AE358" s="76"/>
      <c r="AG358" s="77"/>
      <c r="AH358" s="76"/>
      <c r="AJ358" s="77"/>
      <c r="AK358" s="76"/>
      <c r="AM358" s="77"/>
      <c r="AN358" s="76"/>
      <c r="AP358" s="77"/>
      <c r="AQ358" s="76"/>
      <c r="AS358" s="77"/>
      <c r="AT358" s="76"/>
      <c r="AV358" s="77"/>
    </row>
    <row r="359">
      <c r="K359" s="1"/>
      <c r="L359" s="2"/>
      <c r="M359" s="1"/>
      <c r="N359" s="1"/>
      <c r="O359" s="1"/>
      <c r="Y359" s="76"/>
      <c r="AA359" s="77"/>
      <c r="AB359" s="76"/>
      <c r="AD359" s="77"/>
      <c r="AE359" s="76"/>
      <c r="AG359" s="77"/>
      <c r="AH359" s="76"/>
      <c r="AJ359" s="77"/>
      <c r="AK359" s="76"/>
      <c r="AM359" s="77"/>
      <c r="AN359" s="76"/>
      <c r="AP359" s="77"/>
      <c r="AQ359" s="76"/>
      <c r="AS359" s="77"/>
      <c r="AT359" s="76"/>
      <c r="AV359" s="77"/>
    </row>
    <row r="360">
      <c r="K360" s="1"/>
      <c r="L360" s="2"/>
      <c r="M360" s="1"/>
      <c r="N360" s="1"/>
      <c r="O360" s="1"/>
      <c r="Y360" s="76"/>
      <c r="AA360" s="77"/>
      <c r="AB360" s="76"/>
      <c r="AD360" s="77"/>
      <c r="AE360" s="76"/>
      <c r="AG360" s="77"/>
      <c r="AH360" s="76"/>
      <c r="AJ360" s="77"/>
      <c r="AK360" s="76"/>
      <c r="AM360" s="77"/>
      <c r="AN360" s="76"/>
      <c r="AP360" s="77"/>
      <c r="AQ360" s="76"/>
      <c r="AS360" s="77"/>
      <c r="AT360" s="76"/>
      <c r="AV360" s="77"/>
    </row>
    <row r="361">
      <c r="K361" s="1"/>
      <c r="L361" s="2"/>
      <c r="M361" s="1"/>
      <c r="N361" s="1"/>
      <c r="O361" s="1"/>
      <c r="Y361" s="76"/>
      <c r="AA361" s="77"/>
      <c r="AB361" s="76"/>
      <c r="AD361" s="77"/>
      <c r="AE361" s="76"/>
      <c r="AG361" s="77"/>
      <c r="AH361" s="76"/>
      <c r="AJ361" s="77"/>
      <c r="AK361" s="76"/>
      <c r="AM361" s="77"/>
      <c r="AN361" s="76"/>
      <c r="AP361" s="77"/>
      <c r="AQ361" s="76"/>
      <c r="AS361" s="77"/>
      <c r="AT361" s="76"/>
      <c r="AV361" s="77"/>
    </row>
    <row r="362">
      <c r="K362" s="1"/>
      <c r="L362" s="2"/>
      <c r="M362" s="1"/>
      <c r="N362" s="1"/>
      <c r="O362" s="1"/>
      <c r="Y362" s="76"/>
      <c r="AA362" s="77"/>
      <c r="AB362" s="76"/>
      <c r="AD362" s="77"/>
      <c r="AE362" s="76"/>
      <c r="AG362" s="77"/>
      <c r="AH362" s="76"/>
      <c r="AJ362" s="77"/>
      <c r="AK362" s="76"/>
      <c r="AM362" s="77"/>
      <c r="AN362" s="76"/>
      <c r="AP362" s="77"/>
      <c r="AQ362" s="76"/>
      <c r="AS362" s="77"/>
      <c r="AT362" s="76"/>
      <c r="AV362" s="77"/>
    </row>
    <row r="363">
      <c r="K363" s="1"/>
      <c r="L363" s="2"/>
      <c r="M363" s="1"/>
      <c r="N363" s="1"/>
      <c r="O363" s="1"/>
      <c r="Y363" s="76"/>
      <c r="AA363" s="77"/>
      <c r="AB363" s="76"/>
      <c r="AD363" s="77"/>
      <c r="AE363" s="76"/>
      <c r="AG363" s="77"/>
      <c r="AH363" s="76"/>
      <c r="AJ363" s="77"/>
      <c r="AK363" s="76"/>
      <c r="AM363" s="77"/>
      <c r="AN363" s="76"/>
      <c r="AP363" s="77"/>
      <c r="AQ363" s="76"/>
      <c r="AS363" s="77"/>
      <c r="AT363" s="76"/>
      <c r="AV363" s="77"/>
    </row>
    <row r="364">
      <c r="K364" s="1"/>
      <c r="L364" s="2"/>
      <c r="M364" s="1"/>
      <c r="N364" s="1"/>
      <c r="O364" s="1"/>
      <c r="Y364" s="76"/>
      <c r="AA364" s="77"/>
      <c r="AB364" s="76"/>
      <c r="AD364" s="77"/>
      <c r="AE364" s="76"/>
      <c r="AG364" s="77"/>
      <c r="AH364" s="76"/>
      <c r="AJ364" s="77"/>
      <c r="AK364" s="76"/>
      <c r="AM364" s="77"/>
      <c r="AN364" s="76"/>
      <c r="AP364" s="77"/>
      <c r="AQ364" s="76"/>
      <c r="AS364" s="77"/>
      <c r="AT364" s="76"/>
      <c r="AV364" s="77"/>
    </row>
    <row r="365">
      <c r="K365" s="1"/>
      <c r="L365" s="2"/>
      <c r="M365" s="1"/>
      <c r="N365" s="1"/>
      <c r="O365" s="1"/>
      <c r="Y365" s="76"/>
      <c r="AA365" s="77"/>
      <c r="AB365" s="76"/>
      <c r="AD365" s="77"/>
      <c r="AE365" s="76"/>
      <c r="AG365" s="77"/>
      <c r="AH365" s="76"/>
      <c r="AJ365" s="77"/>
      <c r="AK365" s="76"/>
      <c r="AM365" s="77"/>
      <c r="AN365" s="76"/>
      <c r="AP365" s="77"/>
      <c r="AQ365" s="76"/>
      <c r="AS365" s="77"/>
      <c r="AT365" s="76"/>
      <c r="AV365" s="77"/>
    </row>
    <row r="366">
      <c r="K366" s="1"/>
      <c r="L366" s="2"/>
      <c r="M366" s="1"/>
      <c r="N366" s="1"/>
      <c r="O366" s="1"/>
      <c r="Y366" s="76"/>
      <c r="AA366" s="77"/>
      <c r="AB366" s="76"/>
      <c r="AD366" s="77"/>
      <c r="AE366" s="76"/>
      <c r="AG366" s="77"/>
      <c r="AH366" s="76"/>
      <c r="AJ366" s="77"/>
      <c r="AK366" s="76"/>
      <c r="AM366" s="77"/>
      <c r="AN366" s="76"/>
      <c r="AP366" s="77"/>
      <c r="AQ366" s="76"/>
      <c r="AS366" s="77"/>
      <c r="AT366" s="76"/>
      <c r="AV366" s="77"/>
    </row>
    <row r="367">
      <c r="K367" s="1"/>
      <c r="L367" s="2"/>
      <c r="M367" s="1"/>
      <c r="N367" s="1"/>
      <c r="O367" s="1"/>
      <c r="Y367" s="76"/>
      <c r="AA367" s="77"/>
      <c r="AB367" s="76"/>
      <c r="AD367" s="77"/>
      <c r="AE367" s="76"/>
      <c r="AG367" s="77"/>
      <c r="AH367" s="76"/>
      <c r="AJ367" s="77"/>
      <c r="AK367" s="76"/>
      <c r="AM367" s="77"/>
      <c r="AN367" s="76"/>
      <c r="AP367" s="77"/>
      <c r="AQ367" s="76"/>
      <c r="AS367" s="77"/>
      <c r="AT367" s="76"/>
      <c r="AV367" s="77"/>
    </row>
    <row r="368">
      <c r="K368" s="1"/>
      <c r="L368" s="2"/>
      <c r="M368" s="1"/>
      <c r="N368" s="1"/>
      <c r="O368" s="1"/>
      <c r="Y368" s="76"/>
      <c r="AA368" s="77"/>
      <c r="AB368" s="76"/>
      <c r="AD368" s="77"/>
      <c r="AE368" s="76"/>
      <c r="AG368" s="77"/>
      <c r="AH368" s="76"/>
      <c r="AJ368" s="77"/>
      <c r="AK368" s="76"/>
      <c r="AM368" s="77"/>
      <c r="AN368" s="76"/>
      <c r="AP368" s="77"/>
      <c r="AQ368" s="76"/>
      <c r="AS368" s="77"/>
      <c r="AT368" s="76"/>
      <c r="AV368" s="77"/>
    </row>
    <row r="369">
      <c r="K369" s="1"/>
      <c r="L369" s="2"/>
      <c r="M369" s="1"/>
      <c r="N369" s="1"/>
      <c r="O369" s="1"/>
      <c r="Y369" s="76"/>
      <c r="AA369" s="77"/>
      <c r="AB369" s="76"/>
      <c r="AD369" s="77"/>
      <c r="AE369" s="76"/>
      <c r="AG369" s="77"/>
      <c r="AH369" s="76"/>
      <c r="AJ369" s="77"/>
      <c r="AK369" s="76"/>
      <c r="AM369" s="77"/>
      <c r="AN369" s="76"/>
      <c r="AP369" s="77"/>
      <c r="AQ369" s="76"/>
      <c r="AS369" s="77"/>
      <c r="AT369" s="76"/>
      <c r="AV369" s="77"/>
    </row>
    <row r="370">
      <c r="K370" s="1"/>
      <c r="L370" s="2"/>
      <c r="M370" s="1"/>
      <c r="N370" s="1"/>
      <c r="O370" s="1"/>
      <c r="Y370" s="76"/>
      <c r="AA370" s="77"/>
      <c r="AB370" s="76"/>
      <c r="AD370" s="77"/>
      <c r="AE370" s="76"/>
      <c r="AG370" s="77"/>
      <c r="AH370" s="76"/>
      <c r="AJ370" s="77"/>
      <c r="AK370" s="76"/>
      <c r="AM370" s="77"/>
      <c r="AN370" s="76"/>
      <c r="AP370" s="77"/>
      <c r="AQ370" s="76"/>
      <c r="AS370" s="77"/>
      <c r="AT370" s="76"/>
      <c r="AV370" s="77"/>
    </row>
    <row r="371">
      <c r="K371" s="1"/>
      <c r="L371" s="2"/>
      <c r="M371" s="1"/>
      <c r="N371" s="1"/>
      <c r="O371" s="1"/>
      <c r="Y371" s="76"/>
      <c r="AA371" s="77"/>
      <c r="AB371" s="76"/>
      <c r="AD371" s="77"/>
      <c r="AE371" s="76"/>
      <c r="AG371" s="77"/>
      <c r="AH371" s="76"/>
      <c r="AJ371" s="77"/>
      <c r="AK371" s="76"/>
      <c r="AM371" s="77"/>
      <c r="AN371" s="76"/>
      <c r="AP371" s="77"/>
      <c r="AQ371" s="76"/>
      <c r="AS371" s="77"/>
      <c r="AT371" s="76"/>
      <c r="AV371" s="77"/>
    </row>
    <row r="372">
      <c r="K372" s="1"/>
      <c r="L372" s="2"/>
      <c r="M372" s="1"/>
      <c r="N372" s="1"/>
      <c r="O372" s="1"/>
      <c r="Y372" s="76"/>
      <c r="AA372" s="77"/>
      <c r="AB372" s="76"/>
      <c r="AD372" s="77"/>
      <c r="AE372" s="76"/>
      <c r="AG372" s="77"/>
      <c r="AH372" s="76"/>
      <c r="AJ372" s="77"/>
      <c r="AK372" s="76"/>
      <c r="AM372" s="77"/>
      <c r="AN372" s="76"/>
      <c r="AP372" s="77"/>
      <c r="AQ372" s="76"/>
      <c r="AS372" s="77"/>
      <c r="AT372" s="76"/>
      <c r="AV372" s="77"/>
    </row>
    <row r="373">
      <c r="K373" s="1"/>
      <c r="L373" s="2"/>
      <c r="M373" s="1"/>
      <c r="N373" s="1"/>
      <c r="O373" s="1"/>
      <c r="Y373" s="76"/>
      <c r="AA373" s="77"/>
      <c r="AB373" s="76"/>
      <c r="AD373" s="77"/>
      <c r="AE373" s="76"/>
      <c r="AG373" s="77"/>
      <c r="AH373" s="76"/>
      <c r="AJ373" s="77"/>
      <c r="AK373" s="76"/>
      <c r="AM373" s="77"/>
      <c r="AN373" s="76"/>
      <c r="AP373" s="77"/>
      <c r="AQ373" s="76"/>
      <c r="AS373" s="77"/>
      <c r="AT373" s="76"/>
      <c r="AV373" s="77"/>
    </row>
    <row r="374">
      <c r="K374" s="1"/>
      <c r="L374" s="2"/>
      <c r="M374" s="1"/>
      <c r="N374" s="1"/>
      <c r="O374" s="1"/>
      <c r="Y374" s="76"/>
      <c r="AA374" s="77"/>
      <c r="AB374" s="76"/>
      <c r="AD374" s="77"/>
      <c r="AE374" s="76"/>
      <c r="AG374" s="77"/>
      <c r="AH374" s="76"/>
      <c r="AJ374" s="77"/>
      <c r="AK374" s="76"/>
      <c r="AM374" s="77"/>
      <c r="AN374" s="76"/>
      <c r="AP374" s="77"/>
      <c r="AQ374" s="76"/>
      <c r="AS374" s="77"/>
      <c r="AT374" s="76"/>
      <c r="AV374" s="77"/>
    </row>
    <row r="375">
      <c r="K375" s="1"/>
      <c r="L375" s="2"/>
      <c r="M375" s="1"/>
      <c r="N375" s="1"/>
      <c r="O375" s="1"/>
      <c r="Y375" s="76"/>
      <c r="AA375" s="77"/>
      <c r="AB375" s="76"/>
      <c r="AD375" s="77"/>
      <c r="AE375" s="76"/>
      <c r="AG375" s="77"/>
      <c r="AH375" s="76"/>
      <c r="AJ375" s="77"/>
      <c r="AK375" s="76"/>
      <c r="AM375" s="77"/>
      <c r="AN375" s="76"/>
      <c r="AP375" s="77"/>
      <c r="AQ375" s="76"/>
      <c r="AS375" s="77"/>
      <c r="AT375" s="76"/>
      <c r="AV375" s="77"/>
    </row>
    <row r="376">
      <c r="K376" s="1"/>
      <c r="L376" s="2"/>
      <c r="M376" s="1"/>
      <c r="N376" s="1"/>
      <c r="O376" s="1"/>
      <c r="Y376" s="76"/>
      <c r="AA376" s="77"/>
      <c r="AB376" s="76"/>
      <c r="AD376" s="77"/>
      <c r="AE376" s="76"/>
      <c r="AG376" s="77"/>
      <c r="AH376" s="76"/>
      <c r="AJ376" s="77"/>
      <c r="AK376" s="76"/>
      <c r="AM376" s="77"/>
      <c r="AN376" s="76"/>
      <c r="AP376" s="77"/>
      <c r="AQ376" s="76"/>
      <c r="AS376" s="77"/>
      <c r="AT376" s="76"/>
      <c r="AV376" s="77"/>
    </row>
    <row r="377">
      <c r="K377" s="1"/>
      <c r="L377" s="2"/>
      <c r="M377" s="1"/>
      <c r="N377" s="1"/>
      <c r="O377" s="1"/>
      <c r="Y377" s="76"/>
      <c r="AA377" s="77"/>
      <c r="AB377" s="76"/>
      <c r="AD377" s="77"/>
      <c r="AE377" s="76"/>
      <c r="AG377" s="77"/>
      <c r="AH377" s="76"/>
      <c r="AJ377" s="77"/>
      <c r="AK377" s="76"/>
      <c r="AM377" s="77"/>
      <c r="AN377" s="76"/>
      <c r="AP377" s="77"/>
      <c r="AQ377" s="76"/>
      <c r="AS377" s="77"/>
      <c r="AT377" s="76"/>
      <c r="AV377" s="77"/>
    </row>
    <row r="378">
      <c r="K378" s="1"/>
      <c r="L378" s="2"/>
      <c r="M378" s="1"/>
      <c r="N378" s="1"/>
      <c r="O378" s="1"/>
      <c r="Y378" s="76"/>
      <c r="AA378" s="77"/>
      <c r="AB378" s="76"/>
      <c r="AD378" s="77"/>
      <c r="AE378" s="76"/>
      <c r="AG378" s="77"/>
      <c r="AH378" s="76"/>
      <c r="AJ378" s="77"/>
      <c r="AK378" s="76"/>
      <c r="AM378" s="77"/>
      <c r="AN378" s="76"/>
      <c r="AP378" s="77"/>
      <c r="AQ378" s="76"/>
      <c r="AS378" s="77"/>
      <c r="AT378" s="76"/>
      <c r="AV378" s="77"/>
    </row>
    <row r="379">
      <c r="K379" s="1"/>
      <c r="L379" s="2"/>
      <c r="M379" s="1"/>
      <c r="N379" s="1"/>
      <c r="O379" s="1"/>
      <c r="Y379" s="76"/>
      <c r="AA379" s="77"/>
      <c r="AB379" s="76"/>
      <c r="AD379" s="77"/>
      <c r="AE379" s="76"/>
      <c r="AG379" s="77"/>
      <c r="AH379" s="76"/>
      <c r="AJ379" s="77"/>
      <c r="AK379" s="76"/>
      <c r="AM379" s="77"/>
      <c r="AN379" s="76"/>
      <c r="AP379" s="77"/>
      <c r="AQ379" s="76"/>
      <c r="AS379" s="77"/>
      <c r="AT379" s="76"/>
      <c r="AV379" s="77"/>
    </row>
    <row r="380">
      <c r="K380" s="1"/>
      <c r="L380" s="2"/>
      <c r="M380" s="1"/>
      <c r="N380" s="1"/>
      <c r="O380" s="1"/>
      <c r="Y380" s="76"/>
      <c r="AA380" s="77"/>
      <c r="AB380" s="76"/>
      <c r="AD380" s="77"/>
      <c r="AE380" s="76"/>
      <c r="AG380" s="77"/>
      <c r="AH380" s="76"/>
      <c r="AJ380" s="77"/>
      <c r="AK380" s="76"/>
      <c r="AM380" s="77"/>
      <c r="AN380" s="76"/>
      <c r="AP380" s="77"/>
      <c r="AQ380" s="76"/>
      <c r="AS380" s="77"/>
      <c r="AT380" s="76"/>
      <c r="AV380" s="77"/>
    </row>
    <row r="381">
      <c r="K381" s="1"/>
      <c r="L381" s="2"/>
      <c r="M381" s="1"/>
      <c r="N381" s="1"/>
      <c r="O381" s="1"/>
      <c r="Y381" s="76"/>
      <c r="AA381" s="77"/>
      <c r="AB381" s="76"/>
      <c r="AD381" s="77"/>
      <c r="AE381" s="76"/>
      <c r="AG381" s="77"/>
      <c r="AH381" s="76"/>
      <c r="AJ381" s="77"/>
      <c r="AK381" s="76"/>
      <c r="AM381" s="77"/>
      <c r="AN381" s="76"/>
      <c r="AP381" s="77"/>
      <c r="AQ381" s="76"/>
      <c r="AS381" s="77"/>
      <c r="AT381" s="76"/>
      <c r="AV381" s="77"/>
    </row>
    <row r="382">
      <c r="K382" s="1"/>
      <c r="L382" s="2"/>
      <c r="M382" s="1"/>
      <c r="N382" s="1"/>
      <c r="O382" s="1"/>
      <c r="Y382" s="76"/>
      <c r="AA382" s="77"/>
      <c r="AB382" s="76"/>
      <c r="AD382" s="77"/>
      <c r="AE382" s="76"/>
      <c r="AG382" s="77"/>
      <c r="AH382" s="76"/>
      <c r="AJ382" s="77"/>
      <c r="AK382" s="76"/>
      <c r="AM382" s="77"/>
      <c r="AN382" s="76"/>
      <c r="AP382" s="77"/>
      <c r="AQ382" s="76"/>
      <c r="AS382" s="77"/>
      <c r="AT382" s="76"/>
      <c r="AV382" s="77"/>
    </row>
    <row r="383">
      <c r="K383" s="1"/>
      <c r="L383" s="2"/>
      <c r="M383" s="1"/>
      <c r="N383" s="1"/>
      <c r="O383" s="1"/>
      <c r="Y383" s="76"/>
      <c r="AA383" s="77"/>
      <c r="AB383" s="76"/>
      <c r="AD383" s="77"/>
      <c r="AE383" s="76"/>
      <c r="AG383" s="77"/>
      <c r="AH383" s="76"/>
      <c r="AJ383" s="77"/>
      <c r="AK383" s="76"/>
      <c r="AM383" s="77"/>
      <c r="AN383" s="76"/>
      <c r="AP383" s="77"/>
      <c r="AQ383" s="76"/>
      <c r="AS383" s="77"/>
      <c r="AT383" s="76"/>
      <c r="AV383" s="77"/>
    </row>
    <row r="384">
      <c r="K384" s="1"/>
      <c r="L384" s="2"/>
      <c r="M384" s="1"/>
      <c r="N384" s="1"/>
      <c r="O384" s="1"/>
      <c r="Y384" s="76"/>
      <c r="AA384" s="77"/>
      <c r="AB384" s="76"/>
      <c r="AD384" s="77"/>
      <c r="AE384" s="76"/>
      <c r="AG384" s="77"/>
      <c r="AH384" s="76"/>
      <c r="AJ384" s="77"/>
      <c r="AK384" s="76"/>
      <c r="AM384" s="77"/>
      <c r="AN384" s="76"/>
      <c r="AP384" s="77"/>
      <c r="AQ384" s="76"/>
      <c r="AS384" s="77"/>
      <c r="AT384" s="76"/>
      <c r="AV384" s="77"/>
    </row>
    <row r="385">
      <c r="K385" s="1"/>
      <c r="L385" s="2"/>
      <c r="M385" s="1"/>
      <c r="N385" s="1"/>
      <c r="O385" s="1"/>
      <c r="Y385" s="76"/>
      <c r="AA385" s="77"/>
      <c r="AB385" s="76"/>
      <c r="AD385" s="77"/>
      <c r="AE385" s="76"/>
      <c r="AG385" s="77"/>
      <c r="AH385" s="76"/>
      <c r="AJ385" s="77"/>
      <c r="AK385" s="76"/>
      <c r="AM385" s="77"/>
      <c r="AN385" s="76"/>
      <c r="AP385" s="77"/>
      <c r="AQ385" s="76"/>
      <c r="AS385" s="77"/>
      <c r="AT385" s="76"/>
      <c r="AV385" s="77"/>
    </row>
    <row r="386">
      <c r="K386" s="1"/>
      <c r="L386" s="2"/>
      <c r="M386" s="1"/>
      <c r="N386" s="1"/>
      <c r="O386" s="1"/>
      <c r="Y386" s="76"/>
      <c r="AA386" s="77"/>
      <c r="AB386" s="76"/>
      <c r="AD386" s="77"/>
      <c r="AE386" s="76"/>
      <c r="AG386" s="77"/>
      <c r="AH386" s="76"/>
      <c r="AJ386" s="77"/>
      <c r="AK386" s="76"/>
      <c r="AM386" s="77"/>
      <c r="AN386" s="76"/>
      <c r="AP386" s="77"/>
      <c r="AQ386" s="76"/>
      <c r="AS386" s="77"/>
      <c r="AT386" s="76"/>
      <c r="AV386" s="77"/>
    </row>
    <row r="387">
      <c r="K387" s="1"/>
      <c r="L387" s="2"/>
      <c r="M387" s="1"/>
      <c r="N387" s="1"/>
      <c r="O387" s="1"/>
      <c r="Y387" s="76"/>
      <c r="AA387" s="77"/>
      <c r="AB387" s="76"/>
      <c r="AD387" s="77"/>
      <c r="AE387" s="76"/>
      <c r="AG387" s="77"/>
      <c r="AH387" s="76"/>
      <c r="AJ387" s="77"/>
      <c r="AK387" s="76"/>
      <c r="AM387" s="77"/>
      <c r="AN387" s="76"/>
      <c r="AP387" s="77"/>
      <c r="AQ387" s="76"/>
      <c r="AS387" s="77"/>
      <c r="AT387" s="76"/>
      <c r="AV387" s="77"/>
    </row>
    <row r="388">
      <c r="K388" s="1"/>
      <c r="L388" s="2"/>
      <c r="M388" s="1"/>
      <c r="N388" s="1"/>
      <c r="O388" s="1"/>
      <c r="Y388" s="76"/>
      <c r="AA388" s="77"/>
      <c r="AB388" s="76"/>
      <c r="AD388" s="77"/>
      <c r="AE388" s="76"/>
      <c r="AG388" s="77"/>
      <c r="AH388" s="76"/>
      <c r="AJ388" s="77"/>
      <c r="AK388" s="76"/>
      <c r="AM388" s="77"/>
      <c r="AN388" s="76"/>
      <c r="AP388" s="77"/>
      <c r="AQ388" s="76"/>
      <c r="AS388" s="77"/>
      <c r="AT388" s="76"/>
      <c r="AV388" s="77"/>
    </row>
    <row r="389">
      <c r="K389" s="1"/>
      <c r="L389" s="2"/>
      <c r="M389" s="1"/>
      <c r="N389" s="1"/>
      <c r="O389" s="1"/>
      <c r="Y389" s="76"/>
      <c r="AA389" s="77"/>
      <c r="AB389" s="76"/>
      <c r="AD389" s="77"/>
      <c r="AE389" s="76"/>
      <c r="AG389" s="77"/>
      <c r="AH389" s="76"/>
      <c r="AJ389" s="77"/>
      <c r="AK389" s="76"/>
      <c r="AM389" s="77"/>
      <c r="AN389" s="76"/>
      <c r="AP389" s="77"/>
      <c r="AQ389" s="76"/>
      <c r="AS389" s="77"/>
      <c r="AT389" s="76"/>
      <c r="AV389" s="77"/>
    </row>
    <row r="390">
      <c r="K390" s="1"/>
      <c r="L390" s="2"/>
      <c r="M390" s="1"/>
      <c r="N390" s="1"/>
      <c r="O390" s="1"/>
      <c r="Y390" s="76"/>
      <c r="AA390" s="77"/>
      <c r="AB390" s="76"/>
      <c r="AD390" s="77"/>
      <c r="AE390" s="76"/>
      <c r="AG390" s="77"/>
      <c r="AH390" s="76"/>
      <c r="AJ390" s="77"/>
      <c r="AK390" s="76"/>
      <c r="AM390" s="77"/>
      <c r="AN390" s="76"/>
      <c r="AP390" s="77"/>
      <c r="AQ390" s="76"/>
      <c r="AS390" s="77"/>
      <c r="AT390" s="76"/>
      <c r="AV390" s="77"/>
    </row>
    <row r="391">
      <c r="K391" s="1"/>
      <c r="L391" s="2"/>
      <c r="M391" s="1"/>
      <c r="N391" s="1"/>
      <c r="O391" s="1"/>
      <c r="Y391" s="76"/>
      <c r="AA391" s="77"/>
      <c r="AB391" s="76"/>
      <c r="AD391" s="77"/>
      <c r="AE391" s="76"/>
      <c r="AG391" s="77"/>
      <c r="AH391" s="76"/>
      <c r="AJ391" s="77"/>
      <c r="AK391" s="76"/>
      <c r="AM391" s="77"/>
      <c r="AN391" s="76"/>
      <c r="AP391" s="77"/>
      <c r="AQ391" s="76"/>
      <c r="AS391" s="77"/>
      <c r="AT391" s="76"/>
      <c r="AV391" s="77"/>
    </row>
    <row r="392">
      <c r="K392" s="1"/>
      <c r="L392" s="2"/>
      <c r="M392" s="1"/>
      <c r="N392" s="1"/>
      <c r="O392" s="1"/>
      <c r="Y392" s="76"/>
      <c r="AA392" s="77"/>
      <c r="AB392" s="76"/>
      <c r="AD392" s="77"/>
      <c r="AE392" s="76"/>
      <c r="AG392" s="77"/>
      <c r="AH392" s="76"/>
      <c r="AJ392" s="77"/>
      <c r="AK392" s="76"/>
      <c r="AM392" s="77"/>
      <c r="AN392" s="76"/>
      <c r="AP392" s="77"/>
      <c r="AQ392" s="76"/>
      <c r="AS392" s="77"/>
      <c r="AT392" s="76"/>
      <c r="AV392" s="77"/>
    </row>
    <row r="393">
      <c r="K393" s="1"/>
      <c r="L393" s="2"/>
      <c r="M393" s="1"/>
      <c r="N393" s="1"/>
      <c r="O393" s="1"/>
      <c r="Y393" s="76"/>
      <c r="AA393" s="77"/>
      <c r="AB393" s="76"/>
      <c r="AD393" s="77"/>
      <c r="AE393" s="76"/>
      <c r="AG393" s="77"/>
      <c r="AH393" s="76"/>
      <c r="AJ393" s="77"/>
      <c r="AK393" s="76"/>
      <c r="AM393" s="77"/>
      <c r="AN393" s="76"/>
      <c r="AP393" s="77"/>
      <c r="AQ393" s="76"/>
      <c r="AS393" s="77"/>
      <c r="AT393" s="76"/>
      <c r="AV393" s="77"/>
    </row>
    <row r="394">
      <c r="K394" s="1"/>
      <c r="L394" s="2"/>
      <c r="M394" s="1"/>
      <c r="N394" s="1"/>
      <c r="O394" s="1"/>
      <c r="Y394" s="76"/>
      <c r="AA394" s="77"/>
      <c r="AB394" s="76"/>
      <c r="AD394" s="77"/>
      <c r="AE394" s="76"/>
      <c r="AG394" s="77"/>
      <c r="AH394" s="76"/>
      <c r="AJ394" s="77"/>
      <c r="AK394" s="76"/>
      <c r="AM394" s="77"/>
      <c r="AN394" s="76"/>
      <c r="AP394" s="77"/>
      <c r="AQ394" s="76"/>
      <c r="AS394" s="77"/>
      <c r="AT394" s="76"/>
      <c r="AV394" s="77"/>
    </row>
    <row r="395">
      <c r="K395" s="1"/>
      <c r="L395" s="2"/>
      <c r="M395" s="1"/>
      <c r="N395" s="1"/>
      <c r="O395" s="1"/>
      <c r="Y395" s="76"/>
      <c r="AA395" s="77"/>
      <c r="AB395" s="76"/>
      <c r="AD395" s="77"/>
      <c r="AE395" s="76"/>
      <c r="AG395" s="77"/>
      <c r="AH395" s="76"/>
      <c r="AJ395" s="77"/>
      <c r="AK395" s="76"/>
      <c r="AM395" s="77"/>
      <c r="AN395" s="76"/>
      <c r="AP395" s="77"/>
      <c r="AQ395" s="76"/>
      <c r="AS395" s="77"/>
      <c r="AT395" s="76"/>
      <c r="AV395" s="77"/>
    </row>
    <row r="396">
      <c r="K396" s="1"/>
      <c r="L396" s="2"/>
      <c r="M396" s="1"/>
      <c r="N396" s="1"/>
      <c r="O396" s="1"/>
      <c r="Y396" s="76"/>
      <c r="AA396" s="77"/>
      <c r="AB396" s="76"/>
      <c r="AD396" s="77"/>
      <c r="AE396" s="76"/>
      <c r="AG396" s="77"/>
      <c r="AH396" s="76"/>
      <c r="AJ396" s="77"/>
      <c r="AK396" s="76"/>
      <c r="AM396" s="77"/>
      <c r="AN396" s="76"/>
      <c r="AP396" s="77"/>
      <c r="AQ396" s="76"/>
      <c r="AS396" s="77"/>
      <c r="AT396" s="76"/>
      <c r="AV396" s="77"/>
    </row>
    <row r="397">
      <c r="K397" s="1"/>
      <c r="L397" s="2"/>
      <c r="M397" s="1"/>
      <c r="N397" s="1"/>
      <c r="O397" s="1"/>
      <c r="Y397" s="76"/>
      <c r="AA397" s="77"/>
      <c r="AB397" s="76"/>
      <c r="AD397" s="77"/>
      <c r="AE397" s="76"/>
      <c r="AG397" s="77"/>
      <c r="AH397" s="76"/>
      <c r="AJ397" s="77"/>
      <c r="AK397" s="76"/>
      <c r="AM397" s="77"/>
      <c r="AN397" s="76"/>
      <c r="AP397" s="77"/>
      <c r="AQ397" s="76"/>
      <c r="AS397" s="77"/>
      <c r="AT397" s="76"/>
      <c r="AV397" s="77"/>
    </row>
    <row r="398">
      <c r="K398" s="1"/>
      <c r="L398" s="2"/>
      <c r="M398" s="1"/>
      <c r="N398" s="1"/>
      <c r="O398" s="1"/>
      <c r="Y398" s="76"/>
      <c r="AA398" s="77"/>
      <c r="AB398" s="76"/>
      <c r="AD398" s="77"/>
      <c r="AE398" s="76"/>
      <c r="AG398" s="77"/>
      <c r="AH398" s="76"/>
      <c r="AJ398" s="77"/>
      <c r="AK398" s="76"/>
      <c r="AM398" s="77"/>
      <c r="AN398" s="76"/>
      <c r="AP398" s="77"/>
      <c r="AQ398" s="76"/>
      <c r="AS398" s="77"/>
      <c r="AT398" s="76"/>
      <c r="AV398" s="77"/>
    </row>
    <row r="399">
      <c r="K399" s="1"/>
      <c r="L399" s="2"/>
      <c r="M399" s="1"/>
      <c r="N399" s="1"/>
      <c r="O399" s="1"/>
      <c r="Y399" s="76"/>
      <c r="AA399" s="77"/>
      <c r="AB399" s="76"/>
      <c r="AD399" s="77"/>
      <c r="AE399" s="76"/>
      <c r="AG399" s="77"/>
      <c r="AH399" s="76"/>
      <c r="AJ399" s="77"/>
      <c r="AK399" s="76"/>
      <c r="AM399" s="77"/>
      <c r="AN399" s="76"/>
      <c r="AP399" s="77"/>
      <c r="AQ399" s="76"/>
      <c r="AS399" s="77"/>
      <c r="AT399" s="76"/>
      <c r="AV399" s="77"/>
    </row>
    <row r="400">
      <c r="K400" s="1"/>
      <c r="L400" s="2"/>
      <c r="M400" s="1"/>
      <c r="N400" s="1"/>
      <c r="O400" s="1"/>
      <c r="Y400" s="76"/>
      <c r="AA400" s="77"/>
      <c r="AB400" s="76"/>
      <c r="AD400" s="77"/>
      <c r="AE400" s="76"/>
      <c r="AG400" s="77"/>
      <c r="AH400" s="76"/>
      <c r="AJ400" s="77"/>
      <c r="AK400" s="76"/>
      <c r="AM400" s="77"/>
      <c r="AN400" s="76"/>
      <c r="AP400" s="77"/>
      <c r="AQ400" s="76"/>
      <c r="AS400" s="77"/>
      <c r="AT400" s="76"/>
      <c r="AV400" s="77"/>
    </row>
    <row r="401">
      <c r="K401" s="1"/>
      <c r="L401" s="2"/>
      <c r="M401" s="1"/>
      <c r="N401" s="1"/>
      <c r="O401" s="1"/>
      <c r="Y401" s="76"/>
      <c r="AA401" s="77"/>
      <c r="AB401" s="76"/>
      <c r="AD401" s="77"/>
      <c r="AE401" s="76"/>
      <c r="AG401" s="77"/>
      <c r="AH401" s="76"/>
      <c r="AJ401" s="77"/>
      <c r="AK401" s="76"/>
      <c r="AM401" s="77"/>
      <c r="AN401" s="76"/>
      <c r="AP401" s="77"/>
      <c r="AQ401" s="76"/>
      <c r="AS401" s="77"/>
      <c r="AT401" s="76"/>
      <c r="AV401" s="77"/>
    </row>
    <row r="402">
      <c r="K402" s="1"/>
      <c r="L402" s="2"/>
      <c r="M402" s="1"/>
      <c r="N402" s="1"/>
      <c r="O402" s="1"/>
      <c r="Y402" s="76"/>
      <c r="AA402" s="77"/>
      <c r="AB402" s="76"/>
      <c r="AD402" s="77"/>
      <c r="AE402" s="76"/>
      <c r="AG402" s="77"/>
      <c r="AH402" s="76"/>
      <c r="AJ402" s="77"/>
      <c r="AK402" s="76"/>
      <c r="AM402" s="77"/>
      <c r="AN402" s="76"/>
      <c r="AP402" s="77"/>
      <c r="AQ402" s="76"/>
      <c r="AS402" s="77"/>
      <c r="AT402" s="76"/>
      <c r="AV402" s="77"/>
    </row>
    <row r="403">
      <c r="K403" s="1"/>
      <c r="L403" s="2"/>
      <c r="M403" s="1"/>
      <c r="N403" s="1"/>
      <c r="O403" s="1"/>
      <c r="Y403" s="76"/>
      <c r="AA403" s="77"/>
      <c r="AB403" s="76"/>
      <c r="AD403" s="77"/>
      <c r="AE403" s="76"/>
      <c r="AG403" s="77"/>
      <c r="AH403" s="76"/>
      <c r="AJ403" s="77"/>
      <c r="AK403" s="76"/>
      <c r="AM403" s="77"/>
      <c r="AN403" s="76"/>
      <c r="AP403" s="77"/>
      <c r="AQ403" s="76"/>
      <c r="AS403" s="77"/>
      <c r="AT403" s="76"/>
      <c r="AV403" s="77"/>
    </row>
    <row r="404">
      <c r="K404" s="1"/>
      <c r="L404" s="2"/>
      <c r="M404" s="1"/>
      <c r="N404" s="1"/>
      <c r="O404" s="1"/>
      <c r="Y404" s="76"/>
      <c r="AA404" s="77"/>
      <c r="AB404" s="76"/>
      <c r="AD404" s="77"/>
      <c r="AE404" s="76"/>
      <c r="AG404" s="77"/>
      <c r="AH404" s="76"/>
      <c r="AJ404" s="77"/>
      <c r="AK404" s="76"/>
      <c r="AM404" s="77"/>
      <c r="AN404" s="76"/>
      <c r="AP404" s="77"/>
      <c r="AQ404" s="76"/>
      <c r="AS404" s="77"/>
      <c r="AT404" s="76"/>
      <c r="AV404" s="77"/>
    </row>
    <row r="405">
      <c r="K405" s="1"/>
      <c r="L405" s="2"/>
      <c r="M405" s="1"/>
      <c r="N405" s="1"/>
      <c r="O405" s="1"/>
      <c r="Y405" s="76"/>
      <c r="AA405" s="77"/>
      <c r="AB405" s="76"/>
      <c r="AD405" s="77"/>
      <c r="AE405" s="76"/>
      <c r="AG405" s="77"/>
      <c r="AH405" s="76"/>
      <c r="AJ405" s="77"/>
      <c r="AK405" s="76"/>
      <c r="AM405" s="77"/>
      <c r="AN405" s="76"/>
      <c r="AP405" s="77"/>
      <c r="AQ405" s="76"/>
      <c r="AS405" s="77"/>
      <c r="AT405" s="76"/>
      <c r="AV405" s="77"/>
    </row>
    <row r="406">
      <c r="K406" s="1"/>
      <c r="L406" s="2"/>
      <c r="M406" s="1"/>
      <c r="N406" s="1"/>
      <c r="O406" s="1"/>
      <c r="Y406" s="76"/>
      <c r="AA406" s="77"/>
      <c r="AB406" s="76"/>
      <c r="AD406" s="77"/>
      <c r="AE406" s="76"/>
      <c r="AG406" s="77"/>
      <c r="AH406" s="76"/>
      <c r="AJ406" s="77"/>
      <c r="AK406" s="76"/>
      <c r="AM406" s="77"/>
      <c r="AN406" s="76"/>
      <c r="AP406" s="77"/>
      <c r="AQ406" s="76"/>
      <c r="AS406" s="77"/>
      <c r="AT406" s="76"/>
      <c r="AV406" s="77"/>
    </row>
    <row r="407">
      <c r="K407" s="1"/>
      <c r="L407" s="2"/>
      <c r="M407" s="1"/>
      <c r="N407" s="1"/>
      <c r="O407" s="1"/>
      <c r="Y407" s="76"/>
      <c r="AA407" s="77"/>
      <c r="AB407" s="76"/>
      <c r="AD407" s="77"/>
      <c r="AE407" s="76"/>
      <c r="AG407" s="77"/>
      <c r="AH407" s="76"/>
      <c r="AJ407" s="77"/>
      <c r="AK407" s="76"/>
      <c r="AM407" s="77"/>
      <c r="AN407" s="76"/>
      <c r="AP407" s="77"/>
      <c r="AQ407" s="76"/>
      <c r="AS407" s="77"/>
      <c r="AT407" s="76"/>
      <c r="AV407" s="77"/>
    </row>
    <row r="408">
      <c r="K408" s="1"/>
      <c r="L408" s="2"/>
      <c r="M408" s="1"/>
      <c r="N408" s="1"/>
      <c r="O408" s="1"/>
      <c r="Y408" s="76"/>
      <c r="AA408" s="77"/>
      <c r="AB408" s="76"/>
      <c r="AD408" s="77"/>
      <c r="AE408" s="76"/>
      <c r="AG408" s="77"/>
      <c r="AH408" s="76"/>
      <c r="AJ408" s="77"/>
      <c r="AK408" s="76"/>
      <c r="AM408" s="77"/>
      <c r="AN408" s="76"/>
      <c r="AP408" s="77"/>
      <c r="AQ408" s="76"/>
      <c r="AS408" s="77"/>
      <c r="AT408" s="76"/>
      <c r="AV408" s="77"/>
    </row>
    <row r="409">
      <c r="K409" s="1"/>
      <c r="L409" s="2"/>
      <c r="M409" s="1"/>
      <c r="N409" s="1"/>
      <c r="O409" s="1"/>
      <c r="Y409" s="76"/>
      <c r="AA409" s="77"/>
      <c r="AB409" s="76"/>
      <c r="AD409" s="77"/>
      <c r="AE409" s="76"/>
      <c r="AG409" s="77"/>
      <c r="AH409" s="76"/>
      <c r="AJ409" s="77"/>
      <c r="AK409" s="76"/>
      <c r="AM409" s="77"/>
      <c r="AN409" s="76"/>
      <c r="AP409" s="77"/>
      <c r="AQ409" s="76"/>
      <c r="AS409" s="77"/>
      <c r="AT409" s="76"/>
      <c r="AV409" s="77"/>
    </row>
    <row r="410">
      <c r="K410" s="1"/>
      <c r="L410" s="2"/>
      <c r="M410" s="1"/>
      <c r="N410" s="1"/>
      <c r="O410" s="1"/>
      <c r="Y410" s="76"/>
      <c r="AA410" s="77"/>
      <c r="AB410" s="76"/>
      <c r="AD410" s="77"/>
      <c r="AE410" s="76"/>
      <c r="AG410" s="77"/>
      <c r="AH410" s="76"/>
      <c r="AJ410" s="77"/>
      <c r="AK410" s="76"/>
      <c r="AM410" s="77"/>
      <c r="AN410" s="76"/>
      <c r="AP410" s="77"/>
      <c r="AQ410" s="76"/>
      <c r="AS410" s="77"/>
      <c r="AT410" s="76"/>
      <c r="AV410" s="77"/>
    </row>
    <row r="411">
      <c r="K411" s="1"/>
      <c r="L411" s="2"/>
      <c r="M411" s="1"/>
      <c r="N411" s="1"/>
      <c r="O411" s="1"/>
      <c r="Y411" s="76"/>
      <c r="AA411" s="77"/>
      <c r="AB411" s="76"/>
      <c r="AD411" s="77"/>
      <c r="AE411" s="76"/>
      <c r="AG411" s="77"/>
      <c r="AH411" s="76"/>
      <c r="AJ411" s="77"/>
      <c r="AK411" s="76"/>
      <c r="AM411" s="77"/>
      <c r="AN411" s="76"/>
      <c r="AP411" s="77"/>
      <c r="AQ411" s="76"/>
      <c r="AS411" s="77"/>
      <c r="AT411" s="76"/>
      <c r="AV411" s="77"/>
    </row>
    <row r="412">
      <c r="K412" s="1"/>
      <c r="L412" s="2"/>
      <c r="M412" s="1"/>
      <c r="N412" s="1"/>
      <c r="O412" s="1"/>
      <c r="Y412" s="76"/>
      <c r="AA412" s="77"/>
      <c r="AB412" s="76"/>
      <c r="AD412" s="77"/>
      <c r="AE412" s="76"/>
      <c r="AG412" s="77"/>
      <c r="AH412" s="76"/>
      <c r="AJ412" s="77"/>
      <c r="AK412" s="76"/>
      <c r="AM412" s="77"/>
      <c r="AN412" s="76"/>
      <c r="AP412" s="77"/>
      <c r="AQ412" s="76"/>
      <c r="AS412" s="77"/>
      <c r="AT412" s="76"/>
      <c r="AV412" s="77"/>
    </row>
    <row r="413">
      <c r="K413" s="1"/>
      <c r="L413" s="2"/>
      <c r="M413" s="1"/>
      <c r="N413" s="1"/>
      <c r="O413" s="1"/>
      <c r="Y413" s="76"/>
      <c r="AA413" s="77"/>
      <c r="AB413" s="76"/>
      <c r="AD413" s="77"/>
      <c r="AE413" s="76"/>
      <c r="AG413" s="77"/>
      <c r="AH413" s="76"/>
      <c r="AJ413" s="77"/>
      <c r="AK413" s="76"/>
      <c r="AM413" s="77"/>
      <c r="AN413" s="76"/>
      <c r="AP413" s="77"/>
      <c r="AQ413" s="76"/>
      <c r="AS413" s="77"/>
      <c r="AT413" s="76"/>
      <c r="AV413" s="77"/>
    </row>
    <row r="414">
      <c r="K414" s="1"/>
      <c r="L414" s="2"/>
      <c r="M414" s="1"/>
      <c r="N414" s="1"/>
      <c r="O414" s="1"/>
      <c r="Y414" s="76"/>
      <c r="AA414" s="77"/>
      <c r="AB414" s="76"/>
      <c r="AD414" s="77"/>
      <c r="AE414" s="76"/>
      <c r="AG414" s="77"/>
      <c r="AH414" s="76"/>
      <c r="AJ414" s="77"/>
      <c r="AK414" s="76"/>
      <c r="AM414" s="77"/>
      <c r="AN414" s="76"/>
      <c r="AP414" s="77"/>
      <c r="AQ414" s="76"/>
      <c r="AS414" s="77"/>
      <c r="AT414" s="76"/>
      <c r="AV414" s="77"/>
    </row>
    <row r="415">
      <c r="K415" s="1"/>
      <c r="L415" s="2"/>
      <c r="M415" s="1"/>
      <c r="N415" s="1"/>
      <c r="O415" s="1"/>
      <c r="Y415" s="76"/>
      <c r="AA415" s="77"/>
      <c r="AB415" s="76"/>
      <c r="AD415" s="77"/>
      <c r="AE415" s="76"/>
      <c r="AG415" s="77"/>
      <c r="AH415" s="76"/>
      <c r="AJ415" s="77"/>
      <c r="AK415" s="76"/>
      <c r="AM415" s="77"/>
      <c r="AN415" s="76"/>
      <c r="AP415" s="77"/>
      <c r="AQ415" s="76"/>
      <c r="AS415" s="77"/>
      <c r="AT415" s="76"/>
      <c r="AV415" s="77"/>
    </row>
    <row r="416">
      <c r="K416" s="1"/>
      <c r="L416" s="2"/>
      <c r="M416" s="1"/>
      <c r="N416" s="1"/>
      <c r="O416" s="1"/>
      <c r="Y416" s="76"/>
      <c r="AA416" s="77"/>
      <c r="AB416" s="76"/>
      <c r="AD416" s="77"/>
      <c r="AE416" s="76"/>
      <c r="AG416" s="77"/>
      <c r="AH416" s="76"/>
      <c r="AJ416" s="77"/>
      <c r="AK416" s="76"/>
      <c r="AM416" s="77"/>
      <c r="AN416" s="76"/>
      <c r="AP416" s="77"/>
      <c r="AQ416" s="76"/>
      <c r="AS416" s="77"/>
      <c r="AT416" s="76"/>
      <c r="AV416" s="77"/>
    </row>
    <row r="417">
      <c r="K417" s="1"/>
      <c r="L417" s="2"/>
      <c r="M417" s="1"/>
      <c r="N417" s="1"/>
      <c r="O417" s="1"/>
      <c r="Y417" s="76"/>
      <c r="AA417" s="77"/>
      <c r="AB417" s="76"/>
      <c r="AD417" s="77"/>
      <c r="AE417" s="76"/>
      <c r="AG417" s="77"/>
      <c r="AH417" s="76"/>
      <c r="AJ417" s="77"/>
      <c r="AK417" s="76"/>
      <c r="AM417" s="77"/>
      <c r="AN417" s="76"/>
      <c r="AP417" s="77"/>
      <c r="AQ417" s="76"/>
      <c r="AS417" s="77"/>
      <c r="AT417" s="76"/>
      <c r="AV417" s="77"/>
    </row>
    <row r="418">
      <c r="K418" s="1"/>
      <c r="L418" s="2"/>
      <c r="M418" s="1"/>
      <c r="N418" s="1"/>
      <c r="O418" s="1"/>
      <c r="Y418" s="76"/>
      <c r="AA418" s="77"/>
      <c r="AB418" s="76"/>
      <c r="AD418" s="77"/>
      <c r="AE418" s="76"/>
      <c r="AG418" s="77"/>
      <c r="AH418" s="76"/>
      <c r="AJ418" s="77"/>
      <c r="AK418" s="76"/>
      <c r="AM418" s="77"/>
      <c r="AN418" s="76"/>
      <c r="AP418" s="77"/>
      <c r="AQ418" s="76"/>
      <c r="AS418" s="77"/>
      <c r="AT418" s="76"/>
      <c r="AV418" s="77"/>
    </row>
    <row r="419">
      <c r="K419" s="1"/>
      <c r="L419" s="2"/>
      <c r="M419" s="1"/>
      <c r="N419" s="1"/>
      <c r="O419" s="1"/>
      <c r="Y419" s="76"/>
      <c r="AA419" s="77"/>
      <c r="AB419" s="76"/>
      <c r="AD419" s="77"/>
      <c r="AE419" s="76"/>
      <c r="AG419" s="77"/>
      <c r="AH419" s="76"/>
      <c r="AJ419" s="77"/>
      <c r="AK419" s="76"/>
      <c r="AM419" s="77"/>
      <c r="AN419" s="76"/>
      <c r="AP419" s="77"/>
      <c r="AQ419" s="76"/>
      <c r="AS419" s="77"/>
      <c r="AT419" s="76"/>
      <c r="AV419" s="77"/>
    </row>
    <row r="420">
      <c r="K420" s="1"/>
      <c r="L420" s="2"/>
      <c r="M420" s="1"/>
      <c r="N420" s="1"/>
      <c r="O420" s="1"/>
      <c r="Y420" s="76"/>
      <c r="AA420" s="77"/>
      <c r="AB420" s="76"/>
      <c r="AD420" s="77"/>
      <c r="AE420" s="76"/>
      <c r="AG420" s="77"/>
      <c r="AH420" s="76"/>
      <c r="AJ420" s="77"/>
      <c r="AK420" s="76"/>
      <c r="AM420" s="77"/>
      <c r="AN420" s="76"/>
      <c r="AP420" s="77"/>
      <c r="AQ420" s="76"/>
      <c r="AS420" s="77"/>
      <c r="AT420" s="76"/>
      <c r="AV420" s="77"/>
    </row>
    <row r="421">
      <c r="K421" s="1"/>
      <c r="L421" s="2"/>
      <c r="M421" s="1"/>
      <c r="N421" s="1"/>
      <c r="O421" s="1"/>
      <c r="Y421" s="76"/>
      <c r="AA421" s="77"/>
      <c r="AB421" s="76"/>
      <c r="AD421" s="77"/>
      <c r="AE421" s="76"/>
      <c r="AG421" s="77"/>
      <c r="AH421" s="76"/>
      <c r="AJ421" s="77"/>
      <c r="AK421" s="76"/>
      <c r="AM421" s="77"/>
      <c r="AN421" s="76"/>
      <c r="AP421" s="77"/>
      <c r="AQ421" s="76"/>
      <c r="AS421" s="77"/>
      <c r="AT421" s="76"/>
      <c r="AV421" s="77"/>
    </row>
    <row r="422">
      <c r="K422" s="1"/>
      <c r="L422" s="2"/>
      <c r="M422" s="1"/>
      <c r="N422" s="1"/>
      <c r="O422" s="1"/>
      <c r="Y422" s="76"/>
      <c r="AA422" s="77"/>
      <c r="AB422" s="76"/>
      <c r="AD422" s="77"/>
      <c r="AE422" s="76"/>
      <c r="AG422" s="77"/>
      <c r="AH422" s="76"/>
      <c r="AJ422" s="77"/>
      <c r="AK422" s="76"/>
      <c r="AM422" s="77"/>
      <c r="AN422" s="76"/>
      <c r="AP422" s="77"/>
      <c r="AQ422" s="76"/>
      <c r="AS422" s="77"/>
      <c r="AT422" s="76"/>
      <c r="AV422" s="77"/>
    </row>
    <row r="423">
      <c r="K423" s="1"/>
      <c r="L423" s="2"/>
      <c r="M423" s="1"/>
      <c r="N423" s="1"/>
      <c r="O423" s="1"/>
      <c r="Y423" s="76"/>
      <c r="AA423" s="77"/>
      <c r="AB423" s="76"/>
      <c r="AD423" s="77"/>
      <c r="AE423" s="76"/>
      <c r="AG423" s="77"/>
      <c r="AH423" s="76"/>
      <c r="AJ423" s="77"/>
      <c r="AK423" s="76"/>
      <c r="AM423" s="77"/>
      <c r="AN423" s="76"/>
      <c r="AP423" s="77"/>
      <c r="AQ423" s="76"/>
      <c r="AS423" s="77"/>
      <c r="AT423" s="76"/>
      <c r="AV423" s="77"/>
    </row>
    <row r="424">
      <c r="K424" s="1"/>
      <c r="L424" s="2"/>
      <c r="M424" s="1"/>
      <c r="N424" s="1"/>
      <c r="O424" s="1"/>
      <c r="Y424" s="76"/>
      <c r="AA424" s="77"/>
      <c r="AB424" s="76"/>
      <c r="AD424" s="77"/>
      <c r="AE424" s="76"/>
      <c r="AG424" s="77"/>
      <c r="AH424" s="76"/>
      <c r="AJ424" s="77"/>
      <c r="AK424" s="76"/>
      <c r="AM424" s="77"/>
      <c r="AN424" s="76"/>
      <c r="AP424" s="77"/>
      <c r="AQ424" s="76"/>
      <c r="AS424" s="77"/>
      <c r="AT424" s="76"/>
      <c r="AV424" s="77"/>
    </row>
    <row r="425">
      <c r="K425" s="1"/>
      <c r="L425" s="2"/>
      <c r="M425" s="1"/>
      <c r="N425" s="1"/>
      <c r="O425" s="1"/>
      <c r="Y425" s="76"/>
      <c r="AA425" s="77"/>
      <c r="AB425" s="76"/>
      <c r="AD425" s="77"/>
      <c r="AE425" s="76"/>
      <c r="AG425" s="77"/>
      <c r="AH425" s="76"/>
      <c r="AJ425" s="77"/>
      <c r="AK425" s="76"/>
      <c r="AM425" s="77"/>
      <c r="AN425" s="76"/>
      <c r="AP425" s="77"/>
      <c r="AQ425" s="76"/>
      <c r="AS425" s="77"/>
      <c r="AT425" s="76"/>
      <c r="AV425" s="77"/>
    </row>
    <row r="426">
      <c r="K426" s="1"/>
      <c r="L426" s="2"/>
      <c r="M426" s="1"/>
      <c r="N426" s="1"/>
      <c r="O426" s="1"/>
      <c r="Y426" s="76"/>
      <c r="AA426" s="77"/>
      <c r="AB426" s="76"/>
      <c r="AD426" s="77"/>
      <c r="AE426" s="76"/>
      <c r="AG426" s="77"/>
      <c r="AH426" s="76"/>
      <c r="AJ426" s="77"/>
      <c r="AK426" s="76"/>
      <c r="AM426" s="77"/>
      <c r="AN426" s="76"/>
      <c r="AP426" s="77"/>
      <c r="AQ426" s="76"/>
      <c r="AS426" s="77"/>
      <c r="AT426" s="76"/>
      <c r="AV426" s="77"/>
    </row>
    <row r="427">
      <c r="K427" s="1"/>
      <c r="L427" s="2"/>
      <c r="M427" s="1"/>
      <c r="N427" s="1"/>
      <c r="O427" s="1"/>
      <c r="Y427" s="76"/>
      <c r="AA427" s="77"/>
      <c r="AB427" s="76"/>
      <c r="AD427" s="77"/>
      <c r="AE427" s="76"/>
      <c r="AG427" s="77"/>
      <c r="AH427" s="76"/>
      <c r="AJ427" s="77"/>
      <c r="AK427" s="76"/>
      <c r="AM427" s="77"/>
      <c r="AN427" s="76"/>
      <c r="AP427" s="77"/>
      <c r="AQ427" s="76"/>
      <c r="AS427" s="77"/>
      <c r="AT427" s="76"/>
      <c r="AV427" s="77"/>
    </row>
    <row r="428">
      <c r="K428" s="1"/>
      <c r="L428" s="2"/>
      <c r="M428" s="1"/>
      <c r="N428" s="1"/>
      <c r="O428" s="1"/>
      <c r="Y428" s="76"/>
      <c r="AA428" s="77"/>
      <c r="AB428" s="76"/>
      <c r="AD428" s="77"/>
      <c r="AE428" s="76"/>
      <c r="AG428" s="77"/>
      <c r="AH428" s="76"/>
      <c r="AJ428" s="77"/>
      <c r="AK428" s="76"/>
      <c r="AM428" s="77"/>
      <c r="AN428" s="76"/>
      <c r="AP428" s="77"/>
      <c r="AQ428" s="76"/>
      <c r="AS428" s="77"/>
      <c r="AT428" s="76"/>
      <c r="AV428" s="77"/>
    </row>
    <row r="429">
      <c r="K429" s="1"/>
      <c r="L429" s="2"/>
      <c r="M429" s="1"/>
      <c r="N429" s="1"/>
      <c r="O429" s="1"/>
      <c r="Y429" s="76"/>
      <c r="AA429" s="77"/>
      <c r="AB429" s="76"/>
      <c r="AD429" s="77"/>
      <c r="AE429" s="76"/>
      <c r="AG429" s="77"/>
      <c r="AH429" s="76"/>
      <c r="AJ429" s="77"/>
      <c r="AK429" s="76"/>
      <c r="AM429" s="77"/>
      <c r="AN429" s="76"/>
      <c r="AP429" s="77"/>
      <c r="AQ429" s="76"/>
      <c r="AS429" s="77"/>
      <c r="AT429" s="76"/>
      <c r="AV429" s="77"/>
    </row>
    <row r="430">
      <c r="K430" s="1"/>
      <c r="L430" s="2"/>
      <c r="M430" s="1"/>
      <c r="N430" s="1"/>
      <c r="O430" s="1"/>
      <c r="Y430" s="76"/>
      <c r="AA430" s="77"/>
      <c r="AB430" s="76"/>
      <c r="AD430" s="77"/>
      <c r="AE430" s="76"/>
      <c r="AG430" s="77"/>
      <c r="AH430" s="76"/>
      <c r="AJ430" s="77"/>
      <c r="AK430" s="76"/>
      <c r="AM430" s="77"/>
      <c r="AN430" s="76"/>
      <c r="AP430" s="77"/>
      <c r="AQ430" s="76"/>
      <c r="AS430" s="77"/>
      <c r="AT430" s="76"/>
      <c r="AV430" s="77"/>
    </row>
    <row r="431">
      <c r="K431" s="1"/>
      <c r="L431" s="2"/>
      <c r="M431" s="1"/>
      <c r="N431" s="1"/>
      <c r="O431" s="1"/>
      <c r="Y431" s="76"/>
      <c r="AA431" s="77"/>
      <c r="AB431" s="76"/>
      <c r="AD431" s="77"/>
      <c r="AE431" s="76"/>
      <c r="AG431" s="77"/>
      <c r="AH431" s="76"/>
      <c r="AJ431" s="77"/>
      <c r="AK431" s="76"/>
      <c r="AM431" s="77"/>
      <c r="AN431" s="76"/>
      <c r="AP431" s="77"/>
      <c r="AQ431" s="76"/>
      <c r="AS431" s="77"/>
      <c r="AT431" s="76"/>
      <c r="AV431" s="77"/>
    </row>
    <row r="432">
      <c r="K432" s="1"/>
      <c r="L432" s="2"/>
      <c r="M432" s="1"/>
      <c r="N432" s="1"/>
      <c r="O432" s="1"/>
      <c r="Y432" s="76"/>
      <c r="AA432" s="77"/>
      <c r="AB432" s="76"/>
      <c r="AD432" s="77"/>
      <c r="AE432" s="76"/>
      <c r="AG432" s="77"/>
      <c r="AH432" s="76"/>
      <c r="AJ432" s="77"/>
      <c r="AK432" s="76"/>
      <c r="AM432" s="77"/>
      <c r="AN432" s="76"/>
      <c r="AP432" s="77"/>
      <c r="AQ432" s="76"/>
      <c r="AS432" s="77"/>
      <c r="AT432" s="76"/>
      <c r="AV432" s="77"/>
    </row>
    <row r="433">
      <c r="K433" s="1"/>
      <c r="L433" s="2"/>
      <c r="M433" s="1"/>
      <c r="N433" s="1"/>
      <c r="O433" s="1"/>
      <c r="Y433" s="76"/>
      <c r="AA433" s="77"/>
      <c r="AB433" s="76"/>
      <c r="AD433" s="77"/>
      <c r="AE433" s="76"/>
      <c r="AG433" s="77"/>
      <c r="AH433" s="76"/>
      <c r="AJ433" s="77"/>
      <c r="AK433" s="76"/>
      <c r="AM433" s="77"/>
      <c r="AN433" s="76"/>
      <c r="AP433" s="77"/>
      <c r="AQ433" s="76"/>
      <c r="AS433" s="77"/>
      <c r="AT433" s="76"/>
      <c r="AV433" s="77"/>
    </row>
    <row r="434">
      <c r="K434" s="1"/>
      <c r="L434" s="2"/>
      <c r="M434" s="1"/>
      <c r="N434" s="1"/>
      <c r="O434" s="1"/>
      <c r="Y434" s="76"/>
      <c r="AA434" s="77"/>
      <c r="AB434" s="76"/>
      <c r="AD434" s="77"/>
      <c r="AE434" s="76"/>
      <c r="AG434" s="77"/>
      <c r="AH434" s="76"/>
      <c r="AJ434" s="77"/>
      <c r="AK434" s="76"/>
      <c r="AM434" s="77"/>
      <c r="AN434" s="76"/>
      <c r="AP434" s="77"/>
      <c r="AQ434" s="76"/>
      <c r="AS434" s="77"/>
      <c r="AT434" s="76"/>
      <c r="AV434" s="77"/>
    </row>
    <row r="435">
      <c r="K435" s="1"/>
      <c r="L435" s="2"/>
      <c r="M435" s="1"/>
      <c r="N435" s="1"/>
      <c r="O435" s="1"/>
      <c r="Y435" s="76"/>
      <c r="AA435" s="77"/>
      <c r="AB435" s="76"/>
      <c r="AD435" s="77"/>
      <c r="AE435" s="76"/>
      <c r="AG435" s="77"/>
      <c r="AH435" s="76"/>
      <c r="AJ435" s="77"/>
      <c r="AK435" s="76"/>
      <c r="AM435" s="77"/>
      <c r="AN435" s="76"/>
      <c r="AP435" s="77"/>
      <c r="AQ435" s="76"/>
      <c r="AS435" s="77"/>
      <c r="AT435" s="76"/>
      <c r="AV435" s="77"/>
    </row>
    <row r="436">
      <c r="K436" s="1"/>
      <c r="L436" s="2"/>
      <c r="M436" s="1"/>
      <c r="N436" s="1"/>
      <c r="O436" s="1"/>
      <c r="Y436" s="76"/>
      <c r="AA436" s="77"/>
      <c r="AB436" s="76"/>
      <c r="AD436" s="77"/>
      <c r="AE436" s="76"/>
      <c r="AG436" s="77"/>
      <c r="AH436" s="76"/>
      <c r="AJ436" s="77"/>
      <c r="AK436" s="76"/>
      <c r="AM436" s="77"/>
      <c r="AN436" s="76"/>
      <c r="AP436" s="77"/>
      <c r="AQ436" s="76"/>
      <c r="AS436" s="77"/>
      <c r="AT436" s="76"/>
      <c r="AV436" s="77"/>
    </row>
    <row r="437">
      <c r="K437" s="1"/>
      <c r="L437" s="2"/>
      <c r="M437" s="1"/>
      <c r="N437" s="1"/>
      <c r="O437" s="1"/>
      <c r="Y437" s="76"/>
      <c r="AA437" s="77"/>
      <c r="AB437" s="76"/>
      <c r="AD437" s="77"/>
      <c r="AE437" s="76"/>
      <c r="AG437" s="77"/>
      <c r="AH437" s="76"/>
      <c r="AJ437" s="77"/>
      <c r="AK437" s="76"/>
      <c r="AM437" s="77"/>
      <c r="AN437" s="76"/>
      <c r="AP437" s="77"/>
      <c r="AQ437" s="76"/>
      <c r="AS437" s="77"/>
      <c r="AT437" s="76"/>
      <c r="AV437" s="77"/>
    </row>
    <row r="438">
      <c r="K438" s="1"/>
      <c r="L438" s="2"/>
      <c r="M438" s="1"/>
      <c r="N438" s="1"/>
      <c r="O438" s="1"/>
      <c r="Y438" s="76"/>
      <c r="AA438" s="77"/>
      <c r="AB438" s="76"/>
      <c r="AD438" s="77"/>
      <c r="AE438" s="76"/>
      <c r="AG438" s="77"/>
      <c r="AH438" s="76"/>
      <c r="AJ438" s="77"/>
      <c r="AK438" s="76"/>
      <c r="AM438" s="77"/>
      <c r="AN438" s="76"/>
      <c r="AP438" s="77"/>
      <c r="AQ438" s="76"/>
      <c r="AS438" s="77"/>
      <c r="AT438" s="76"/>
      <c r="AV438" s="77"/>
    </row>
    <row r="439">
      <c r="K439" s="1"/>
      <c r="L439" s="2"/>
      <c r="M439" s="1"/>
      <c r="N439" s="1"/>
      <c r="O439" s="1"/>
      <c r="Y439" s="76"/>
      <c r="AA439" s="77"/>
      <c r="AB439" s="76"/>
      <c r="AD439" s="77"/>
      <c r="AE439" s="76"/>
      <c r="AG439" s="77"/>
      <c r="AH439" s="76"/>
      <c r="AJ439" s="77"/>
      <c r="AK439" s="76"/>
      <c r="AM439" s="77"/>
      <c r="AN439" s="76"/>
      <c r="AP439" s="77"/>
      <c r="AQ439" s="76"/>
      <c r="AS439" s="77"/>
      <c r="AT439" s="76"/>
      <c r="AV439" s="77"/>
    </row>
    <row r="440">
      <c r="K440" s="1"/>
      <c r="L440" s="2"/>
      <c r="M440" s="1"/>
      <c r="N440" s="1"/>
      <c r="O440" s="1"/>
      <c r="Y440" s="76"/>
      <c r="AA440" s="77"/>
      <c r="AB440" s="76"/>
      <c r="AD440" s="77"/>
      <c r="AE440" s="76"/>
      <c r="AG440" s="77"/>
      <c r="AH440" s="76"/>
      <c r="AJ440" s="77"/>
      <c r="AK440" s="76"/>
      <c r="AM440" s="77"/>
      <c r="AN440" s="76"/>
      <c r="AP440" s="77"/>
      <c r="AQ440" s="76"/>
      <c r="AS440" s="77"/>
      <c r="AT440" s="76"/>
      <c r="AV440" s="77"/>
    </row>
    <row r="441">
      <c r="K441" s="1"/>
      <c r="L441" s="2"/>
      <c r="M441" s="1"/>
      <c r="N441" s="1"/>
      <c r="O441" s="1"/>
      <c r="Y441" s="76"/>
      <c r="AA441" s="77"/>
      <c r="AB441" s="76"/>
      <c r="AD441" s="77"/>
      <c r="AE441" s="76"/>
      <c r="AG441" s="77"/>
      <c r="AH441" s="76"/>
      <c r="AJ441" s="77"/>
      <c r="AK441" s="76"/>
      <c r="AM441" s="77"/>
      <c r="AN441" s="76"/>
      <c r="AP441" s="77"/>
      <c r="AQ441" s="76"/>
      <c r="AS441" s="77"/>
      <c r="AT441" s="76"/>
      <c r="AV441" s="77"/>
    </row>
    <row r="442">
      <c r="K442" s="1"/>
      <c r="L442" s="2"/>
      <c r="M442" s="1"/>
      <c r="N442" s="1"/>
      <c r="O442" s="1"/>
      <c r="Y442" s="76"/>
      <c r="AA442" s="77"/>
      <c r="AB442" s="76"/>
      <c r="AD442" s="77"/>
      <c r="AE442" s="76"/>
      <c r="AG442" s="77"/>
      <c r="AH442" s="76"/>
      <c r="AJ442" s="77"/>
      <c r="AK442" s="76"/>
      <c r="AM442" s="77"/>
      <c r="AN442" s="76"/>
      <c r="AP442" s="77"/>
      <c r="AQ442" s="76"/>
      <c r="AS442" s="77"/>
      <c r="AT442" s="76"/>
      <c r="AV442" s="77"/>
    </row>
    <row r="443">
      <c r="K443" s="1"/>
      <c r="L443" s="2"/>
      <c r="M443" s="1"/>
      <c r="N443" s="1"/>
      <c r="O443" s="1"/>
      <c r="Y443" s="76"/>
      <c r="AA443" s="77"/>
      <c r="AB443" s="76"/>
      <c r="AD443" s="77"/>
      <c r="AE443" s="76"/>
      <c r="AG443" s="77"/>
      <c r="AH443" s="76"/>
      <c r="AJ443" s="77"/>
      <c r="AK443" s="76"/>
      <c r="AM443" s="77"/>
      <c r="AN443" s="76"/>
      <c r="AP443" s="77"/>
      <c r="AQ443" s="76"/>
      <c r="AS443" s="77"/>
      <c r="AT443" s="76"/>
      <c r="AV443" s="77"/>
    </row>
    <row r="444">
      <c r="K444" s="1"/>
      <c r="L444" s="2"/>
      <c r="M444" s="1"/>
      <c r="N444" s="1"/>
      <c r="O444" s="1"/>
      <c r="Y444" s="76"/>
      <c r="AA444" s="77"/>
      <c r="AB444" s="76"/>
      <c r="AD444" s="77"/>
      <c r="AE444" s="76"/>
      <c r="AG444" s="77"/>
      <c r="AH444" s="76"/>
      <c r="AJ444" s="77"/>
      <c r="AK444" s="76"/>
      <c r="AM444" s="77"/>
      <c r="AN444" s="76"/>
      <c r="AP444" s="77"/>
      <c r="AQ444" s="76"/>
      <c r="AS444" s="77"/>
      <c r="AT444" s="76"/>
      <c r="AV444" s="77"/>
    </row>
    <row r="445">
      <c r="K445" s="1"/>
      <c r="L445" s="2"/>
      <c r="M445" s="1"/>
      <c r="N445" s="1"/>
      <c r="O445" s="1"/>
      <c r="Y445" s="76"/>
      <c r="AA445" s="77"/>
      <c r="AB445" s="76"/>
      <c r="AD445" s="77"/>
      <c r="AE445" s="76"/>
      <c r="AG445" s="77"/>
      <c r="AH445" s="76"/>
      <c r="AJ445" s="77"/>
      <c r="AK445" s="76"/>
      <c r="AM445" s="77"/>
      <c r="AN445" s="76"/>
      <c r="AP445" s="77"/>
      <c r="AQ445" s="76"/>
      <c r="AS445" s="77"/>
      <c r="AT445" s="76"/>
      <c r="AV445" s="77"/>
    </row>
    <row r="446">
      <c r="K446" s="1"/>
      <c r="L446" s="2"/>
      <c r="M446" s="1"/>
      <c r="N446" s="1"/>
      <c r="O446" s="1"/>
      <c r="Y446" s="76"/>
      <c r="AA446" s="77"/>
      <c r="AB446" s="76"/>
      <c r="AD446" s="77"/>
      <c r="AE446" s="76"/>
      <c r="AG446" s="77"/>
      <c r="AH446" s="76"/>
      <c r="AJ446" s="77"/>
      <c r="AK446" s="76"/>
      <c r="AM446" s="77"/>
      <c r="AN446" s="76"/>
      <c r="AP446" s="77"/>
      <c r="AQ446" s="76"/>
      <c r="AS446" s="77"/>
      <c r="AT446" s="76"/>
      <c r="AV446" s="77"/>
    </row>
    <row r="447">
      <c r="K447" s="1"/>
      <c r="L447" s="2"/>
      <c r="M447" s="1"/>
      <c r="N447" s="1"/>
      <c r="O447" s="1"/>
      <c r="Y447" s="76"/>
      <c r="AA447" s="77"/>
      <c r="AB447" s="76"/>
      <c r="AD447" s="77"/>
      <c r="AE447" s="76"/>
      <c r="AG447" s="77"/>
      <c r="AH447" s="76"/>
      <c r="AJ447" s="77"/>
      <c r="AK447" s="76"/>
      <c r="AM447" s="77"/>
      <c r="AN447" s="76"/>
      <c r="AP447" s="77"/>
      <c r="AQ447" s="76"/>
      <c r="AS447" s="77"/>
      <c r="AT447" s="76"/>
      <c r="AV447" s="77"/>
    </row>
    <row r="448">
      <c r="K448" s="1"/>
      <c r="L448" s="2"/>
      <c r="M448" s="1"/>
      <c r="N448" s="1"/>
      <c r="O448" s="1"/>
      <c r="Y448" s="76"/>
      <c r="AA448" s="77"/>
      <c r="AB448" s="76"/>
      <c r="AD448" s="77"/>
      <c r="AE448" s="76"/>
      <c r="AG448" s="77"/>
      <c r="AH448" s="76"/>
      <c r="AJ448" s="77"/>
      <c r="AK448" s="76"/>
      <c r="AM448" s="77"/>
      <c r="AN448" s="76"/>
      <c r="AP448" s="77"/>
      <c r="AQ448" s="76"/>
      <c r="AS448" s="77"/>
      <c r="AT448" s="76"/>
      <c r="AV448" s="77"/>
    </row>
    <row r="449">
      <c r="K449" s="1"/>
      <c r="L449" s="2"/>
      <c r="M449" s="1"/>
      <c r="N449" s="1"/>
      <c r="O449" s="1"/>
      <c r="Y449" s="76"/>
      <c r="AA449" s="77"/>
      <c r="AB449" s="76"/>
      <c r="AD449" s="77"/>
      <c r="AE449" s="76"/>
      <c r="AG449" s="77"/>
      <c r="AH449" s="76"/>
      <c r="AJ449" s="77"/>
      <c r="AK449" s="76"/>
      <c r="AM449" s="77"/>
      <c r="AN449" s="76"/>
      <c r="AP449" s="77"/>
      <c r="AQ449" s="76"/>
      <c r="AS449" s="77"/>
      <c r="AT449" s="76"/>
      <c r="AV449" s="77"/>
    </row>
    <row r="450">
      <c r="K450" s="1"/>
      <c r="L450" s="2"/>
      <c r="M450" s="1"/>
      <c r="N450" s="1"/>
      <c r="O450" s="1"/>
      <c r="Y450" s="76"/>
      <c r="AA450" s="77"/>
      <c r="AB450" s="76"/>
      <c r="AD450" s="77"/>
      <c r="AE450" s="76"/>
      <c r="AG450" s="77"/>
      <c r="AH450" s="76"/>
      <c r="AJ450" s="77"/>
      <c r="AK450" s="76"/>
      <c r="AM450" s="77"/>
      <c r="AN450" s="76"/>
      <c r="AP450" s="77"/>
      <c r="AQ450" s="76"/>
      <c r="AS450" s="77"/>
      <c r="AT450" s="76"/>
      <c r="AV450" s="77"/>
    </row>
    <row r="451">
      <c r="K451" s="1"/>
      <c r="L451" s="2"/>
      <c r="M451" s="1"/>
      <c r="N451" s="1"/>
      <c r="O451" s="1"/>
      <c r="Y451" s="76"/>
      <c r="AA451" s="77"/>
      <c r="AB451" s="76"/>
      <c r="AD451" s="77"/>
      <c r="AE451" s="76"/>
      <c r="AG451" s="77"/>
      <c r="AH451" s="76"/>
      <c r="AJ451" s="77"/>
      <c r="AK451" s="76"/>
      <c r="AM451" s="77"/>
      <c r="AN451" s="76"/>
      <c r="AP451" s="77"/>
      <c r="AQ451" s="76"/>
      <c r="AS451" s="77"/>
      <c r="AT451" s="76"/>
      <c r="AV451" s="77"/>
    </row>
    <row r="452">
      <c r="K452" s="1"/>
      <c r="L452" s="2"/>
      <c r="M452" s="1"/>
      <c r="N452" s="1"/>
      <c r="O452" s="1"/>
      <c r="Y452" s="76"/>
      <c r="AA452" s="77"/>
      <c r="AB452" s="76"/>
      <c r="AD452" s="77"/>
      <c r="AE452" s="76"/>
      <c r="AG452" s="77"/>
      <c r="AH452" s="76"/>
      <c r="AJ452" s="77"/>
      <c r="AK452" s="76"/>
      <c r="AM452" s="77"/>
      <c r="AN452" s="76"/>
      <c r="AP452" s="77"/>
      <c r="AQ452" s="76"/>
      <c r="AS452" s="77"/>
      <c r="AT452" s="76"/>
      <c r="AV452" s="77"/>
    </row>
    <row r="453">
      <c r="K453" s="1"/>
      <c r="L453" s="2"/>
      <c r="M453" s="1"/>
      <c r="N453" s="1"/>
      <c r="O453" s="1"/>
      <c r="Y453" s="76"/>
      <c r="AA453" s="77"/>
      <c r="AB453" s="76"/>
      <c r="AD453" s="77"/>
      <c r="AE453" s="76"/>
      <c r="AG453" s="77"/>
      <c r="AH453" s="76"/>
      <c r="AJ453" s="77"/>
      <c r="AK453" s="76"/>
      <c r="AM453" s="77"/>
      <c r="AN453" s="76"/>
      <c r="AP453" s="77"/>
      <c r="AQ453" s="76"/>
      <c r="AS453" s="77"/>
      <c r="AT453" s="76"/>
      <c r="AV453" s="77"/>
    </row>
    <row r="454">
      <c r="K454" s="1"/>
      <c r="L454" s="2"/>
      <c r="M454" s="1"/>
      <c r="N454" s="1"/>
      <c r="O454" s="1"/>
      <c r="Y454" s="76"/>
      <c r="AA454" s="77"/>
      <c r="AB454" s="76"/>
      <c r="AD454" s="77"/>
      <c r="AE454" s="76"/>
      <c r="AG454" s="77"/>
      <c r="AH454" s="76"/>
      <c r="AJ454" s="77"/>
      <c r="AK454" s="76"/>
      <c r="AM454" s="77"/>
      <c r="AN454" s="76"/>
      <c r="AP454" s="77"/>
      <c r="AQ454" s="76"/>
      <c r="AS454" s="77"/>
      <c r="AT454" s="76"/>
      <c r="AV454" s="77"/>
    </row>
    <row r="455">
      <c r="K455" s="1"/>
      <c r="L455" s="2"/>
      <c r="M455" s="1"/>
      <c r="N455" s="1"/>
      <c r="O455" s="1"/>
      <c r="Y455" s="76"/>
      <c r="AA455" s="77"/>
      <c r="AB455" s="76"/>
      <c r="AD455" s="77"/>
      <c r="AE455" s="76"/>
      <c r="AG455" s="77"/>
      <c r="AH455" s="76"/>
      <c r="AJ455" s="77"/>
      <c r="AK455" s="76"/>
      <c r="AM455" s="77"/>
      <c r="AN455" s="76"/>
      <c r="AP455" s="77"/>
      <c r="AQ455" s="76"/>
      <c r="AS455" s="77"/>
      <c r="AT455" s="76"/>
      <c r="AV455" s="77"/>
    </row>
    <row r="456">
      <c r="K456" s="1"/>
      <c r="L456" s="2"/>
      <c r="M456" s="1"/>
      <c r="N456" s="1"/>
      <c r="O456" s="1"/>
      <c r="Y456" s="76"/>
      <c r="AA456" s="77"/>
      <c r="AB456" s="76"/>
      <c r="AD456" s="77"/>
      <c r="AE456" s="76"/>
      <c r="AG456" s="77"/>
      <c r="AH456" s="76"/>
      <c r="AJ456" s="77"/>
      <c r="AK456" s="76"/>
      <c r="AM456" s="77"/>
      <c r="AN456" s="76"/>
      <c r="AP456" s="77"/>
      <c r="AQ456" s="76"/>
      <c r="AS456" s="77"/>
      <c r="AT456" s="76"/>
      <c r="AV456" s="77"/>
    </row>
    <row r="457">
      <c r="K457" s="1"/>
      <c r="L457" s="2"/>
      <c r="M457" s="1"/>
      <c r="N457" s="1"/>
      <c r="O457" s="1"/>
      <c r="Y457" s="76"/>
      <c r="AA457" s="77"/>
      <c r="AB457" s="76"/>
      <c r="AD457" s="77"/>
      <c r="AE457" s="76"/>
      <c r="AG457" s="77"/>
      <c r="AH457" s="76"/>
      <c r="AJ457" s="77"/>
      <c r="AK457" s="76"/>
      <c r="AM457" s="77"/>
      <c r="AN457" s="76"/>
      <c r="AP457" s="77"/>
      <c r="AQ457" s="76"/>
      <c r="AS457" s="77"/>
      <c r="AT457" s="76"/>
      <c r="AV457" s="77"/>
    </row>
    <row r="458">
      <c r="K458" s="1"/>
      <c r="L458" s="2"/>
      <c r="M458" s="1"/>
      <c r="N458" s="1"/>
      <c r="O458" s="1"/>
      <c r="Y458" s="76"/>
      <c r="AA458" s="77"/>
      <c r="AB458" s="76"/>
      <c r="AD458" s="77"/>
      <c r="AE458" s="76"/>
      <c r="AG458" s="77"/>
      <c r="AH458" s="76"/>
      <c r="AJ458" s="77"/>
      <c r="AK458" s="76"/>
      <c r="AM458" s="77"/>
      <c r="AN458" s="76"/>
      <c r="AP458" s="77"/>
      <c r="AQ458" s="76"/>
      <c r="AS458" s="77"/>
      <c r="AT458" s="76"/>
      <c r="AV458" s="77"/>
    </row>
    <row r="459">
      <c r="K459" s="1"/>
      <c r="L459" s="2"/>
      <c r="M459" s="1"/>
      <c r="N459" s="1"/>
      <c r="O459" s="1"/>
      <c r="Y459" s="76"/>
      <c r="AA459" s="77"/>
      <c r="AB459" s="76"/>
      <c r="AD459" s="77"/>
      <c r="AE459" s="76"/>
      <c r="AG459" s="77"/>
      <c r="AH459" s="76"/>
      <c r="AJ459" s="77"/>
      <c r="AK459" s="76"/>
      <c r="AM459" s="77"/>
      <c r="AN459" s="76"/>
      <c r="AP459" s="77"/>
      <c r="AQ459" s="76"/>
      <c r="AS459" s="77"/>
      <c r="AT459" s="76"/>
      <c r="AV459" s="77"/>
    </row>
    <row r="460">
      <c r="K460" s="1"/>
      <c r="L460" s="2"/>
      <c r="M460" s="1"/>
      <c r="N460" s="1"/>
      <c r="O460" s="1"/>
      <c r="Y460" s="76"/>
      <c r="AA460" s="77"/>
      <c r="AB460" s="76"/>
      <c r="AD460" s="77"/>
      <c r="AE460" s="76"/>
      <c r="AG460" s="77"/>
      <c r="AH460" s="76"/>
      <c r="AJ460" s="77"/>
      <c r="AK460" s="76"/>
      <c r="AM460" s="77"/>
      <c r="AN460" s="76"/>
      <c r="AP460" s="77"/>
      <c r="AQ460" s="76"/>
      <c r="AS460" s="77"/>
      <c r="AT460" s="76"/>
      <c r="AV460" s="77"/>
    </row>
    <row r="461">
      <c r="K461" s="1"/>
      <c r="L461" s="2"/>
      <c r="M461" s="1"/>
      <c r="N461" s="1"/>
      <c r="O461" s="1"/>
      <c r="Y461" s="76"/>
      <c r="AA461" s="77"/>
      <c r="AB461" s="76"/>
      <c r="AD461" s="77"/>
      <c r="AE461" s="76"/>
      <c r="AG461" s="77"/>
      <c r="AH461" s="76"/>
      <c r="AJ461" s="77"/>
      <c r="AK461" s="76"/>
      <c r="AM461" s="77"/>
      <c r="AN461" s="76"/>
      <c r="AP461" s="77"/>
      <c r="AQ461" s="76"/>
      <c r="AS461" s="77"/>
      <c r="AT461" s="76"/>
      <c r="AV461" s="77"/>
    </row>
    <row r="462">
      <c r="K462" s="1"/>
      <c r="L462" s="2"/>
      <c r="M462" s="1"/>
      <c r="N462" s="1"/>
      <c r="O462" s="1"/>
      <c r="Y462" s="76"/>
      <c r="AA462" s="77"/>
      <c r="AB462" s="76"/>
      <c r="AD462" s="77"/>
      <c r="AE462" s="76"/>
      <c r="AG462" s="77"/>
      <c r="AH462" s="76"/>
      <c r="AJ462" s="77"/>
      <c r="AK462" s="76"/>
      <c r="AM462" s="77"/>
      <c r="AN462" s="76"/>
      <c r="AP462" s="77"/>
      <c r="AQ462" s="76"/>
      <c r="AS462" s="77"/>
      <c r="AT462" s="76"/>
      <c r="AV462" s="77"/>
    </row>
    <row r="463">
      <c r="K463" s="1"/>
      <c r="L463" s="2"/>
      <c r="M463" s="1"/>
      <c r="N463" s="1"/>
      <c r="O463" s="1"/>
      <c r="Y463" s="76"/>
      <c r="AA463" s="77"/>
      <c r="AB463" s="76"/>
      <c r="AD463" s="77"/>
      <c r="AE463" s="76"/>
      <c r="AG463" s="77"/>
      <c r="AH463" s="76"/>
      <c r="AJ463" s="77"/>
      <c r="AK463" s="76"/>
      <c r="AM463" s="77"/>
      <c r="AN463" s="76"/>
      <c r="AP463" s="77"/>
      <c r="AQ463" s="76"/>
      <c r="AS463" s="77"/>
      <c r="AT463" s="76"/>
      <c r="AV463" s="77"/>
    </row>
    <row r="464">
      <c r="K464" s="1"/>
      <c r="L464" s="2"/>
      <c r="M464" s="1"/>
      <c r="N464" s="1"/>
      <c r="O464" s="1"/>
      <c r="Y464" s="76"/>
      <c r="AA464" s="77"/>
      <c r="AB464" s="76"/>
      <c r="AD464" s="77"/>
      <c r="AE464" s="76"/>
      <c r="AG464" s="77"/>
      <c r="AH464" s="76"/>
      <c r="AJ464" s="77"/>
      <c r="AK464" s="76"/>
      <c r="AM464" s="77"/>
      <c r="AN464" s="76"/>
      <c r="AP464" s="77"/>
      <c r="AQ464" s="76"/>
      <c r="AS464" s="77"/>
      <c r="AT464" s="76"/>
      <c r="AV464" s="77"/>
    </row>
    <row r="465">
      <c r="K465" s="1"/>
      <c r="L465" s="2"/>
      <c r="M465" s="1"/>
      <c r="N465" s="1"/>
      <c r="O465" s="1"/>
      <c r="Y465" s="76"/>
      <c r="AA465" s="77"/>
      <c r="AB465" s="76"/>
      <c r="AD465" s="77"/>
      <c r="AE465" s="76"/>
      <c r="AG465" s="77"/>
      <c r="AH465" s="76"/>
      <c r="AJ465" s="77"/>
      <c r="AK465" s="76"/>
      <c r="AM465" s="77"/>
      <c r="AN465" s="76"/>
      <c r="AP465" s="77"/>
      <c r="AQ465" s="76"/>
      <c r="AS465" s="77"/>
      <c r="AT465" s="76"/>
      <c r="AV465" s="77"/>
    </row>
    <row r="466">
      <c r="K466" s="1"/>
      <c r="L466" s="2"/>
      <c r="M466" s="1"/>
      <c r="N466" s="1"/>
      <c r="O466" s="1"/>
      <c r="Y466" s="76"/>
      <c r="AA466" s="77"/>
      <c r="AB466" s="76"/>
      <c r="AD466" s="77"/>
      <c r="AE466" s="76"/>
      <c r="AG466" s="77"/>
      <c r="AH466" s="76"/>
      <c r="AJ466" s="77"/>
      <c r="AK466" s="76"/>
      <c r="AM466" s="77"/>
      <c r="AN466" s="76"/>
      <c r="AP466" s="77"/>
      <c r="AQ466" s="76"/>
      <c r="AS466" s="77"/>
      <c r="AT466" s="76"/>
      <c r="AV466" s="77"/>
    </row>
    <row r="467">
      <c r="K467" s="1"/>
      <c r="L467" s="2"/>
      <c r="M467" s="1"/>
      <c r="N467" s="1"/>
      <c r="O467" s="1"/>
      <c r="Y467" s="76"/>
      <c r="AA467" s="77"/>
      <c r="AB467" s="76"/>
      <c r="AD467" s="77"/>
      <c r="AE467" s="76"/>
      <c r="AG467" s="77"/>
      <c r="AH467" s="76"/>
      <c r="AJ467" s="77"/>
      <c r="AK467" s="76"/>
      <c r="AM467" s="77"/>
      <c r="AN467" s="76"/>
      <c r="AP467" s="77"/>
      <c r="AQ467" s="76"/>
      <c r="AS467" s="77"/>
      <c r="AT467" s="76"/>
      <c r="AV467" s="77"/>
    </row>
    <row r="468">
      <c r="K468" s="1"/>
      <c r="L468" s="2"/>
      <c r="M468" s="1"/>
      <c r="N468" s="1"/>
      <c r="O468" s="1"/>
      <c r="Y468" s="76"/>
      <c r="AA468" s="77"/>
      <c r="AB468" s="76"/>
      <c r="AD468" s="77"/>
      <c r="AE468" s="76"/>
      <c r="AG468" s="77"/>
      <c r="AH468" s="76"/>
      <c r="AJ468" s="77"/>
      <c r="AK468" s="76"/>
      <c r="AM468" s="77"/>
      <c r="AN468" s="76"/>
      <c r="AP468" s="77"/>
      <c r="AQ468" s="76"/>
      <c r="AS468" s="77"/>
      <c r="AT468" s="76"/>
      <c r="AV468" s="77"/>
    </row>
    <row r="469">
      <c r="K469" s="1"/>
      <c r="L469" s="2"/>
      <c r="M469" s="1"/>
      <c r="N469" s="1"/>
      <c r="O469" s="1"/>
      <c r="Y469" s="76"/>
      <c r="AA469" s="77"/>
      <c r="AB469" s="76"/>
      <c r="AD469" s="77"/>
      <c r="AE469" s="76"/>
      <c r="AG469" s="77"/>
      <c r="AH469" s="76"/>
      <c r="AJ469" s="77"/>
      <c r="AK469" s="76"/>
      <c r="AM469" s="77"/>
      <c r="AN469" s="76"/>
      <c r="AP469" s="77"/>
      <c r="AQ469" s="76"/>
      <c r="AS469" s="77"/>
      <c r="AT469" s="76"/>
      <c r="AV469" s="77"/>
    </row>
    <row r="470">
      <c r="K470" s="1"/>
      <c r="L470" s="2"/>
      <c r="M470" s="1"/>
      <c r="N470" s="1"/>
      <c r="O470" s="1"/>
      <c r="Y470" s="76"/>
      <c r="AA470" s="77"/>
      <c r="AB470" s="76"/>
      <c r="AD470" s="77"/>
      <c r="AE470" s="76"/>
      <c r="AG470" s="77"/>
      <c r="AH470" s="76"/>
      <c r="AJ470" s="77"/>
      <c r="AK470" s="76"/>
      <c r="AM470" s="77"/>
      <c r="AN470" s="76"/>
      <c r="AP470" s="77"/>
      <c r="AQ470" s="76"/>
      <c r="AS470" s="77"/>
      <c r="AT470" s="76"/>
      <c r="AV470" s="77"/>
    </row>
    <row r="471">
      <c r="K471" s="1"/>
      <c r="L471" s="2"/>
      <c r="M471" s="1"/>
      <c r="N471" s="1"/>
      <c r="O471" s="1"/>
      <c r="Y471" s="76"/>
      <c r="AA471" s="77"/>
      <c r="AB471" s="76"/>
      <c r="AD471" s="77"/>
      <c r="AE471" s="76"/>
      <c r="AG471" s="77"/>
      <c r="AH471" s="76"/>
      <c r="AJ471" s="77"/>
      <c r="AK471" s="76"/>
      <c r="AM471" s="77"/>
      <c r="AN471" s="76"/>
      <c r="AP471" s="77"/>
      <c r="AQ471" s="76"/>
      <c r="AS471" s="77"/>
      <c r="AT471" s="76"/>
      <c r="AV471" s="77"/>
    </row>
    <row r="472">
      <c r="K472" s="1"/>
      <c r="L472" s="2"/>
      <c r="M472" s="1"/>
      <c r="N472" s="1"/>
      <c r="O472" s="1"/>
      <c r="Y472" s="76"/>
      <c r="AA472" s="77"/>
      <c r="AB472" s="76"/>
      <c r="AD472" s="77"/>
      <c r="AE472" s="76"/>
      <c r="AG472" s="77"/>
      <c r="AH472" s="76"/>
      <c r="AJ472" s="77"/>
      <c r="AK472" s="76"/>
      <c r="AM472" s="77"/>
      <c r="AN472" s="76"/>
      <c r="AP472" s="77"/>
      <c r="AQ472" s="76"/>
      <c r="AS472" s="77"/>
      <c r="AT472" s="76"/>
      <c r="AV472" s="77"/>
    </row>
    <row r="473">
      <c r="K473" s="1"/>
      <c r="L473" s="2"/>
      <c r="M473" s="1"/>
      <c r="N473" s="1"/>
      <c r="O473" s="1"/>
      <c r="Y473" s="76"/>
      <c r="AA473" s="77"/>
      <c r="AB473" s="76"/>
      <c r="AD473" s="77"/>
      <c r="AE473" s="76"/>
      <c r="AG473" s="77"/>
      <c r="AH473" s="76"/>
      <c r="AJ473" s="77"/>
      <c r="AK473" s="76"/>
      <c r="AM473" s="77"/>
      <c r="AN473" s="76"/>
      <c r="AP473" s="77"/>
      <c r="AQ473" s="76"/>
      <c r="AS473" s="77"/>
      <c r="AT473" s="76"/>
      <c r="AV473" s="77"/>
    </row>
    <row r="474">
      <c r="K474" s="1"/>
      <c r="L474" s="2"/>
      <c r="M474" s="1"/>
      <c r="N474" s="1"/>
      <c r="O474" s="1"/>
      <c r="Y474" s="76"/>
      <c r="AA474" s="77"/>
      <c r="AB474" s="76"/>
      <c r="AD474" s="77"/>
      <c r="AE474" s="76"/>
      <c r="AG474" s="77"/>
      <c r="AH474" s="76"/>
      <c r="AJ474" s="77"/>
      <c r="AK474" s="76"/>
      <c r="AM474" s="77"/>
      <c r="AN474" s="76"/>
      <c r="AP474" s="77"/>
      <c r="AQ474" s="76"/>
      <c r="AS474" s="77"/>
      <c r="AT474" s="76"/>
      <c r="AV474" s="77"/>
    </row>
    <row r="475">
      <c r="K475" s="1"/>
      <c r="L475" s="2"/>
      <c r="M475" s="1"/>
      <c r="N475" s="1"/>
      <c r="O475" s="1"/>
      <c r="Y475" s="76"/>
      <c r="AA475" s="77"/>
      <c r="AB475" s="76"/>
      <c r="AD475" s="77"/>
      <c r="AE475" s="76"/>
      <c r="AG475" s="77"/>
      <c r="AH475" s="76"/>
      <c r="AJ475" s="77"/>
      <c r="AK475" s="76"/>
      <c r="AM475" s="77"/>
      <c r="AN475" s="76"/>
      <c r="AP475" s="77"/>
      <c r="AQ475" s="76"/>
      <c r="AS475" s="77"/>
      <c r="AT475" s="76"/>
      <c r="AV475" s="77"/>
    </row>
    <row r="476">
      <c r="K476" s="1"/>
      <c r="L476" s="2"/>
      <c r="M476" s="1"/>
      <c r="N476" s="1"/>
      <c r="O476" s="1"/>
      <c r="Y476" s="76"/>
      <c r="AA476" s="77"/>
      <c r="AB476" s="76"/>
      <c r="AD476" s="77"/>
      <c r="AE476" s="76"/>
      <c r="AG476" s="77"/>
      <c r="AH476" s="76"/>
      <c r="AJ476" s="77"/>
      <c r="AK476" s="76"/>
      <c r="AM476" s="77"/>
      <c r="AN476" s="76"/>
      <c r="AP476" s="77"/>
      <c r="AQ476" s="76"/>
      <c r="AS476" s="77"/>
      <c r="AT476" s="76"/>
      <c r="AV476" s="77"/>
    </row>
    <row r="477">
      <c r="K477" s="1"/>
      <c r="L477" s="2"/>
      <c r="M477" s="1"/>
      <c r="N477" s="1"/>
      <c r="O477" s="1"/>
      <c r="Y477" s="76"/>
      <c r="AA477" s="77"/>
      <c r="AB477" s="76"/>
      <c r="AD477" s="77"/>
      <c r="AE477" s="76"/>
      <c r="AG477" s="77"/>
      <c r="AH477" s="76"/>
      <c r="AJ477" s="77"/>
      <c r="AK477" s="76"/>
      <c r="AM477" s="77"/>
      <c r="AN477" s="76"/>
      <c r="AP477" s="77"/>
      <c r="AQ477" s="76"/>
      <c r="AS477" s="77"/>
      <c r="AT477" s="76"/>
      <c r="AV477" s="77"/>
    </row>
    <row r="478">
      <c r="K478" s="1"/>
      <c r="L478" s="2"/>
      <c r="M478" s="1"/>
      <c r="N478" s="1"/>
      <c r="O478" s="1"/>
      <c r="Y478" s="76"/>
      <c r="AA478" s="77"/>
      <c r="AB478" s="76"/>
      <c r="AD478" s="77"/>
      <c r="AE478" s="76"/>
      <c r="AG478" s="77"/>
      <c r="AH478" s="76"/>
      <c r="AJ478" s="77"/>
      <c r="AK478" s="76"/>
      <c r="AM478" s="77"/>
      <c r="AN478" s="76"/>
      <c r="AP478" s="77"/>
      <c r="AQ478" s="76"/>
      <c r="AS478" s="77"/>
      <c r="AT478" s="76"/>
      <c r="AV478" s="77"/>
    </row>
    <row r="479">
      <c r="K479" s="1"/>
      <c r="L479" s="2"/>
      <c r="M479" s="1"/>
      <c r="N479" s="1"/>
      <c r="O479" s="1"/>
      <c r="Y479" s="76"/>
      <c r="AA479" s="77"/>
      <c r="AB479" s="76"/>
      <c r="AD479" s="77"/>
      <c r="AE479" s="76"/>
      <c r="AG479" s="77"/>
      <c r="AH479" s="76"/>
      <c r="AJ479" s="77"/>
      <c r="AK479" s="76"/>
      <c r="AM479" s="77"/>
      <c r="AN479" s="76"/>
      <c r="AP479" s="77"/>
      <c r="AQ479" s="76"/>
      <c r="AS479" s="77"/>
      <c r="AT479" s="76"/>
      <c r="AV479" s="77"/>
    </row>
    <row r="480">
      <c r="K480" s="1"/>
      <c r="L480" s="2"/>
      <c r="M480" s="1"/>
      <c r="N480" s="1"/>
      <c r="O480" s="1"/>
      <c r="Y480" s="76"/>
      <c r="AA480" s="77"/>
      <c r="AB480" s="76"/>
      <c r="AD480" s="77"/>
      <c r="AE480" s="76"/>
      <c r="AG480" s="77"/>
      <c r="AH480" s="76"/>
      <c r="AJ480" s="77"/>
      <c r="AK480" s="76"/>
      <c r="AM480" s="77"/>
      <c r="AN480" s="76"/>
      <c r="AP480" s="77"/>
      <c r="AQ480" s="76"/>
      <c r="AS480" s="77"/>
      <c r="AT480" s="76"/>
      <c r="AV480" s="77"/>
    </row>
    <row r="481">
      <c r="K481" s="1"/>
      <c r="L481" s="2"/>
      <c r="M481" s="1"/>
      <c r="N481" s="1"/>
      <c r="O481" s="1"/>
      <c r="Y481" s="76"/>
      <c r="AA481" s="77"/>
      <c r="AB481" s="76"/>
      <c r="AD481" s="77"/>
      <c r="AE481" s="76"/>
      <c r="AG481" s="77"/>
      <c r="AH481" s="76"/>
      <c r="AJ481" s="77"/>
      <c r="AK481" s="76"/>
      <c r="AM481" s="77"/>
      <c r="AN481" s="76"/>
      <c r="AP481" s="77"/>
      <c r="AQ481" s="76"/>
      <c r="AS481" s="77"/>
      <c r="AT481" s="76"/>
      <c r="AV481" s="77"/>
    </row>
    <row r="482">
      <c r="K482" s="1"/>
      <c r="L482" s="2"/>
      <c r="M482" s="1"/>
      <c r="N482" s="1"/>
      <c r="O482" s="1"/>
      <c r="Y482" s="76"/>
      <c r="AA482" s="77"/>
      <c r="AB482" s="76"/>
      <c r="AD482" s="77"/>
      <c r="AE482" s="76"/>
      <c r="AG482" s="77"/>
      <c r="AH482" s="76"/>
      <c r="AJ482" s="77"/>
      <c r="AK482" s="76"/>
      <c r="AM482" s="77"/>
      <c r="AN482" s="76"/>
      <c r="AP482" s="77"/>
      <c r="AQ482" s="76"/>
      <c r="AS482" s="77"/>
      <c r="AT482" s="76"/>
      <c r="AV482" s="77"/>
    </row>
    <row r="483">
      <c r="K483" s="1"/>
      <c r="L483" s="2"/>
      <c r="M483" s="1"/>
      <c r="N483" s="1"/>
      <c r="O483" s="1"/>
      <c r="Y483" s="76"/>
      <c r="AA483" s="77"/>
      <c r="AB483" s="76"/>
      <c r="AD483" s="77"/>
      <c r="AE483" s="76"/>
      <c r="AG483" s="77"/>
      <c r="AH483" s="76"/>
      <c r="AJ483" s="77"/>
      <c r="AK483" s="76"/>
      <c r="AM483" s="77"/>
      <c r="AN483" s="76"/>
      <c r="AP483" s="77"/>
      <c r="AQ483" s="76"/>
      <c r="AS483" s="77"/>
      <c r="AT483" s="76"/>
      <c r="AV483" s="77"/>
    </row>
    <row r="484">
      <c r="K484" s="1"/>
      <c r="L484" s="2"/>
      <c r="M484" s="1"/>
      <c r="N484" s="1"/>
      <c r="O484" s="1"/>
      <c r="Y484" s="76"/>
      <c r="AA484" s="77"/>
      <c r="AB484" s="76"/>
      <c r="AD484" s="77"/>
      <c r="AE484" s="76"/>
      <c r="AG484" s="77"/>
      <c r="AH484" s="76"/>
      <c r="AJ484" s="77"/>
      <c r="AK484" s="76"/>
      <c r="AM484" s="77"/>
      <c r="AN484" s="76"/>
      <c r="AP484" s="77"/>
      <c r="AQ484" s="76"/>
      <c r="AS484" s="77"/>
      <c r="AT484" s="76"/>
      <c r="AV484" s="77"/>
    </row>
    <row r="485">
      <c r="K485" s="1"/>
      <c r="L485" s="2"/>
      <c r="M485" s="1"/>
      <c r="N485" s="1"/>
      <c r="O485" s="1"/>
      <c r="Y485" s="76"/>
      <c r="AA485" s="77"/>
      <c r="AB485" s="76"/>
      <c r="AD485" s="77"/>
      <c r="AE485" s="76"/>
      <c r="AG485" s="77"/>
      <c r="AH485" s="76"/>
      <c r="AJ485" s="77"/>
      <c r="AK485" s="76"/>
      <c r="AM485" s="77"/>
      <c r="AN485" s="76"/>
      <c r="AP485" s="77"/>
      <c r="AQ485" s="76"/>
      <c r="AS485" s="77"/>
      <c r="AT485" s="76"/>
      <c r="AV485" s="77"/>
    </row>
    <row r="486">
      <c r="K486" s="1"/>
      <c r="L486" s="2"/>
      <c r="M486" s="1"/>
      <c r="N486" s="1"/>
      <c r="O486" s="1"/>
      <c r="Y486" s="76"/>
      <c r="AA486" s="77"/>
      <c r="AB486" s="76"/>
      <c r="AD486" s="77"/>
      <c r="AE486" s="76"/>
      <c r="AG486" s="77"/>
      <c r="AH486" s="76"/>
      <c r="AJ486" s="77"/>
      <c r="AK486" s="76"/>
      <c r="AM486" s="77"/>
      <c r="AN486" s="76"/>
      <c r="AP486" s="77"/>
      <c r="AQ486" s="76"/>
      <c r="AS486" s="77"/>
      <c r="AT486" s="76"/>
      <c r="AV486" s="77"/>
    </row>
    <row r="487">
      <c r="K487" s="1"/>
      <c r="L487" s="2"/>
      <c r="M487" s="1"/>
      <c r="N487" s="1"/>
      <c r="O487" s="1"/>
      <c r="Y487" s="76"/>
      <c r="AA487" s="77"/>
      <c r="AB487" s="76"/>
      <c r="AD487" s="77"/>
      <c r="AE487" s="76"/>
      <c r="AG487" s="77"/>
      <c r="AH487" s="76"/>
      <c r="AJ487" s="77"/>
      <c r="AK487" s="76"/>
      <c r="AM487" s="77"/>
      <c r="AN487" s="76"/>
      <c r="AP487" s="77"/>
      <c r="AQ487" s="76"/>
      <c r="AS487" s="77"/>
      <c r="AT487" s="76"/>
      <c r="AV487" s="77"/>
    </row>
    <row r="488">
      <c r="K488" s="1"/>
      <c r="L488" s="2"/>
      <c r="M488" s="1"/>
      <c r="N488" s="1"/>
      <c r="O488" s="1"/>
      <c r="Y488" s="76"/>
      <c r="AA488" s="77"/>
      <c r="AB488" s="76"/>
      <c r="AD488" s="77"/>
      <c r="AE488" s="76"/>
      <c r="AG488" s="77"/>
      <c r="AH488" s="76"/>
      <c r="AJ488" s="77"/>
      <c r="AK488" s="76"/>
      <c r="AM488" s="77"/>
      <c r="AN488" s="76"/>
      <c r="AP488" s="77"/>
      <c r="AQ488" s="76"/>
      <c r="AS488" s="77"/>
      <c r="AT488" s="76"/>
      <c r="AV488" s="77"/>
    </row>
    <row r="489">
      <c r="K489" s="1"/>
      <c r="L489" s="2"/>
      <c r="M489" s="1"/>
      <c r="N489" s="1"/>
      <c r="O489" s="1"/>
      <c r="Y489" s="76"/>
      <c r="AA489" s="77"/>
      <c r="AB489" s="76"/>
      <c r="AD489" s="77"/>
      <c r="AE489" s="76"/>
      <c r="AG489" s="77"/>
      <c r="AH489" s="76"/>
      <c r="AJ489" s="77"/>
      <c r="AK489" s="76"/>
      <c r="AM489" s="77"/>
      <c r="AN489" s="76"/>
      <c r="AP489" s="77"/>
      <c r="AQ489" s="76"/>
      <c r="AS489" s="77"/>
      <c r="AT489" s="76"/>
      <c r="AV489" s="77"/>
    </row>
    <row r="490">
      <c r="K490" s="1"/>
      <c r="L490" s="2"/>
      <c r="M490" s="1"/>
      <c r="N490" s="1"/>
      <c r="O490" s="1"/>
      <c r="Y490" s="76"/>
      <c r="AA490" s="77"/>
      <c r="AB490" s="76"/>
      <c r="AD490" s="77"/>
      <c r="AE490" s="76"/>
      <c r="AG490" s="77"/>
      <c r="AH490" s="76"/>
      <c r="AJ490" s="77"/>
      <c r="AK490" s="76"/>
      <c r="AM490" s="77"/>
      <c r="AN490" s="76"/>
      <c r="AP490" s="77"/>
      <c r="AQ490" s="76"/>
      <c r="AS490" s="77"/>
      <c r="AT490" s="76"/>
      <c r="AV490" s="77"/>
    </row>
    <row r="491">
      <c r="K491" s="1"/>
      <c r="L491" s="2"/>
      <c r="M491" s="1"/>
      <c r="N491" s="1"/>
      <c r="O491" s="1"/>
      <c r="Y491" s="76"/>
      <c r="AA491" s="77"/>
      <c r="AB491" s="76"/>
      <c r="AD491" s="77"/>
      <c r="AE491" s="76"/>
      <c r="AG491" s="77"/>
      <c r="AH491" s="76"/>
      <c r="AJ491" s="77"/>
      <c r="AK491" s="76"/>
      <c r="AM491" s="77"/>
      <c r="AN491" s="76"/>
      <c r="AP491" s="77"/>
      <c r="AQ491" s="76"/>
      <c r="AS491" s="77"/>
      <c r="AT491" s="76"/>
      <c r="AV491" s="77"/>
    </row>
    <row r="492">
      <c r="K492" s="1"/>
      <c r="L492" s="2"/>
      <c r="M492" s="1"/>
      <c r="N492" s="1"/>
      <c r="O492" s="1"/>
      <c r="Y492" s="76"/>
      <c r="AA492" s="77"/>
      <c r="AB492" s="76"/>
      <c r="AD492" s="77"/>
      <c r="AE492" s="76"/>
      <c r="AG492" s="77"/>
      <c r="AH492" s="76"/>
      <c r="AJ492" s="77"/>
      <c r="AK492" s="76"/>
      <c r="AM492" s="77"/>
      <c r="AN492" s="76"/>
      <c r="AP492" s="77"/>
      <c r="AQ492" s="76"/>
      <c r="AS492" s="77"/>
      <c r="AT492" s="76"/>
      <c r="AV492" s="77"/>
    </row>
    <row r="493">
      <c r="K493" s="1"/>
      <c r="L493" s="2"/>
      <c r="M493" s="1"/>
      <c r="N493" s="1"/>
      <c r="O493" s="1"/>
      <c r="Y493" s="76"/>
      <c r="AA493" s="77"/>
      <c r="AB493" s="76"/>
      <c r="AD493" s="77"/>
      <c r="AE493" s="76"/>
      <c r="AG493" s="77"/>
      <c r="AH493" s="76"/>
      <c r="AJ493" s="77"/>
      <c r="AK493" s="76"/>
      <c r="AM493" s="77"/>
      <c r="AN493" s="76"/>
      <c r="AP493" s="77"/>
      <c r="AQ493" s="76"/>
      <c r="AS493" s="77"/>
      <c r="AT493" s="76"/>
      <c r="AV493" s="77"/>
    </row>
    <row r="494">
      <c r="K494" s="1"/>
      <c r="L494" s="2"/>
      <c r="M494" s="1"/>
      <c r="N494" s="1"/>
      <c r="O494" s="1"/>
      <c r="Y494" s="76"/>
      <c r="AA494" s="77"/>
      <c r="AB494" s="76"/>
      <c r="AD494" s="77"/>
      <c r="AE494" s="76"/>
      <c r="AG494" s="77"/>
      <c r="AH494" s="76"/>
      <c r="AJ494" s="77"/>
      <c r="AK494" s="76"/>
      <c r="AM494" s="77"/>
      <c r="AN494" s="76"/>
      <c r="AP494" s="77"/>
      <c r="AQ494" s="76"/>
      <c r="AS494" s="77"/>
      <c r="AT494" s="76"/>
      <c r="AV494" s="77"/>
    </row>
    <row r="495">
      <c r="K495" s="1"/>
      <c r="L495" s="2"/>
      <c r="M495" s="1"/>
      <c r="N495" s="1"/>
      <c r="O495" s="1"/>
      <c r="Y495" s="76"/>
      <c r="AA495" s="77"/>
      <c r="AB495" s="76"/>
      <c r="AD495" s="77"/>
      <c r="AE495" s="76"/>
      <c r="AG495" s="77"/>
      <c r="AH495" s="76"/>
      <c r="AJ495" s="77"/>
      <c r="AK495" s="76"/>
      <c r="AM495" s="77"/>
      <c r="AN495" s="76"/>
      <c r="AP495" s="77"/>
      <c r="AQ495" s="76"/>
      <c r="AS495" s="77"/>
      <c r="AT495" s="76"/>
      <c r="AV495" s="77"/>
    </row>
    <row r="496">
      <c r="K496" s="1"/>
      <c r="L496" s="2"/>
      <c r="M496" s="1"/>
      <c r="N496" s="1"/>
      <c r="O496" s="1"/>
      <c r="Y496" s="76"/>
      <c r="AA496" s="77"/>
      <c r="AB496" s="76"/>
      <c r="AD496" s="77"/>
      <c r="AE496" s="76"/>
      <c r="AG496" s="77"/>
      <c r="AH496" s="76"/>
      <c r="AJ496" s="77"/>
      <c r="AK496" s="76"/>
      <c r="AM496" s="77"/>
      <c r="AN496" s="76"/>
      <c r="AP496" s="77"/>
      <c r="AQ496" s="76"/>
      <c r="AS496" s="77"/>
      <c r="AT496" s="76"/>
      <c r="AV496" s="77"/>
    </row>
    <row r="497">
      <c r="K497" s="1"/>
      <c r="L497" s="2"/>
      <c r="M497" s="1"/>
      <c r="N497" s="1"/>
      <c r="O497" s="1"/>
      <c r="Y497" s="76"/>
      <c r="AA497" s="77"/>
      <c r="AB497" s="76"/>
      <c r="AD497" s="77"/>
      <c r="AE497" s="76"/>
      <c r="AG497" s="77"/>
      <c r="AH497" s="76"/>
      <c r="AJ497" s="77"/>
      <c r="AK497" s="76"/>
      <c r="AM497" s="77"/>
      <c r="AN497" s="76"/>
      <c r="AP497" s="77"/>
      <c r="AQ497" s="76"/>
      <c r="AS497" s="77"/>
      <c r="AT497" s="76"/>
      <c r="AV497" s="77"/>
    </row>
    <row r="498">
      <c r="K498" s="1"/>
      <c r="L498" s="2"/>
      <c r="M498" s="1"/>
      <c r="N498" s="1"/>
      <c r="O498" s="1"/>
      <c r="Y498" s="76"/>
      <c r="AA498" s="77"/>
      <c r="AB498" s="76"/>
      <c r="AD498" s="77"/>
      <c r="AE498" s="76"/>
      <c r="AG498" s="77"/>
      <c r="AH498" s="76"/>
      <c r="AJ498" s="77"/>
      <c r="AK498" s="76"/>
      <c r="AM498" s="77"/>
      <c r="AN498" s="76"/>
      <c r="AP498" s="77"/>
      <c r="AQ498" s="76"/>
      <c r="AS498" s="77"/>
      <c r="AT498" s="76"/>
      <c r="AV498" s="77"/>
    </row>
    <row r="499">
      <c r="K499" s="1"/>
      <c r="L499" s="2"/>
      <c r="M499" s="1"/>
      <c r="N499" s="1"/>
      <c r="O499" s="1"/>
      <c r="Y499" s="76"/>
      <c r="AA499" s="77"/>
      <c r="AB499" s="76"/>
      <c r="AD499" s="77"/>
      <c r="AE499" s="76"/>
      <c r="AG499" s="77"/>
      <c r="AH499" s="76"/>
      <c r="AJ499" s="77"/>
      <c r="AK499" s="76"/>
      <c r="AM499" s="77"/>
      <c r="AN499" s="76"/>
      <c r="AP499" s="77"/>
      <c r="AQ499" s="76"/>
      <c r="AS499" s="77"/>
      <c r="AT499" s="76"/>
      <c r="AV499" s="77"/>
    </row>
    <row r="500">
      <c r="K500" s="1"/>
      <c r="L500" s="2"/>
      <c r="M500" s="1"/>
      <c r="N500" s="1"/>
      <c r="O500" s="1"/>
      <c r="Y500" s="76"/>
      <c r="AA500" s="77"/>
      <c r="AB500" s="76"/>
      <c r="AD500" s="77"/>
      <c r="AE500" s="76"/>
      <c r="AG500" s="77"/>
      <c r="AH500" s="76"/>
      <c r="AJ500" s="77"/>
      <c r="AK500" s="76"/>
      <c r="AM500" s="77"/>
      <c r="AN500" s="76"/>
      <c r="AP500" s="77"/>
      <c r="AQ500" s="76"/>
      <c r="AS500" s="77"/>
      <c r="AT500" s="76"/>
      <c r="AV500" s="77"/>
    </row>
    <row r="501">
      <c r="K501" s="1"/>
      <c r="L501" s="2"/>
      <c r="M501" s="1"/>
      <c r="N501" s="1"/>
      <c r="O501" s="1"/>
      <c r="Y501" s="76"/>
      <c r="AA501" s="77"/>
      <c r="AB501" s="76"/>
      <c r="AD501" s="77"/>
      <c r="AE501" s="76"/>
      <c r="AG501" s="77"/>
      <c r="AH501" s="76"/>
      <c r="AJ501" s="77"/>
      <c r="AK501" s="76"/>
      <c r="AM501" s="77"/>
      <c r="AN501" s="76"/>
      <c r="AP501" s="77"/>
      <c r="AQ501" s="76"/>
      <c r="AS501" s="77"/>
      <c r="AT501" s="76"/>
      <c r="AV501" s="77"/>
    </row>
    <row r="502">
      <c r="K502" s="1"/>
      <c r="L502" s="2"/>
      <c r="M502" s="1"/>
      <c r="N502" s="1"/>
      <c r="O502" s="1"/>
      <c r="Y502" s="76"/>
      <c r="AA502" s="77"/>
      <c r="AB502" s="76"/>
      <c r="AD502" s="77"/>
      <c r="AE502" s="76"/>
      <c r="AG502" s="77"/>
      <c r="AH502" s="76"/>
      <c r="AJ502" s="77"/>
      <c r="AK502" s="76"/>
      <c r="AM502" s="77"/>
      <c r="AN502" s="76"/>
      <c r="AP502" s="77"/>
      <c r="AQ502" s="76"/>
      <c r="AS502" s="77"/>
      <c r="AT502" s="76"/>
      <c r="AV502" s="77"/>
    </row>
    <row r="503">
      <c r="K503" s="1"/>
      <c r="L503" s="2"/>
      <c r="M503" s="1"/>
      <c r="N503" s="1"/>
      <c r="O503" s="1"/>
      <c r="Y503" s="76"/>
      <c r="AA503" s="77"/>
      <c r="AB503" s="76"/>
      <c r="AD503" s="77"/>
      <c r="AE503" s="76"/>
      <c r="AG503" s="77"/>
      <c r="AH503" s="76"/>
      <c r="AJ503" s="77"/>
      <c r="AK503" s="76"/>
      <c r="AM503" s="77"/>
      <c r="AN503" s="76"/>
      <c r="AP503" s="77"/>
      <c r="AQ503" s="76"/>
      <c r="AS503" s="77"/>
      <c r="AT503" s="76"/>
      <c r="AV503" s="77"/>
    </row>
    <row r="504">
      <c r="K504" s="1"/>
      <c r="L504" s="2"/>
      <c r="M504" s="1"/>
      <c r="N504" s="1"/>
      <c r="O504" s="1"/>
      <c r="Y504" s="76"/>
      <c r="AA504" s="77"/>
      <c r="AB504" s="76"/>
      <c r="AD504" s="77"/>
      <c r="AE504" s="76"/>
      <c r="AG504" s="77"/>
      <c r="AH504" s="76"/>
      <c r="AJ504" s="77"/>
      <c r="AK504" s="76"/>
      <c r="AM504" s="77"/>
      <c r="AN504" s="76"/>
      <c r="AP504" s="77"/>
      <c r="AQ504" s="76"/>
      <c r="AS504" s="77"/>
      <c r="AT504" s="76"/>
      <c r="AV504" s="77"/>
    </row>
    <row r="505">
      <c r="K505" s="1"/>
      <c r="L505" s="2"/>
      <c r="M505" s="1"/>
      <c r="N505" s="1"/>
      <c r="O505" s="1"/>
      <c r="Y505" s="76"/>
      <c r="AA505" s="77"/>
      <c r="AB505" s="76"/>
      <c r="AD505" s="77"/>
      <c r="AE505" s="76"/>
      <c r="AG505" s="77"/>
      <c r="AH505" s="76"/>
      <c r="AJ505" s="77"/>
      <c r="AK505" s="76"/>
      <c r="AM505" s="77"/>
      <c r="AN505" s="76"/>
      <c r="AP505" s="77"/>
      <c r="AQ505" s="76"/>
      <c r="AS505" s="77"/>
      <c r="AT505" s="76"/>
      <c r="AV505" s="77"/>
    </row>
    <row r="506">
      <c r="K506" s="1"/>
      <c r="L506" s="2"/>
      <c r="M506" s="1"/>
      <c r="N506" s="1"/>
      <c r="O506" s="1"/>
      <c r="Y506" s="76"/>
      <c r="AA506" s="77"/>
      <c r="AB506" s="76"/>
      <c r="AD506" s="77"/>
      <c r="AE506" s="76"/>
      <c r="AG506" s="77"/>
      <c r="AH506" s="76"/>
      <c r="AJ506" s="77"/>
      <c r="AK506" s="76"/>
      <c r="AM506" s="77"/>
      <c r="AN506" s="76"/>
      <c r="AP506" s="77"/>
      <c r="AQ506" s="76"/>
      <c r="AS506" s="77"/>
      <c r="AT506" s="76"/>
      <c r="AV506" s="77"/>
    </row>
    <row r="507">
      <c r="K507" s="1"/>
      <c r="L507" s="2"/>
      <c r="M507" s="1"/>
      <c r="N507" s="1"/>
      <c r="O507" s="1"/>
      <c r="Y507" s="76"/>
      <c r="AA507" s="77"/>
      <c r="AB507" s="76"/>
      <c r="AD507" s="77"/>
      <c r="AE507" s="76"/>
      <c r="AG507" s="77"/>
      <c r="AH507" s="76"/>
      <c r="AJ507" s="77"/>
      <c r="AK507" s="76"/>
      <c r="AM507" s="77"/>
      <c r="AN507" s="76"/>
      <c r="AP507" s="77"/>
      <c r="AQ507" s="76"/>
      <c r="AS507" s="77"/>
      <c r="AT507" s="76"/>
      <c r="AV507" s="77"/>
    </row>
    <row r="508">
      <c r="K508" s="1"/>
      <c r="L508" s="2"/>
      <c r="M508" s="1"/>
      <c r="N508" s="1"/>
      <c r="O508" s="1"/>
      <c r="Y508" s="76"/>
      <c r="AA508" s="77"/>
      <c r="AB508" s="76"/>
      <c r="AD508" s="77"/>
      <c r="AE508" s="76"/>
      <c r="AG508" s="77"/>
      <c r="AH508" s="76"/>
      <c r="AJ508" s="77"/>
      <c r="AK508" s="76"/>
      <c r="AM508" s="77"/>
      <c r="AN508" s="76"/>
      <c r="AP508" s="77"/>
      <c r="AQ508" s="76"/>
      <c r="AS508" s="77"/>
      <c r="AT508" s="76"/>
      <c r="AV508" s="77"/>
    </row>
    <row r="509">
      <c r="K509" s="1"/>
      <c r="L509" s="2"/>
      <c r="M509" s="1"/>
      <c r="N509" s="1"/>
      <c r="O509" s="1"/>
      <c r="Y509" s="76"/>
      <c r="AA509" s="77"/>
      <c r="AB509" s="76"/>
      <c r="AD509" s="77"/>
      <c r="AE509" s="76"/>
      <c r="AG509" s="77"/>
      <c r="AH509" s="76"/>
      <c r="AJ509" s="77"/>
      <c r="AK509" s="76"/>
      <c r="AM509" s="77"/>
      <c r="AN509" s="76"/>
      <c r="AP509" s="77"/>
      <c r="AQ509" s="76"/>
      <c r="AS509" s="77"/>
      <c r="AT509" s="76"/>
      <c r="AV509" s="77"/>
    </row>
    <row r="510">
      <c r="K510" s="1"/>
      <c r="L510" s="2"/>
      <c r="M510" s="1"/>
      <c r="N510" s="1"/>
      <c r="O510" s="1"/>
      <c r="Y510" s="76"/>
      <c r="AA510" s="77"/>
      <c r="AB510" s="76"/>
      <c r="AD510" s="77"/>
      <c r="AE510" s="76"/>
      <c r="AG510" s="77"/>
      <c r="AH510" s="76"/>
      <c r="AJ510" s="77"/>
      <c r="AK510" s="76"/>
      <c r="AM510" s="77"/>
      <c r="AN510" s="76"/>
      <c r="AP510" s="77"/>
      <c r="AQ510" s="76"/>
      <c r="AS510" s="77"/>
      <c r="AT510" s="76"/>
      <c r="AV510" s="77"/>
    </row>
    <row r="511">
      <c r="K511" s="1"/>
      <c r="L511" s="2"/>
      <c r="M511" s="1"/>
      <c r="N511" s="1"/>
      <c r="O511" s="1"/>
      <c r="Y511" s="76"/>
      <c r="AA511" s="77"/>
      <c r="AB511" s="76"/>
      <c r="AD511" s="77"/>
      <c r="AE511" s="76"/>
      <c r="AG511" s="77"/>
      <c r="AH511" s="76"/>
      <c r="AJ511" s="77"/>
      <c r="AK511" s="76"/>
      <c r="AM511" s="77"/>
      <c r="AN511" s="76"/>
      <c r="AP511" s="77"/>
      <c r="AQ511" s="76"/>
      <c r="AS511" s="77"/>
      <c r="AT511" s="76"/>
      <c r="AV511" s="77"/>
    </row>
    <row r="512">
      <c r="K512" s="1"/>
      <c r="L512" s="2"/>
      <c r="M512" s="1"/>
      <c r="N512" s="1"/>
      <c r="O512" s="1"/>
      <c r="Y512" s="76"/>
      <c r="AA512" s="77"/>
      <c r="AB512" s="76"/>
      <c r="AD512" s="77"/>
      <c r="AE512" s="76"/>
      <c r="AG512" s="77"/>
      <c r="AH512" s="76"/>
      <c r="AJ512" s="77"/>
      <c r="AK512" s="76"/>
      <c r="AM512" s="77"/>
      <c r="AN512" s="76"/>
      <c r="AP512" s="77"/>
      <c r="AQ512" s="76"/>
      <c r="AS512" s="77"/>
      <c r="AT512" s="76"/>
      <c r="AV512" s="77"/>
    </row>
    <row r="513">
      <c r="K513" s="1"/>
      <c r="L513" s="2"/>
      <c r="M513" s="1"/>
      <c r="N513" s="1"/>
      <c r="O513" s="1"/>
      <c r="Y513" s="76"/>
      <c r="AA513" s="77"/>
      <c r="AB513" s="76"/>
      <c r="AD513" s="77"/>
      <c r="AE513" s="76"/>
      <c r="AG513" s="77"/>
      <c r="AH513" s="76"/>
      <c r="AJ513" s="77"/>
      <c r="AK513" s="76"/>
      <c r="AM513" s="77"/>
      <c r="AN513" s="76"/>
      <c r="AP513" s="77"/>
      <c r="AQ513" s="76"/>
      <c r="AS513" s="77"/>
      <c r="AT513" s="76"/>
      <c r="AV513" s="77"/>
    </row>
    <row r="514">
      <c r="K514" s="1"/>
      <c r="L514" s="2"/>
      <c r="M514" s="1"/>
      <c r="N514" s="1"/>
      <c r="O514" s="1"/>
      <c r="Y514" s="76"/>
      <c r="AA514" s="77"/>
      <c r="AB514" s="76"/>
      <c r="AD514" s="77"/>
      <c r="AE514" s="76"/>
      <c r="AG514" s="77"/>
      <c r="AH514" s="76"/>
      <c r="AJ514" s="77"/>
      <c r="AK514" s="76"/>
      <c r="AM514" s="77"/>
      <c r="AN514" s="76"/>
      <c r="AP514" s="77"/>
      <c r="AQ514" s="76"/>
      <c r="AS514" s="77"/>
      <c r="AT514" s="76"/>
      <c r="AV514" s="77"/>
    </row>
    <row r="515">
      <c r="K515" s="1"/>
      <c r="L515" s="2"/>
      <c r="M515" s="1"/>
      <c r="N515" s="1"/>
      <c r="O515" s="1"/>
      <c r="Y515" s="76"/>
      <c r="AA515" s="77"/>
      <c r="AB515" s="76"/>
      <c r="AD515" s="77"/>
      <c r="AE515" s="76"/>
      <c r="AG515" s="77"/>
      <c r="AH515" s="76"/>
      <c r="AJ515" s="77"/>
      <c r="AK515" s="76"/>
      <c r="AM515" s="77"/>
      <c r="AN515" s="76"/>
      <c r="AP515" s="77"/>
      <c r="AQ515" s="76"/>
      <c r="AS515" s="77"/>
      <c r="AT515" s="76"/>
      <c r="AV515" s="77"/>
    </row>
    <row r="516">
      <c r="K516" s="1"/>
      <c r="L516" s="2"/>
      <c r="M516" s="1"/>
      <c r="N516" s="1"/>
      <c r="O516" s="1"/>
      <c r="Y516" s="76"/>
      <c r="AA516" s="77"/>
      <c r="AB516" s="76"/>
      <c r="AD516" s="77"/>
      <c r="AE516" s="76"/>
      <c r="AG516" s="77"/>
      <c r="AH516" s="76"/>
      <c r="AJ516" s="77"/>
      <c r="AK516" s="76"/>
      <c r="AM516" s="77"/>
      <c r="AN516" s="76"/>
      <c r="AP516" s="77"/>
      <c r="AQ516" s="76"/>
      <c r="AS516" s="77"/>
      <c r="AT516" s="76"/>
      <c r="AV516" s="77"/>
    </row>
    <row r="517">
      <c r="K517" s="1"/>
      <c r="L517" s="2"/>
      <c r="M517" s="1"/>
      <c r="N517" s="1"/>
      <c r="O517" s="1"/>
      <c r="Y517" s="76"/>
      <c r="AA517" s="77"/>
      <c r="AB517" s="76"/>
      <c r="AD517" s="77"/>
      <c r="AE517" s="76"/>
      <c r="AG517" s="77"/>
      <c r="AH517" s="76"/>
      <c r="AJ517" s="77"/>
      <c r="AK517" s="76"/>
      <c r="AM517" s="77"/>
      <c r="AN517" s="76"/>
      <c r="AP517" s="77"/>
      <c r="AQ517" s="76"/>
      <c r="AS517" s="77"/>
      <c r="AT517" s="76"/>
      <c r="AV517" s="77"/>
    </row>
    <row r="518">
      <c r="K518" s="1"/>
      <c r="L518" s="2"/>
      <c r="M518" s="1"/>
      <c r="N518" s="1"/>
      <c r="O518" s="1"/>
      <c r="Y518" s="76"/>
      <c r="AA518" s="77"/>
      <c r="AB518" s="76"/>
      <c r="AD518" s="77"/>
      <c r="AE518" s="76"/>
      <c r="AG518" s="77"/>
      <c r="AH518" s="76"/>
      <c r="AJ518" s="77"/>
      <c r="AK518" s="76"/>
      <c r="AM518" s="77"/>
      <c r="AN518" s="76"/>
      <c r="AP518" s="77"/>
      <c r="AQ518" s="76"/>
      <c r="AS518" s="77"/>
      <c r="AT518" s="76"/>
      <c r="AV518" s="77"/>
    </row>
    <row r="519">
      <c r="K519" s="1"/>
      <c r="L519" s="2"/>
      <c r="M519" s="1"/>
      <c r="N519" s="1"/>
      <c r="O519" s="1"/>
      <c r="Y519" s="76"/>
      <c r="AA519" s="77"/>
      <c r="AB519" s="76"/>
      <c r="AD519" s="77"/>
      <c r="AE519" s="76"/>
      <c r="AG519" s="77"/>
      <c r="AH519" s="76"/>
      <c r="AJ519" s="77"/>
      <c r="AK519" s="76"/>
      <c r="AM519" s="77"/>
      <c r="AN519" s="76"/>
      <c r="AP519" s="77"/>
      <c r="AQ519" s="76"/>
      <c r="AS519" s="77"/>
      <c r="AT519" s="76"/>
      <c r="AV519" s="77"/>
    </row>
    <row r="520">
      <c r="K520" s="1"/>
      <c r="L520" s="2"/>
      <c r="M520" s="1"/>
      <c r="N520" s="1"/>
      <c r="O520" s="1"/>
      <c r="Y520" s="76"/>
      <c r="AA520" s="77"/>
      <c r="AB520" s="76"/>
      <c r="AD520" s="77"/>
      <c r="AE520" s="76"/>
      <c r="AG520" s="77"/>
      <c r="AH520" s="76"/>
      <c r="AJ520" s="77"/>
      <c r="AK520" s="76"/>
      <c r="AM520" s="77"/>
      <c r="AN520" s="76"/>
      <c r="AP520" s="77"/>
      <c r="AQ520" s="76"/>
      <c r="AS520" s="77"/>
      <c r="AT520" s="76"/>
      <c r="AV520" s="77"/>
    </row>
    <row r="521">
      <c r="K521" s="1"/>
      <c r="L521" s="2"/>
      <c r="M521" s="1"/>
      <c r="N521" s="1"/>
      <c r="O521" s="1"/>
      <c r="Y521" s="76"/>
      <c r="AA521" s="77"/>
      <c r="AB521" s="76"/>
      <c r="AD521" s="77"/>
      <c r="AE521" s="76"/>
      <c r="AG521" s="77"/>
      <c r="AH521" s="76"/>
      <c r="AJ521" s="77"/>
      <c r="AK521" s="76"/>
      <c r="AM521" s="77"/>
      <c r="AN521" s="76"/>
      <c r="AP521" s="77"/>
      <c r="AQ521" s="76"/>
      <c r="AS521" s="77"/>
      <c r="AT521" s="76"/>
      <c r="AV521" s="77"/>
    </row>
    <row r="522">
      <c r="K522" s="1"/>
      <c r="L522" s="2"/>
      <c r="M522" s="1"/>
      <c r="N522" s="1"/>
      <c r="O522" s="1"/>
      <c r="Y522" s="76"/>
      <c r="AA522" s="77"/>
      <c r="AB522" s="76"/>
      <c r="AD522" s="77"/>
      <c r="AE522" s="76"/>
      <c r="AG522" s="77"/>
      <c r="AH522" s="76"/>
      <c r="AJ522" s="77"/>
      <c r="AK522" s="76"/>
      <c r="AM522" s="77"/>
      <c r="AN522" s="76"/>
      <c r="AP522" s="77"/>
      <c r="AQ522" s="76"/>
      <c r="AS522" s="77"/>
      <c r="AT522" s="76"/>
      <c r="AV522" s="77"/>
    </row>
    <row r="523">
      <c r="K523" s="1"/>
      <c r="L523" s="2"/>
      <c r="M523" s="1"/>
      <c r="N523" s="1"/>
      <c r="O523" s="1"/>
      <c r="Y523" s="76"/>
      <c r="AA523" s="77"/>
      <c r="AB523" s="76"/>
      <c r="AD523" s="77"/>
      <c r="AE523" s="76"/>
      <c r="AG523" s="77"/>
      <c r="AH523" s="76"/>
      <c r="AJ523" s="77"/>
      <c r="AK523" s="76"/>
      <c r="AM523" s="77"/>
      <c r="AN523" s="76"/>
      <c r="AP523" s="77"/>
      <c r="AQ523" s="76"/>
      <c r="AS523" s="77"/>
      <c r="AT523" s="76"/>
      <c r="AV523" s="77"/>
    </row>
    <row r="524">
      <c r="K524" s="1"/>
      <c r="L524" s="2"/>
      <c r="M524" s="1"/>
      <c r="N524" s="1"/>
      <c r="O524" s="1"/>
      <c r="Y524" s="76"/>
      <c r="AA524" s="77"/>
      <c r="AB524" s="76"/>
      <c r="AD524" s="77"/>
      <c r="AE524" s="76"/>
      <c r="AG524" s="77"/>
      <c r="AH524" s="76"/>
      <c r="AJ524" s="77"/>
      <c r="AK524" s="76"/>
      <c r="AM524" s="77"/>
      <c r="AN524" s="76"/>
      <c r="AP524" s="77"/>
      <c r="AQ524" s="76"/>
      <c r="AS524" s="77"/>
      <c r="AT524" s="76"/>
      <c r="AV524" s="77"/>
    </row>
    <row r="525">
      <c r="K525" s="1"/>
      <c r="L525" s="2"/>
      <c r="M525" s="1"/>
      <c r="N525" s="1"/>
      <c r="O525" s="1"/>
      <c r="Y525" s="76"/>
      <c r="AA525" s="77"/>
      <c r="AB525" s="76"/>
      <c r="AD525" s="77"/>
      <c r="AE525" s="76"/>
      <c r="AG525" s="77"/>
      <c r="AH525" s="76"/>
      <c r="AJ525" s="77"/>
      <c r="AK525" s="76"/>
      <c r="AM525" s="77"/>
      <c r="AN525" s="76"/>
      <c r="AP525" s="77"/>
      <c r="AQ525" s="76"/>
      <c r="AS525" s="77"/>
      <c r="AT525" s="76"/>
      <c r="AV525" s="77"/>
    </row>
    <row r="526">
      <c r="K526" s="1"/>
      <c r="L526" s="2"/>
      <c r="M526" s="1"/>
      <c r="N526" s="1"/>
      <c r="O526" s="1"/>
      <c r="Y526" s="76"/>
      <c r="AA526" s="77"/>
      <c r="AB526" s="76"/>
      <c r="AD526" s="77"/>
      <c r="AE526" s="76"/>
      <c r="AG526" s="77"/>
      <c r="AH526" s="76"/>
      <c r="AJ526" s="77"/>
      <c r="AK526" s="76"/>
      <c r="AM526" s="77"/>
      <c r="AN526" s="76"/>
      <c r="AP526" s="77"/>
      <c r="AQ526" s="76"/>
      <c r="AS526" s="77"/>
      <c r="AT526" s="76"/>
      <c r="AV526" s="77"/>
    </row>
    <row r="527">
      <c r="K527" s="1"/>
      <c r="L527" s="2"/>
      <c r="M527" s="1"/>
      <c r="N527" s="1"/>
      <c r="O527" s="1"/>
      <c r="Y527" s="76"/>
      <c r="AA527" s="77"/>
      <c r="AB527" s="76"/>
      <c r="AD527" s="77"/>
      <c r="AE527" s="76"/>
      <c r="AG527" s="77"/>
      <c r="AH527" s="76"/>
      <c r="AJ527" s="77"/>
      <c r="AK527" s="76"/>
      <c r="AM527" s="77"/>
      <c r="AN527" s="76"/>
      <c r="AP527" s="77"/>
      <c r="AQ527" s="76"/>
      <c r="AS527" s="77"/>
      <c r="AT527" s="76"/>
      <c r="AV527" s="77"/>
    </row>
    <row r="528">
      <c r="K528" s="1"/>
      <c r="L528" s="2"/>
      <c r="M528" s="1"/>
      <c r="N528" s="1"/>
      <c r="O528" s="1"/>
      <c r="Y528" s="76"/>
      <c r="AA528" s="77"/>
      <c r="AB528" s="76"/>
      <c r="AD528" s="77"/>
      <c r="AE528" s="76"/>
      <c r="AG528" s="77"/>
      <c r="AH528" s="76"/>
      <c r="AJ528" s="77"/>
      <c r="AK528" s="76"/>
      <c r="AM528" s="77"/>
      <c r="AN528" s="76"/>
      <c r="AP528" s="77"/>
      <c r="AQ528" s="76"/>
      <c r="AS528" s="77"/>
      <c r="AT528" s="76"/>
      <c r="AV528" s="77"/>
    </row>
    <row r="529">
      <c r="K529" s="1"/>
      <c r="L529" s="2"/>
      <c r="M529" s="1"/>
      <c r="N529" s="1"/>
      <c r="O529" s="1"/>
      <c r="Y529" s="76"/>
      <c r="AA529" s="77"/>
      <c r="AB529" s="76"/>
      <c r="AD529" s="77"/>
      <c r="AE529" s="76"/>
      <c r="AG529" s="77"/>
      <c r="AH529" s="76"/>
      <c r="AJ529" s="77"/>
      <c r="AK529" s="76"/>
      <c r="AM529" s="77"/>
      <c r="AN529" s="76"/>
      <c r="AP529" s="77"/>
      <c r="AQ529" s="76"/>
      <c r="AS529" s="77"/>
      <c r="AT529" s="76"/>
      <c r="AV529" s="77"/>
    </row>
    <row r="530">
      <c r="K530" s="1"/>
      <c r="L530" s="2"/>
      <c r="M530" s="1"/>
      <c r="N530" s="1"/>
      <c r="O530" s="1"/>
      <c r="Y530" s="76"/>
      <c r="AA530" s="77"/>
      <c r="AB530" s="76"/>
      <c r="AD530" s="77"/>
      <c r="AE530" s="76"/>
      <c r="AG530" s="77"/>
      <c r="AH530" s="76"/>
      <c r="AJ530" s="77"/>
      <c r="AK530" s="76"/>
      <c r="AM530" s="77"/>
      <c r="AN530" s="76"/>
      <c r="AP530" s="77"/>
      <c r="AQ530" s="76"/>
      <c r="AS530" s="77"/>
      <c r="AT530" s="76"/>
      <c r="AV530" s="77"/>
    </row>
    <row r="531">
      <c r="K531" s="1"/>
      <c r="L531" s="2"/>
      <c r="M531" s="1"/>
      <c r="N531" s="1"/>
      <c r="O531" s="1"/>
      <c r="Y531" s="76"/>
      <c r="AA531" s="77"/>
      <c r="AB531" s="76"/>
      <c r="AD531" s="77"/>
      <c r="AE531" s="76"/>
      <c r="AG531" s="77"/>
      <c r="AH531" s="76"/>
      <c r="AJ531" s="77"/>
      <c r="AK531" s="76"/>
      <c r="AM531" s="77"/>
      <c r="AN531" s="76"/>
      <c r="AP531" s="77"/>
      <c r="AQ531" s="76"/>
      <c r="AS531" s="77"/>
      <c r="AT531" s="76"/>
      <c r="AV531" s="77"/>
    </row>
    <row r="532">
      <c r="K532" s="1"/>
      <c r="L532" s="2"/>
      <c r="M532" s="1"/>
      <c r="N532" s="1"/>
      <c r="O532" s="1"/>
      <c r="Y532" s="76"/>
      <c r="AA532" s="77"/>
      <c r="AB532" s="76"/>
      <c r="AD532" s="77"/>
      <c r="AE532" s="76"/>
      <c r="AG532" s="77"/>
      <c r="AH532" s="76"/>
      <c r="AJ532" s="77"/>
      <c r="AK532" s="76"/>
      <c r="AM532" s="77"/>
      <c r="AN532" s="76"/>
      <c r="AP532" s="77"/>
      <c r="AQ532" s="76"/>
      <c r="AS532" s="77"/>
      <c r="AT532" s="76"/>
      <c r="AV532" s="77"/>
    </row>
    <row r="533">
      <c r="K533" s="1"/>
      <c r="L533" s="2"/>
      <c r="M533" s="1"/>
      <c r="N533" s="1"/>
      <c r="O533" s="1"/>
      <c r="Y533" s="76"/>
      <c r="AA533" s="77"/>
      <c r="AB533" s="76"/>
      <c r="AD533" s="77"/>
      <c r="AE533" s="76"/>
      <c r="AG533" s="77"/>
      <c r="AH533" s="76"/>
      <c r="AJ533" s="77"/>
      <c r="AK533" s="76"/>
      <c r="AM533" s="77"/>
      <c r="AN533" s="76"/>
      <c r="AP533" s="77"/>
      <c r="AQ533" s="76"/>
      <c r="AS533" s="77"/>
      <c r="AT533" s="76"/>
      <c r="AV533" s="77"/>
    </row>
    <row r="534">
      <c r="K534" s="1"/>
      <c r="L534" s="2"/>
      <c r="M534" s="1"/>
      <c r="N534" s="1"/>
      <c r="O534" s="1"/>
      <c r="Y534" s="76"/>
      <c r="AA534" s="77"/>
      <c r="AB534" s="76"/>
      <c r="AD534" s="77"/>
      <c r="AE534" s="76"/>
      <c r="AG534" s="77"/>
      <c r="AH534" s="76"/>
      <c r="AJ534" s="77"/>
      <c r="AK534" s="76"/>
      <c r="AM534" s="77"/>
      <c r="AN534" s="76"/>
      <c r="AP534" s="77"/>
      <c r="AQ534" s="76"/>
      <c r="AS534" s="77"/>
      <c r="AT534" s="76"/>
      <c r="AV534" s="77"/>
    </row>
    <row r="535">
      <c r="K535" s="1"/>
      <c r="L535" s="2"/>
      <c r="M535" s="1"/>
      <c r="N535" s="1"/>
      <c r="O535" s="1"/>
      <c r="Y535" s="76"/>
      <c r="AA535" s="77"/>
      <c r="AB535" s="76"/>
      <c r="AD535" s="77"/>
      <c r="AE535" s="76"/>
      <c r="AG535" s="77"/>
      <c r="AH535" s="76"/>
      <c r="AJ535" s="77"/>
      <c r="AK535" s="76"/>
      <c r="AM535" s="77"/>
      <c r="AN535" s="76"/>
      <c r="AP535" s="77"/>
      <c r="AQ535" s="76"/>
      <c r="AS535" s="77"/>
      <c r="AT535" s="76"/>
      <c r="AV535" s="77"/>
    </row>
    <row r="536">
      <c r="K536" s="1"/>
      <c r="L536" s="2"/>
      <c r="M536" s="1"/>
      <c r="N536" s="1"/>
      <c r="O536" s="1"/>
      <c r="Y536" s="76"/>
      <c r="AA536" s="77"/>
      <c r="AB536" s="76"/>
      <c r="AD536" s="77"/>
      <c r="AE536" s="76"/>
      <c r="AG536" s="77"/>
      <c r="AH536" s="76"/>
      <c r="AJ536" s="77"/>
      <c r="AK536" s="76"/>
      <c r="AM536" s="77"/>
      <c r="AN536" s="76"/>
      <c r="AP536" s="77"/>
      <c r="AQ536" s="76"/>
      <c r="AS536" s="77"/>
      <c r="AT536" s="76"/>
      <c r="AV536" s="77"/>
    </row>
    <row r="537">
      <c r="K537" s="1"/>
      <c r="L537" s="2"/>
      <c r="M537" s="1"/>
      <c r="N537" s="1"/>
      <c r="O537" s="1"/>
      <c r="Y537" s="76"/>
      <c r="AA537" s="77"/>
      <c r="AB537" s="76"/>
      <c r="AD537" s="77"/>
      <c r="AE537" s="76"/>
      <c r="AG537" s="77"/>
      <c r="AH537" s="76"/>
      <c r="AJ537" s="77"/>
      <c r="AK537" s="76"/>
      <c r="AM537" s="77"/>
      <c r="AN537" s="76"/>
      <c r="AP537" s="77"/>
      <c r="AQ537" s="76"/>
      <c r="AS537" s="77"/>
      <c r="AT537" s="76"/>
      <c r="AV537" s="77"/>
    </row>
    <row r="538">
      <c r="K538" s="1"/>
      <c r="L538" s="2"/>
      <c r="M538" s="1"/>
      <c r="N538" s="1"/>
      <c r="O538" s="1"/>
      <c r="Y538" s="76"/>
      <c r="AA538" s="77"/>
      <c r="AB538" s="76"/>
      <c r="AD538" s="77"/>
      <c r="AE538" s="76"/>
      <c r="AG538" s="77"/>
      <c r="AH538" s="76"/>
      <c r="AJ538" s="77"/>
      <c r="AK538" s="76"/>
      <c r="AM538" s="77"/>
      <c r="AN538" s="76"/>
      <c r="AP538" s="77"/>
      <c r="AQ538" s="76"/>
      <c r="AS538" s="77"/>
      <c r="AT538" s="76"/>
      <c r="AV538" s="77"/>
    </row>
    <row r="539">
      <c r="K539" s="1"/>
      <c r="L539" s="2"/>
      <c r="M539" s="1"/>
      <c r="N539" s="1"/>
      <c r="O539" s="1"/>
      <c r="Y539" s="76"/>
      <c r="AA539" s="77"/>
      <c r="AB539" s="76"/>
      <c r="AD539" s="77"/>
      <c r="AE539" s="76"/>
      <c r="AG539" s="77"/>
      <c r="AH539" s="76"/>
      <c r="AJ539" s="77"/>
      <c r="AK539" s="76"/>
      <c r="AM539" s="77"/>
      <c r="AN539" s="76"/>
      <c r="AP539" s="77"/>
      <c r="AQ539" s="76"/>
      <c r="AS539" s="77"/>
      <c r="AT539" s="76"/>
      <c r="AV539" s="77"/>
    </row>
    <row r="540">
      <c r="K540" s="1"/>
      <c r="L540" s="2"/>
      <c r="M540" s="1"/>
      <c r="N540" s="1"/>
      <c r="O540" s="1"/>
      <c r="Y540" s="76"/>
      <c r="AA540" s="77"/>
      <c r="AB540" s="76"/>
      <c r="AD540" s="77"/>
      <c r="AE540" s="76"/>
      <c r="AG540" s="77"/>
      <c r="AH540" s="76"/>
      <c r="AJ540" s="77"/>
      <c r="AK540" s="76"/>
      <c r="AM540" s="77"/>
      <c r="AN540" s="76"/>
      <c r="AP540" s="77"/>
      <c r="AQ540" s="76"/>
      <c r="AS540" s="77"/>
      <c r="AT540" s="76"/>
      <c r="AV540" s="77"/>
    </row>
    <row r="541">
      <c r="K541" s="1"/>
      <c r="L541" s="2"/>
      <c r="M541" s="1"/>
      <c r="N541" s="1"/>
      <c r="O541" s="1"/>
      <c r="Y541" s="76"/>
      <c r="AA541" s="77"/>
      <c r="AB541" s="76"/>
      <c r="AD541" s="77"/>
      <c r="AE541" s="76"/>
      <c r="AG541" s="77"/>
      <c r="AH541" s="76"/>
      <c r="AJ541" s="77"/>
      <c r="AK541" s="76"/>
      <c r="AM541" s="77"/>
      <c r="AN541" s="76"/>
      <c r="AP541" s="77"/>
      <c r="AQ541" s="76"/>
      <c r="AS541" s="77"/>
      <c r="AT541" s="76"/>
      <c r="AV541" s="77"/>
    </row>
    <row r="542">
      <c r="K542" s="1"/>
      <c r="L542" s="2"/>
      <c r="M542" s="1"/>
      <c r="N542" s="1"/>
      <c r="O542" s="1"/>
      <c r="Y542" s="76"/>
      <c r="AA542" s="77"/>
      <c r="AB542" s="76"/>
      <c r="AD542" s="77"/>
      <c r="AE542" s="76"/>
      <c r="AG542" s="77"/>
      <c r="AH542" s="76"/>
      <c r="AJ542" s="77"/>
      <c r="AK542" s="76"/>
      <c r="AM542" s="77"/>
      <c r="AN542" s="76"/>
      <c r="AP542" s="77"/>
      <c r="AQ542" s="76"/>
      <c r="AS542" s="77"/>
      <c r="AT542" s="76"/>
      <c r="AV542" s="77"/>
    </row>
    <row r="543">
      <c r="K543" s="1"/>
      <c r="L543" s="2"/>
      <c r="M543" s="1"/>
      <c r="N543" s="1"/>
      <c r="O543" s="1"/>
      <c r="Y543" s="76"/>
      <c r="AA543" s="77"/>
      <c r="AB543" s="76"/>
      <c r="AD543" s="77"/>
      <c r="AE543" s="76"/>
      <c r="AG543" s="77"/>
      <c r="AH543" s="76"/>
      <c r="AJ543" s="77"/>
      <c r="AK543" s="76"/>
      <c r="AM543" s="77"/>
      <c r="AN543" s="76"/>
      <c r="AP543" s="77"/>
      <c r="AQ543" s="76"/>
      <c r="AS543" s="77"/>
      <c r="AT543" s="76"/>
      <c r="AV543" s="77"/>
    </row>
    <row r="544">
      <c r="K544" s="1"/>
      <c r="L544" s="2"/>
      <c r="M544" s="1"/>
      <c r="N544" s="1"/>
      <c r="O544" s="1"/>
      <c r="Y544" s="76"/>
      <c r="AA544" s="77"/>
      <c r="AB544" s="76"/>
      <c r="AD544" s="77"/>
      <c r="AE544" s="76"/>
      <c r="AG544" s="77"/>
      <c r="AH544" s="76"/>
      <c r="AJ544" s="77"/>
      <c r="AK544" s="76"/>
      <c r="AM544" s="77"/>
      <c r="AN544" s="76"/>
      <c r="AP544" s="77"/>
      <c r="AQ544" s="76"/>
      <c r="AS544" s="77"/>
      <c r="AT544" s="76"/>
      <c r="AV544" s="77"/>
    </row>
    <row r="545">
      <c r="K545" s="1"/>
      <c r="L545" s="2"/>
      <c r="M545" s="1"/>
      <c r="N545" s="1"/>
      <c r="O545" s="1"/>
      <c r="Y545" s="76"/>
      <c r="AA545" s="77"/>
      <c r="AB545" s="76"/>
      <c r="AD545" s="77"/>
      <c r="AE545" s="76"/>
      <c r="AG545" s="77"/>
      <c r="AH545" s="76"/>
      <c r="AJ545" s="77"/>
      <c r="AK545" s="76"/>
      <c r="AM545" s="77"/>
      <c r="AN545" s="76"/>
      <c r="AP545" s="77"/>
      <c r="AQ545" s="76"/>
      <c r="AS545" s="77"/>
      <c r="AT545" s="76"/>
      <c r="AV545" s="77"/>
    </row>
    <row r="546">
      <c r="K546" s="1"/>
      <c r="L546" s="2"/>
      <c r="M546" s="1"/>
      <c r="N546" s="1"/>
      <c r="O546" s="1"/>
      <c r="Y546" s="76"/>
      <c r="AA546" s="77"/>
      <c r="AB546" s="76"/>
      <c r="AD546" s="77"/>
      <c r="AE546" s="76"/>
      <c r="AG546" s="77"/>
      <c r="AH546" s="76"/>
      <c r="AJ546" s="77"/>
      <c r="AK546" s="76"/>
      <c r="AM546" s="77"/>
      <c r="AN546" s="76"/>
      <c r="AP546" s="77"/>
      <c r="AQ546" s="76"/>
      <c r="AS546" s="77"/>
      <c r="AT546" s="76"/>
      <c r="AV546" s="77"/>
    </row>
    <row r="547">
      <c r="K547" s="1"/>
      <c r="L547" s="2"/>
      <c r="M547" s="1"/>
      <c r="N547" s="1"/>
      <c r="O547" s="1"/>
      <c r="Y547" s="76"/>
      <c r="AA547" s="77"/>
      <c r="AB547" s="76"/>
      <c r="AD547" s="77"/>
      <c r="AE547" s="76"/>
      <c r="AG547" s="77"/>
      <c r="AH547" s="76"/>
      <c r="AJ547" s="77"/>
      <c r="AK547" s="76"/>
      <c r="AM547" s="77"/>
      <c r="AN547" s="76"/>
      <c r="AP547" s="77"/>
      <c r="AQ547" s="76"/>
      <c r="AS547" s="77"/>
      <c r="AT547" s="76"/>
      <c r="AV547" s="77"/>
    </row>
    <row r="548">
      <c r="K548" s="1"/>
      <c r="L548" s="2"/>
      <c r="M548" s="1"/>
      <c r="N548" s="1"/>
      <c r="O548" s="1"/>
      <c r="Y548" s="76"/>
      <c r="AA548" s="77"/>
      <c r="AB548" s="76"/>
      <c r="AD548" s="77"/>
      <c r="AE548" s="76"/>
      <c r="AG548" s="77"/>
      <c r="AH548" s="76"/>
      <c r="AJ548" s="77"/>
      <c r="AK548" s="76"/>
      <c r="AM548" s="77"/>
      <c r="AN548" s="76"/>
      <c r="AP548" s="77"/>
      <c r="AQ548" s="76"/>
      <c r="AS548" s="77"/>
      <c r="AT548" s="76"/>
      <c r="AV548" s="77"/>
    </row>
    <row r="549">
      <c r="K549" s="1"/>
      <c r="L549" s="2"/>
      <c r="M549" s="1"/>
      <c r="N549" s="1"/>
      <c r="O549" s="1"/>
      <c r="Y549" s="76"/>
      <c r="AA549" s="77"/>
      <c r="AB549" s="76"/>
      <c r="AD549" s="77"/>
      <c r="AE549" s="76"/>
      <c r="AG549" s="77"/>
      <c r="AH549" s="76"/>
      <c r="AJ549" s="77"/>
      <c r="AK549" s="76"/>
      <c r="AM549" s="77"/>
      <c r="AN549" s="76"/>
      <c r="AP549" s="77"/>
      <c r="AQ549" s="76"/>
      <c r="AS549" s="77"/>
      <c r="AT549" s="76"/>
      <c r="AV549" s="77"/>
    </row>
    <row r="550">
      <c r="K550" s="1"/>
      <c r="L550" s="2"/>
      <c r="M550" s="1"/>
      <c r="N550" s="1"/>
      <c r="O550" s="1"/>
      <c r="Y550" s="76"/>
      <c r="AA550" s="77"/>
      <c r="AB550" s="76"/>
      <c r="AD550" s="77"/>
      <c r="AE550" s="76"/>
      <c r="AG550" s="77"/>
      <c r="AH550" s="76"/>
      <c r="AJ550" s="77"/>
      <c r="AK550" s="76"/>
      <c r="AM550" s="77"/>
      <c r="AN550" s="76"/>
      <c r="AP550" s="77"/>
      <c r="AQ550" s="76"/>
      <c r="AS550" s="77"/>
      <c r="AT550" s="76"/>
      <c r="AV550" s="77"/>
    </row>
    <row r="551">
      <c r="K551" s="1"/>
      <c r="L551" s="2"/>
      <c r="M551" s="1"/>
      <c r="N551" s="1"/>
      <c r="O551" s="1"/>
      <c r="Y551" s="76"/>
      <c r="AA551" s="77"/>
      <c r="AB551" s="76"/>
      <c r="AD551" s="77"/>
      <c r="AE551" s="76"/>
      <c r="AG551" s="77"/>
      <c r="AH551" s="76"/>
      <c r="AJ551" s="77"/>
      <c r="AK551" s="76"/>
      <c r="AM551" s="77"/>
      <c r="AN551" s="76"/>
      <c r="AP551" s="77"/>
      <c r="AQ551" s="76"/>
      <c r="AS551" s="77"/>
      <c r="AT551" s="76"/>
      <c r="AV551" s="77"/>
    </row>
    <row r="552">
      <c r="K552" s="1"/>
      <c r="L552" s="2"/>
      <c r="M552" s="1"/>
      <c r="N552" s="1"/>
      <c r="O552" s="1"/>
      <c r="Y552" s="76"/>
      <c r="AA552" s="77"/>
      <c r="AB552" s="76"/>
      <c r="AD552" s="77"/>
      <c r="AE552" s="76"/>
      <c r="AG552" s="77"/>
      <c r="AH552" s="76"/>
      <c r="AJ552" s="77"/>
      <c r="AK552" s="76"/>
      <c r="AM552" s="77"/>
      <c r="AN552" s="76"/>
      <c r="AP552" s="77"/>
      <c r="AQ552" s="76"/>
      <c r="AS552" s="77"/>
      <c r="AT552" s="76"/>
      <c r="AV552" s="77"/>
    </row>
    <row r="553">
      <c r="K553" s="1"/>
      <c r="L553" s="2"/>
      <c r="M553" s="1"/>
      <c r="N553" s="1"/>
      <c r="O553" s="1"/>
      <c r="Y553" s="76"/>
      <c r="AA553" s="77"/>
      <c r="AB553" s="76"/>
      <c r="AD553" s="77"/>
      <c r="AE553" s="76"/>
      <c r="AG553" s="77"/>
      <c r="AH553" s="76"/>
      <c r="AJ553" s="77"/>
      <c r="AK553" s="76"/>
      <c r="AM553" s="77"/>
      <c r="AN553" s="76"/>
      <c r="AP553" s="77"/>
      <c r="AQ553" s="76"/>
      <c r="AS553" s="77"/>
      <c r="AT553" s="76"/>
      <c r="AV553" s="77"/>
    </row>
    <row r="554">
      <c r="K554" s="1"/>
      <c r="L554" s="2"/>
      <c r="M554" s="1"/>
      <c r="N554" s="1"/>
      <c r="O554" s="1"/>
      <c r="Y554" s="76"/>
      <c r="AA554" s="77"/>
      <c r="AB554" s="76"/>
      <c r="AD554" s="77"/>
      <c r="AE554" s="76"/>
      <c r="AG554" s="77"/>
      <c r="AH554" s="76"/>
      <c r="AJ554" s="77"/>
      <c r="AK554" s="76"/>
      <c r="AM554" s="77"/>
      <c r="AN554" s="76"/>
      <c r="AP554" s="77"/>
      <c r="AQ554" s="76"/>
      <c r="AS554" s="77"/>
      <c r="AT554" s="76"/>
      <c r="AV554" s="77"/>
    </row>
    <row r="555">
      <c r="K555" s="1"/>
      <c r="L555" s="2"/>
      <c r="M555" s="1"/>
      <c r="N555" s="1"/>
      <c r="O555" s="1"/>
      <c r="Y555" s="76"/>
      <c r="AA555" s="77"/>
      <c r="AB555" s="76"/>
      <c r="AD555" s="77"/>
      <c r="AE555" s="76"/>
      <c r="AG555" s="77"/>
      <c r="AH555" s="76"/>
      <c r="AJ555" s="77"/>
      <c r="AK555" s="76"/>
      <c r="AM555" s="77"/>
      <c r="AN555" s="76"/>
      <c r="AP555" s="77"/>
      <c r="AQ555" s="76"/>
      <c r="AS555" s="77"/>
      <c r="AT555" s="76"/>
      <c r="AV555" s="77"/>
    </row>
    <row r="556">
      <c r="K556" s="1"/>
      <c r="L556" s="2"/>
      <c r="M556" s="1"/>
      <c r="N556" s="1"/>
      <c r="O556" s="1"/>
      <c r="Y556" s="76"/>
      <c r="AA556" s="77"/>
      <c r="AB556" s="76"/>
      <c r="AD556" s="77"/>
      <c r="AE556" s="76"/>
      <c r="AG556" s="77"/>
      <c r="AH556" s="76"/>
      <c r="AJ556" s="77"/>
      <c r="AK556" s="76"/>
      <c r="AM556" s="77"/>
      <c r="AN556" s="76"/>
      <c r="AP556" s="77"/>
      <c r="AQ556" s="76"/>
      <c r="AS556" s="77"/>
      <c r="AT556" s="76"/>
      <c r="AV556" s="77"/>
    </row>
    <row r="557">
      <c r="K557" s="1"/>
      <c r="L557" s="2"/>
      <c r="M557" s="1"/>
      <c r="N557" s="1"/>
      <c r="O557" s="1"/>
      <c r="Y557" s="76"/>
      <c r="AA557" s="77"/>
      <c r="AB557" s="76"/>
      <c r="AD557" s="77"/>
      <c r="AE557" s="76"/>
      <c r="AG557" s="77"/>
      <c r="AH557" s="76"/>
      <c r="AJ557" s="77"/>
      <c r="AK557" s="76"/>
      <c r="AM557" s="77"/>
      <c r="AN557" s="76"/>
      <c r="AP557" s="77"/>
      <c r="AQ557" s="76"/>
      <c r="AS557" s="77"/>
      <c r="AT557" s="76"/>
      <c r="AV557" s="77"/>
    </row>
    <row r="558">
      <c r="K558" s="1"/>
      <c r="L558" s="2"/>
      <c r="M558" s="1"/>
      <c r="N558" s="1"/>
      <c r="O558" s="1"/>
      <c r="Y558" s="76"/>
      <c r="AA558" s="77"/>
      <c r="AB558" s="76"/>
      <c r="AD558" s="77"/>
      <c r="AE558" s="76"/>
      <c r="AG558" s="77"/>
      <c r="AH558" s="76"/>
      <c r="AJ558" s="77"/>
      <c r="AK558" s="76"/>
      <c r="AM558" s="77"/>
      <c r="AN558" s="76"/>
      <c r="AP558" s="77"/>
      <c r="AQ558" s="76"/>
      <c r="AS558" s="77"/>
      <c r="AT558" s="76"/>
      <c r="AV558" s="77"/>
    </row>
    <row r="559">
      <c r="K559" s="1"/>
      <c r="L559" s="2"/>
      <c r="M559" s="1"/>
      <c r="N559" s="1"/>
      <c r="O559" s="1"/>
      <c r="Y559" s="76"/>
      <c r="AA559" s="77"/>
      <c r="AB559" s="76"/>
      <c r="AD559" s="77"/>
      <c r="AE559" s="76"/>
      <c r="AG559" s="77"/>
      <c r="AH559" s="76"/>
      <c r="AJ559" s="77"/>
      <c r="AK559" s="76"/>
      <c r="AM559" s="77"/>
      <c r="AN559" s="76"/>
      <c r="AP559" s="77"/>
      <c r="AQ559" s="76"/>
      <c r="AS559" s="77"/>
      <c r="AT559" s="76"/>
      <c r="AV559" s="77"/>
    </row>
    <row r="560">
      <c r="K560" s="1"/>
      <c r="L560" s="2"/>
      <c r="M560" s="1"/>
      <c r="N560" s="1"/>
      <c r="O560" s="1"/>
      <c r="Y560" s="76"/>
      <c r="AA560" s="77"/>
      <c r="AB560" s="76"/>
      <c r="AD560" s="77"/>
      <c r="AE560" s="76"/>
      <c r="AG560" s="77"/>
      <c r="AH560" s="76"/>
      <c r="AJ560" s="77"/>
      <c r="AK560" s="76"/>
      <c r="AM560" s="77"/>
      <c r="AN560" s="76"/>
      <c r="AP560" s="77"/>
      <c r="AQ560" s="76"/>
      <c r="AS560" s="77"/>
      <c r="AT560" s="76"/>
      <c r="AV560" s="77"/>
    </row>
    <row r="561">
      <c r="K561" s="1"/>
      <c r="L561" s="2"/>
      <c r="M561" s="1"/>
      <c r="N561" s="1"/>
      <c r="O561" s="1"/>
      <c r="Y561" s="76"/>
      <c r="AA561" s="77"/>
      <c r="AB561" s="76"/>
      <c r="AD561" s="77"/>
      <c r="AE561" s="76"/>
      <c r="AG561" s="77"/>
      <c r="AH561" s="76"/>
      <c r="AJ561" s="77"/>
      <c r="AK561" s="76"/>
      <c r="AM561" s="77"/>
      <c r="AN561" s="76"/>
      <c r="AP561" s="77"/>
      <c r="AQ561" s="76"/>
      <c r="AS561" s="77"/>
      <c r="AT561" s="76"/>
      <c r="AV561" s="77"/>
    </row>
    <row r="562">
      <c r="K562" s="1"/>
      <c r="L562" s="2"/>
      <c r="M562" s="1"/>
      <c r="N562" s="1"/>
      <c r="O562" s="1"/>
      <c r="Y562" s="76"/>
      <c r="AA562" s="77"/>
      <c r="AB562" s="76"/>
      <c r="AD562" s="77"/>
      <c r="AE562" s="76"/>
      <c r="AG562" s="77"/>
      <c r="AH562" s="76"/>
      <c r="AJ562" s="77"/>
      <c r="AK562" s="76"/>
      <c r="AM562" s="77"/>
      <c r="AN562" s="76"/>
      <c r="AP562" s="77"/>
      <c r="AQ562" s="76"/>
      <c r="AS562" s="77"/>
      <c r="AT562" s="76"/>
      <c r="AV562" s="77"/>
    </row>
    <row r="563">
      <c r="K563" s="1"/>
      <c r="L563" s="2"/>
      <c r="M563" s="1"/>
      <c r="N563" s="1"/>
      <c r="O563" s="1"/>
      <c r="Y563" s="76"/>
      <c r="AA563" s="77"/>
      <c r="AB563" s="76"/>
      <c r="AD563" s="77"/>
      <c r="AE563" s="76"/>
      <c r="AG563" s="77"/>
      <c r="AH563" s="76"/>
      <c r="AJ563" s="77"/>
      <c r="AK563" s="76"/>
      <c r="AM563" s="77"/>
      <c r="AN563" s="76"/>
      <c r="AP563" s="77"/>
      <c r="AQ563" s="76"/>
      <c r="AS563" s="77"/>
      <c r="AT563" s="76"/>
      <c r="AV563" s="77"/>
    </row>
    <row r="564">
      <c r="K564" s="1"/>
      <c r="L564" s="2"/>
      <c r="M564" s="1"/>
      <c r="N564" s="1"/>
      <c r="O564" s="1"/>
      <c r="Y564" s="76"/>
      <c r="AA564" s="77"/>
      <c r="AB564" s="76"/>
      <c r="AD564" s="77"/>
      <c r="AE564" s="76"/>
      <c r="AG564" s="77"/>
      <c r="AH564" s="76"/>
      <c r="AJ564" s="77"/>
      <c r="AK564" s="76"/>
      <c r="AM564" s="77"/>
      <c r="AN564" s="76"/>
      <c r="AP564" s="77"/>
      <c r="AQ564" s="76"/>
      <c r="AS564" s="77"/>
      <c r="AT564" s="76"/>
      <c r="AV564" s="77"/>
    </row>
    <row r="565">
      <c r="K565" s="1"/>
      <c r="L565" s="2"/>
      <c r="M565" s="1"/>
      <c r="N565" s="1"/>
      <c r="O565" s="1"/>
      <c r="Y565" s="76"/>
      <c r="AA565" s="77"/>
      <c r="AB565" s="76"/>
      <c r="AD565" s="77"/>
      <c r="AE565" s="76"/>
      <c r="AG565" s="77"/>
      <c r="AH565" s="76"/>
      <c r="AJ565" s="77"/>
      <c r="AK565" s="76"/>
      <c r="AM565" s="77"/>
      <c r="AN565" s="76"/>
      <c r="AP565" s="77"/>
      <c r="AQ565" s="76"/>
      <c r="AS565" s="77"/>
      <c r="AT565" s="76"/>
      <c r="AV565" s="77"/>
    </row>
    <row r="566">
      <c r="K566" s="1"/>
      <c r="L566" s="2"/>
      <c r="M566" s="1"/>
      <c r="N566" s="1"/>
      <c r="O566" s="1"/>
      <c r="Y566" s="76"/>
      <c r="AA566" s="77"/>
      <c r="AB566" s="76"/>
      <c r="AD566" s="77"/>
      <c r="AE566" s="76"/>
      <c r="AG566" s="77"/>
      <c r="AH566" s="76"/>
      <c r="AJ566" s="77"/>
      <c r="AK566" s="76"/>
      <c r="AM566" s="77"/>
      <c r="AN566" s="76"/>
      <c r="AP566" s="77"/>
      <c r="AQ566" s="76"/>
      <c r="AS566" s="77"/>
      <c r="AT566" s="76"/>
      <c r="AV566" s="77"/>
    </row>
    <row r="567">
      <c r="K567" s="1"/>
      <c r="L567" s="2"/>
      <c r="M567" s="1"/>
      <c r="N567" s="1"/>
      <c r="O567" s="1"/>
      <c r="Y567" s="76"/>
      <c r="AA567" s="77"/>
      <c r="AB567" s="76"/>
      <c r="AD567" s="77"/>
      <c r="AE567" s="76"/>
      <c r="AG567" s="77"/>
      <c r="AH567" s="76"/>
      <c r="AJ567" s="77"/>
      <c r="AK567" s="76"/>
      <c r="AM567" s="77"/>
      <c r="AN567" s="76"/>
      <c r="AP567" s="77"/>
      <c r="AQ567" s="76"/>
      <c r="AS567" s="77"/>
      <c r="AT567" s="76"/>
      <c r="AV567" s="77"/>
    </row>
    <row r="568">
      <c r="K568" s="1"/>
      <c r="L568" s="2"/>
      <c r="M568" s="1"/>
      <c r="N568" s="1"/>
      <c r="O568" s="1"/>
      <c r="Y568" s="76"/>
      <c r="AA568" s="77"/>
      <c r="AB568" s="76"/>
      <c r="AD568" s="77"/>
      <c r="AE568" s="76"/>
      <c r="AG568" s="77"/>
      <c r="AH568" s="76"/>
      <c r="AJ568" s="77"/>
      <c r="AK568" s="76"/>
      <c r="AM568" s="77"/>
      <c r="AN568" s="76"/>
      <c r="AP568" s="77"/>
      <c r="AQ568" s="76"/>
      <c r="AS568" s="77"/>
      <c r="AT568" s="76"/>
      <c r="AV568" s="77"/>
    </row>
    <row r="569">
      <c r="K569" s="1"/>
      <c r="L569" s="2"/>
      <c r="M569" s="1"/>
      <c r="N569" s="1"/>
      <c r="O569" s="1"/>
      <c r="Y569" s="76"/>
      <c r="AA569" s="77"/>
      <c r="AB569" s="76"/>
      <c r="AD569" s="77"/>
      <c r="AE569" s="76"/>
      <c r="AG569" s="77"/>
      <c r="AH569" s="76"/>
      <c r="AJ569" s="77"/>
      <c r="AK569" s="76"/>
      <c r="AM569" s="77"/>
      <c r="AN569" s="76"/>
      <c r="AP569" s="77"/>
      <c r="AQ569" s="76"/>
      <c r="AS569" s="77"/>
      <c r="AT569" s="76"/>
      <c r="AV569" s="77"/>
    </row>
    <row r="570">
      <c r="K570" s="1"/>
      <c r="L570" s="2"/>
      <c r="M570" s="1"/>
      <c r="N570" s="1"/>
      <c r="O570" s="1"/>
      <c r="Y570" s="76"/>
      <c r="AA570" s="77"/>
      <c r="AB570" s="76"/>
      <c r="AD570" s="77"/>
      <c r="AE570" s="76"/>
      <c r="AG570" s="77"/>
      <c r="AH570" s="76"/>
      <c r="AJ570" s="77"/>
      <c r="AK570" s="76"/>
      <c r="AM570" s="77"/>
      <c r="AN570" s="76"/>
      <c r="AP570" s="77"/>
      <c r="AQ570" s="76"/>
      <c r="AS570" s="77"/>
      <c r="AT570" s="76"/>
      <c r="AV570" s="77"/>
    </row>
    <row r="571">
      <c r="K571" s="1"/>
      <c r="L571" s="2"/>
      <c r="M571" s="1"/>
      <c r="N571" s="1"/>
      <c r="O571" s="1"/>
      <c r="Y571" s="76"/>
      <c r="AA571" s="77"/>
      <c r="AB571" s="76"/>
      <c r="AD571" s="77"/>
      <c r="AE571" s="76"/>
      <c r="AG571" s="77"/>
      <c r="AH571" s="76"/>
      <c r="AJ571" s="77"/>
      <c r="AK571" s="76"/>
      <c r="AM571" s="77"/>
      <c r="AN571" s="76"/>
      <c r="AP571" s="77"/>
      <c r="AQ571" s="76"/>
      <c r="AS571" s="77"/>
      <c r="AT571" s="76"/>
      <c r="AV571" s="77"/>
    </row>
    <row r="572">
      <c r="K572" s="1"/>
      <c r="L572" s="2"/>
      <c r="M572" s="1"/>
      <c r="N572" s="1"/>
      <c r="O572" s="1"/>
      <c r="Y572" s="76"/>
      <c r="AA572" s="77"/>
      <c r="AB572" s="76"/>
      <c r="AD572" s="77"/>
      <c r="AE572" s="76"/>
      <c r="AG572" s="77"/>
      <c r="AH572" s="76"/>
      <c r="AJ572" s="77"/>
      <c r="AK572" s="76"/>
      <c r="AM572" s="77"/>
      <c r="AN572" s="76"/>
      <c r="AP572" s="77"/>
      <c r="AQ572" s="76"/>
      <c r="AS572" s="77"/>
      <c r="AT572" s="76"/>
      <c r="AV572" s="77"/>
    </row>
    <row r="573">
      <c r="K573" s="1"/>
      <c r="L573" s="2"/>
      <c r="M573" s="1"/>
      <c r="N573" s="1"/>
      <c r="O573" s="1"/>
      <c r="Y573" s="76"/>
      <c r="AA573" s="77"/>
      <c r="AB573" s="76"/>
      <c r="AD573" s="77"/>
      <c r="AE573" s="76"/>
      <c r="AG573" s="77"/>
      <c r="AH573" s="76"/>
      <c r="AJ573" s="77"/>
      <c r="AK573" s="76"/>
      <c r="AM573" s="77"/>
      <c r="AN573" s="76"/>
      <c r="AP573" s="77"/>
      <c r="AQ573" s="76"/>
      <c r="AS573" s="77"/>
      <c r="AT573" s="76"/>
      <c r="AV573" s="77"/>
    </row>
    <row r="574">
      <c r="K574" s="1"/>
      <c r="L574" s="2"/>
      <c r="M574" s="1"/>
      <c r="N574" s="1"/>
      <c r="O574" s="1"/>
      <c r="Y574" s="76"/>
      <c r="AA574" s="77"/>
      <c r="AB574" s="76"/>
      <c r="AD574" s="77"/>
      <c r="AE574" s="76"/>
      <c r="AG574" s="77"/>
      <c r="AH574" s="76"/>
      <c r="AJ574" s="77"/>
      <c r="AK574" s="76"/>
      <c r="AM574" s="77"/>
      <c r="AN574" s="76"/>
      <c r="AP574" s="77"/>
      <c r="AQ574" s="76"/>
      <c r="AS574" s="77"/>
      <c r="AT574" s="76"/>
      <c r="AV574" s="77"/>
    </row>
    <row r="575">
      <c r="K575" s="1"/>
      <c r="L575" s="2"/>
      <c r="M575" s="1"/>
      <c r="N575" s="1"/>
      <c r="O575" s="1"/>
      <c r="Y575" s="76"/>
      <c r="AA575" s="77"/>
      <c r="AB575" s="76"/>
      <c r="AD575" s="77"/>
      <c r="AE575" s="76"/>
      <c r="AG575" s="77"/>
      <c r="AH575" s="76"/>
      <c r="AJ575" s="77"/>
      <c r="AK575" s="76"/>
      <c r="AM575" s="77"/>
      <c r="AN575" s="76"/>
      <c r="AP575" s="77"/>
      <c r="AQ575" s="76"/>
      <c r="AS575" s="77"/>
      <c r="AT575" s="76"/>
      <c r="AV575" s="77"/>
    </row>
    <row r="576">
      <c r="K576" s="1"/>
      <c r="L576" s="2"/>
      <c r="M576" s="1"/>
      <c r="N576" s="1"/>
      <c r="O576" s="1"/>
      <c r="Y576" s="76"/>
      <c r="AA576" s="77"/>
      <c r="AB576" s="76"/>
      <c r="AD576" s="77"/>
      <c r="AE576" s="76"/>
      <c r="AG576" s="77"/>
      <c r="AH576" s="76"/>
      <c r="AJ576" s="77"/>
      <c r="AK576" s="76"/>
      <c r="AM576" s="77"/>
      <c r="AN576" s="76"/>
      <c r="AP576" s="77"/>
      <c r="AQ576" s="76"/>
      <c r="AS576" s="77"/>
      <c r="AT576" s="76"/>
      <c r="AV576" s="77"/>
    </row>
    <row r="577">
      <c r="K577" s="1"/>
      <c r="L577" s="2"/>
      <c r="M577" s="1"/>
      <c r="N577" s="1"/>
      <c r="O577" s="1"/>
      <c r="Y577" s="76"/>
      <c r="AA577" s="77"/>
      <c r="AB577" s="76"/>
      <c r="AD577" s="77"/>
      <c r="AE577" s="76"/>
      <c r="AG577" s="77"/>
      <c r="AH577" s="76"/>
      <c r="AJ577" s="77"/>
      <c r="AK577" s="76"/>
      <c r="AM577" s="77"/>
      <c r="AN577" s="76"/>
      <c r="AP577" s="77"/>
      <c r="AQ577" s="76"/>
      <c r="AS577" s="77"/>
      <c r="AT577" s="76"/>
      <c r="AV577" s="77"/>
    </row>
    <row r="578">
      <c r="K578" s="1"/>
      <c r="L578" s="2"/>
      <c r="M578" s="1"/>
      <c r="N578" s="1"/>
      <c r="O578" s="1"/>
      <c r="Y578" s="76"/>
      <c r="AA578" s="77"/>
      <c r="AB578" s="76"/>
      <c r="AD578" s="77"/>
      <c r="AE578" s="76"/>
      <c r="AG578" s="77"/>
      <c r="AH578" s="76"/>
      <c r="AJ578" s="77"/>
      <c r="AK578" s="76"/>
      <c r="AM578" s="77"/>
      <c r="AN578" s="76"/>
      <c r="AP578" s="77"/>
      <c r="AQ578" s="76"/>
      <c r="AS578" s="77"/>
      <c r="AT578" s="76"/>
      <c r="AV578" s="77"/>
    </row>
    <row r="579">
      <c r="K579" s="1"/>
      <c r="L579" s="2"/>
      <c r="M579" s="1"/>
      <c r="N579" s="1"/>
      <c r="O579" s="1"/>
      <c r="Y579" s="76"/>
      <c r="AA579" s="77"/>
      <c r="AB579" s="76"/>
      <c r="AD579" s="77"/>
      <c r="AE579" s="76"/>
      <c r="AG579" s="77"/>
      <c r="AH579" s="76"/>
      <c r="AJ579" s="77"/>
      <c r="AK579" s="76"/>
      <c r="AM579" s="77"/>
      <c r="AN579" s="76"/>
      <c r="AP579" s="77"/>
      <c r="AQ579" s="76"/>
      <c r="AS579" s="77"/>
      <c r="AT579" s="76"/>
      <c r="AV579" s="77"/>
    </row>
    <row r="580">
      <c r="K580" s="1"/>
      <c r="L580" s="2"/>
      <c r="M580" s="1"/>
      <c r="N580" s="1"/>
      <c r="O580" s="1"/>
      <c r="Y580" s="76"/>
      <c r="AA580" s="77"/>
      <c r="AB580" s="76"/>
      <c r="AD580" s="77"/>
      <c r="AE580" s="76"/>
      <c r="AG580" s="77"/>
      <c r="AH580" s="76"/>
      <c r="AJ580" s="77"/>
      <c r="AK580" s="76"/>
      <c r="AM580" s="77"/>
      <c r="AN580" s="76"/>
      <c r="AP580" s="77"/>
      <c r="AQ580" s="76"/>
      <c r="AS580" s="77"/>
      <c r="AT580" s="76"/>
      <c r="AV580" s="77"/>
    </row>
    <row r="581">
      <c r="K581" s="1"/>
      <c r="L581" s="2"/>
      <c r="M581" s="1"/>
      <c r="N581" s="1"/>
      <c r="O581" s="1"/>
      <c r="Y581" s="76"/>
      <c r="AA581" s="77"/>
      <c r="AB581" s="76"/>
      <c r="AD581" s="77"/>
      <c r="AE581" s="76"/>
      <c r="AG581" s="77"/>
      <c r="AH581" s="76"/>
      <c r="AJ581" s="77"/>
      <c r="AK581" s="76"/>
      <c r="AM581" s="77"/>
      <c r="AN581" s="76"/>
      <c r="AP581" s="77"/>
      <c r="AQ581" s="76"/>
      <c r="AS581" s="77"/>
      <c r="AT581" s="76"/>
      <c r="AV581" s="77"/>
    </row>
    <row r="582">
      <c r="K582" s="1"/>
      <c r="L582" s="2"/>
      <c r="M582" s="1"/>
      <c r="N582" s="1"/>
      <c r="O582" s="1"/>
      <c r="Y582" s="76"/>
      <c r="AA582" s="77"/>
      <c r="AB582" s="76"/>
      <c r="AD582" s="77"/>
      <c r="AE582" s="76"/>
      <c r="AG582" s="77"/>
      <c r="AH582" s="76"/>
      <c r="AJ582" s="77"/>
      <c r="AK582" s="76"/>
      <c r="AM582" s="77"/>
      <c r="AN582" s="76"/>
      <c r="AP582" s="77"/>
      <c r="AQ582" s="76"/>
      <c r="AS582" s="77"/>
      <c r="AT582" s="76"/>
      <c r="AV582" s="77"/>
    </row>
    <row r="583">
      <c r="K583" s="1"/>
      <c r="L583" s="2"/>
      <c r="M583" s="1"/>
      <c r="N583" s="1"/>
      <c r="O583" s="1"/>
      <c r="Y583" s="76"/>
      <c r="AA583" s="77"/>
      <c r="AB583" s="76"/>
      <c r="AD583" s="77"/>
      <c r="AE583" s="76"/>
      <c r="AG583" s="77"/>
      <c r="AH583" s="76"/>
      <c r="AJ583" s="77"/>
      <c r="AK583" s="76"/>
      <c r="AM583" s="77"/>
      <c r="AN583" s="76"/>
      <c r="AP583" s="77"/>
      <c r="AQ583" s="76"/>
      <c r="AS583" s="77"/>
      <c r="AT583" s="76"/>
      <c r="AV583" s="77"/>
    </row>
    <row r="584">
      <c r="K584" s="1"/>
      <c r="L584" s="2"/>
      <c r="M584" s="1"/>
      <c r="N584" s="1"/>
      <c r="O584" s="1"/>
      <c r="Y584" s="76"/>
      <c r="AA584" s="77"/>
      <c r="AB584" s="76"/>
      <c r="AD584" s="77"/>
      <c r="AE584" s="76"/>
      <c r="AG584" s="77"/>
      <c r="AH584" s="76"/>
      <c r="AJ584" s="77"/>
      <c r="AK584" s="76"/>
      <c r="AM584" s="77"/>
      <c r="AN584" s="76"/>
      <c r="AP584" s="77"/>
      <c r="AQ584" s="76"/>
      <c r="AS584" s="77"/>
      <c r="AT584" s="76"/>
      <c r="AV584" s="77"/>
    </row>
    <row r="585">
      <c r="K585" s="1"/>
      <c r="L585" s="2"/>
      <c r="M585" s="1"/>
      <c r="N585" s="1"/>
      <c r="O585" s="1"/>
      <c r="Y585" s="76"/>
      <c r="AA585" s="77"/>
      <c r="AB585" s="76"/>
      <c r="AD585" s="77"/>
      <c r="AE585" s="76"/>
      <c r="AG585" s="77"/>
      <c r="AH585" s="76"/>
      <c r="AJ585" s="77"/>
      <c r="AK585" s="76"/>
      <c r="AM585" s="77"/>
      <c r="AN585" s="76"/>
      <c r="AP585" s="77"/>
      <c r="AQ585" s="76"/>
      <c r="AS585" s="77"/>
      <c r="AT585" s="76"/>
      <c r="AV585" s="77"/>
    </row>
    <row r="586">
      <c r="K586" s="1"/>
      <c r="L586" s="2"/>
      <c r="M586" s="1"/>
      <c r="N586" s="1"/>
      <c r="O586" s="1"/>
      <c r="Y586" s="76"/>
      <c r="AA586" s="77"/>
      <c r="AB586" s="76"/>
      <c r="AD586" s="77"/>
      <c r="AE586" s="76"/>
      <c r="AG586" s="77"/>
      <c r="AH586" s="76"/>
      <c r="AJ586" s="77"/>
      <c r="AK586" s="76"/>
      <c r="AM586" s="77"/>
      <c r="AN586" s="76"/>
      <c r="AP586" s="77"/>
      <c r="AQ586" s="76"/>
      <c r="AS586" s="77"/>
      <c r="AT586" s="76"/>
      <c r="AV586" s="77"/>
    </row>
    <row r="587">
      <c r="K587" s="1"/>
      <c r="L587" s="2"/>
      <c r="M587" s="1"/>
      <c r="N587" s="1"/>
      <c r="O587" s="1"/>
      <c r="Y587" s="76"/>
      <c r="AA587" s="77"/>
      <c r="AB587" s="76"/>
      <c r="AD587" s="77"/>
      <c r="AE587" s="76"/>
      <c r="AG587" s="77"/>
      <c r="AH587" s="76"/>
      <c r="AJ587" s="77"/>
      <c r="AK587" s="76"/>
      <c r="AM587" s="77"/>
      <c r="AN587" s="76"/>
      <c r="AP587" s="77"/>
      <c r="AQ587" s="76"/>
      <c r="AS587" s="77"/>
      <c r="AT587" s="76"/>
      <c r="AV587" s="77"/>
    </row>
    <row r="588">
      <c r="K588" s="1"/>
      <c r="L588" s="2"/>
      <c r="M588" s="1"/>
      <c r="N588" s="1"/>
      <c r="O588" s="1"/>
      <c r="Y588" s="76"/>
      <c r="AA588" s="77"/>
      <c r="AB588" s="76"/>
      <c r="AD588" s="77"/>
      <c r="AE588" s="76"/>
      <c r="AG588" s="77"/>
      <c r="AH588" s="76"/>
      <c r="AJ588" s="77"/>
      <c r="AK588" s="76"/>
      <c r="AM588" s="77"/>
      <c r="AN588" s="76"/>
      <c r="AP588" s="77"/>
      <c r="AQ588" s="76"/>
      <c r="AS588" s="77"/>
      <c r="AT588" s="76"/>
      <c r="AV588" s="77"/>
    </row>
    <row r="589">
      <c r="K589" s="1"/>
      <c r="L589" s="2"/>
      <c r="M589" s="1"/>
      <c r="N589" s="1"/>
      <c r="O589" s="1"/>
      <c r="Y589" s="76"/>
      <c r="AA589" s="77"/>
      <c r="AB589" s="76"/>
      <c r="AD589" s="77"/>
      <c r="AE589" s="76"/>
      <c r="AG589" s="77"/>
      <c r="AH589" s="76"/>
      <c r="AJ589" s="77"/>
      <c r="AK589" s="76"/>
      <c r="AM589" s="77"/>
      <c r="AN589" s="76"/>
      <c r="AP589" s="77"/>
      <c r="AQ589" s="76"/>
      <c r="AS589" s="77"/>
      <c r="AT589" s="76"/>
      <c r="AV589" s="77"/>
    </row>
    <row r="590">
      <c r="K590" s="1"/>
      <c r="L590" s="2"/>
      <c r="M590" s="1"/>
      <c r="N590" s="1"/>
      <c r="O590" s="1"/>
      <c r="Y590" s="76"/>
      <c r="AA590" s="77"/>
      <c r="AB590" s="76"/>
      <c r="AD590" s="77"/>
      <c r="AE590" s="76"/>
      <c r="AG590" s="77"/>
      <c r="AH590" s="76"/>
      <c r="AJ590" s="77"/>
      <c r="AK590" s="76"/>
      <c r="AM590" s="77"/>
      <c r="AN590" s="76"/>
      <c r="AP590" s="77"/>
      <c r="AQ590" s="76"/>
      <c r="AS590" s="77"/>
      <c r="AT590" s="76"/>
      <c r="AV590" s="77"/>
    </row>
    <row r="591">
      <c r="K591" s="1"/>
      <c r="L591" s="2"/>
      <c r="M591" s="1"/>
      <c r="N591" s="1"/>
      <c r="O591" s="1"/>
      <c r="Y591" s="76"/>
      <c r="AA591" s="77"/>
      <c r="AB591" s="76"/>
      <c r="AD591" s="77"/>
      <c r="AE591" s="76"/>
      <c r="AG591" s="77"/>
      <c r="AH591" s="76"/>
      <c r="AJ591" s="77"/>
      <c r="AK591" s="76"/>
      <c r="AM591" s="77"/>
      <c r="AN591" s="76"/>
      <c r="AP591" s="77"/>
      <c r="AQ591" s="76"/>
      <c r="AS591" s="77"/>
      <c r="AT591" s="76"/>
      <c r="AV591" s="77"/>
    </row>
    <row r="592">
      <c r="K592" s="1"/>
      <c r="L592" s="2"/>
      <c r="M592" s="1"/>
      <c r="N592" s="1"/>
      <c r="O592" s="1"/>
      <c r="Y592" s="76"/>
      <c r="AA592" s="77"/>
      <c r="AB592" s="76"/>
      <c r="AD592" s="77"/>
      <c r="AE592" s="76"/>
      <c r="AG592" s="77"/>
      <c r="AH592" s="76"/>
      <c r="AJ592" s="77"/>
      <c r="AK592" s="76"/>
      <c r="AM592" s="77"/>
      <c r="AN592" s="76"/>
      <c r="AP592" s="77"/>
      <c r="AQ592" s="76"/>
      <c r="AS592" s="77"/>
      <c r="AT592" s="76"/>
      <c r="AV592" s="77"/>
    </row>
    <row r="593">
      <c r="K593" s="1"/>
      <c r="L593" s="2"/>
      <c r="M593" s="1"/>
      <c r="N593" s="1"/>
      <c r="O593" s="1"/>
      <c r="Y593" s="76"/>
      <c r="AA593" s="77"/>
      <c r="AB593" s="76"/>
      <c r="AD593" s="77"/>
      <c r="AE593" s="76"/>
      <c r="AG593" s="77"/>
      <c r="AH593" s="76"/>
      <c r="AJ593" s="77"/>
      <c r="AK593" s="76"/>
      <c r="AM593" s="77"/>
      <c r="AN593" s="76"/>
      <c r="AP593" s="77"/>
      <c r="AQ593" s="76"/>
      <c r="AS593" s="77"/>
      <c r="AT593" s="76"/>
      <c r="AV593" s="77"/>
    </row>
    <row r="594">
      <c r="K594" s="1"/>
      <c r="L594" s="2"/>
      <c r="M594" s="1"/>
      <c r="N594" s="1"/>
      <c r="O594" s="1"/>
      <c r="Y594" s="76"/>
      <c r="AA594" s="77"/>
      <c r="AB594" s="76"/>
      <c r="AD594" s="77"/>
      <c r="AE594" s="76"/>
      <c r="AG594" s="77"/>
      <c r="AH594" s="76"/>
      <c r="AJ594" s="77"/>
      <c r="AK594" s="76"/>
      <c r="AM594" s="77"/>
      <c r="AN594" s="76"/>
      <c r="AP594" s="77"/>
      <c r="AQ594" s="76"/>
      <c r="AS594" s="77"/>
      <c r="AT594" s="76"/>
      <c r="AV594" s="77"/>
    </row>
    <row r="595">
      <c r="K595" s="1"/>
      <c r="L595" s="2"/>
      <c r="M595" s="1"/>
      <c r="N595" s="1"/>
      <c r="O595" s="1"/>
      <c r="Y595" s="76"/>
      <c r="AA595" s="77"/>
      <c r="AB595" s="76"/>
      <c r="AD595" s="77"/>
      <c r="AE595" s="76"/>
      <c r="AG595" s="77"/>
      <c r="AH595" s="76"/>
      <c r="AJ595" s="77"/>
      <c r="AK595" s="76"/>
      <c r="AM595" s="77"/>
      <c r="AN595" s="76"/>
      <c r="AP595" s="77"/>
      <c r="AQ595" s="76"/>
      <c r="AS595" s="77"/>
      <c r="AT595" s="76"/>
      <c r="AV595" s="77"/>
    </row>
    <row r="596">
      <c r="K596" s="1"/>
      <c r="L596" s="2"/>
      <c r="M596" s="1"/>
      <c r="N596" s="1"/>
      <c r="O596" s="1"/>
      <c r="Y596" s="76"/>
      <c r="AA596" s="77"/>
      <c r="AB596" s="76"/>
      <c r="AD596" s="77"/>
      <c r="AE596" s="76"/>
      <c r="AG596" s="77"/>
      <c r="AH596" s="76"/>
      <c r="AJ596" s="77"/>
      <c r="AK596" s="76"/>
      <c r="AM596" s="77"/>
      <c r="AN596" s="76"/>
      <c r="AP596" s="77"/>
      <c r="AQ596" s="76"/>
      <c r="AS596" s="77"/>
      <c r="AT596" s="76"/>
      <c r="AV596" s="77"/>
    </row>
    <row r="597">
      <c r="K597" s="1"/>
      <c r="L597" s="2"/>
      <c r="M597" s="1"/>
      <c r="N597" s="1"/>
      <c r="O597" s="1"/>
      <c r="Y597" s="76"/>
      <c r="AA597" s="77"/>
      <c r="AB597" s="76"/>
      <c r="AD597" s="77"/>
      <c r="AE597" s="76"/>
      <c r="AG597" s="77"/>
      <c r="AH597" s="76"/>
      <c r="AJ597" s="77"/>
      <c r="AK597" s="76"/>
      <c r="AM597" s="77"/>
      <c r="AN597" s="76"/>
      <c r="AP597" s="77"/>
      <c r="AQ597" s="76"/>
      <c r="AS597" s="77"/>
      <c r="AT597" s="76"/>
      <c r="AV597" s="77"/>
    </row>
    <row r="598">
      <c r="K598" s="1"/>
      <c r="L598" s="2"/>
      <c r="M598" s="1"/>
      <c r="N598" s="1"/>
      <c r="O598" s="1"/>
      <c r="Y598" s="76"/>
      <c r="AA598" s="77"/>
      <c r="AB598" s="76"/>
      <c r="AD598" s="77"/>
      <c r="AE598" s="76"/>
      <c r="AG598" s="77"/>
      <c r="AH598" s="76"/>
      <c r="AJ598" s="77"/>
      <c r="AK598" s="76"/>
      <c r="AM598" s="77"/>
      <c r="AN598" s="76"/>
      <c r="AP598" s="77"/>
      <c r="AQ598" s="76"/>
      <c r="AS598" s="77"/>
      <c r="AT598" s="76"/>
      <c r="AV598" s="77"/>
    </row>
    <row r="599">
      <c r="K599" s="1"/>
      <c r="L599" s="2"/>
      <c r="M599" s="1"/>
      <c r="N599" s="1"/>
      <c r="O599" s="1"/>
      <c r="Y599" s="76"/>
      <c r="AA599" s="77"/>
      <c r="AB599" s="76"/>
      <c r="AD599" s="77"/>
      <c r="AE599" s="76"/>
      <c r="AG599" s="77"/>
      <c r="AH599" s="76"/>
      <c r="AJ599" s="77"/>
      <c r="AK599" s="76"/>
      <c r="AM599" s="77"/>
      <c r="AN599" s="76"/>
      <c r="AP599" s="77"/>
      <c r="AQ599" s="76"/>
      <c r="AS599" s="77"/>
      <c r="AT599" s="76"/>
      <c r="AV599" s="77"/>
    </row>
    <row r="600">
      <c r="K600" s="1"/>
      <c r="L600" s="2"/>
      <c r="M600" s="1"/>
      <c r="N600" s="1"/>
      <c r="O600" s="1"/>
      <c r="Y600" s="76"/>
      <c r="AA600" s="77"/>
      <c r="AB600" s="76"/>
      <c r="AD600" s="77"/>
      <c r="AE600" s="76"/>
      <c r="AG600" s="77"/>
      <c r="AH600" s="76"/>
      <c r="AJ600" s="77"/>
      <c r="AK600" s="76"/>
      <c r="AM600" s="77"/>
      <c r="AN600" s="76"/>
      <c r="AP600" s="77"/>
      <c r="AQ600" s="76"/>
      <c r="AS600" s="77"/>
      <c r="AT600" s="76"/>
      <c r="AV600" s="77"/>
    </row>
    <row r="601">
      <c r="K601" s="1"/>
      <c r="L601" s="2"/>
      <c r="M601" s="1"/>
      <c r="N601" s="1"/>
      <c r="O601" s="1"/>
      <c r="Y601" s="76"/>
      <c r="AA601" s="77"/>
      <c r="AB601" s="76"/>
      <c r="AD601" s="77"/>
      <c r="AE601" s="76"/>
      <c r="AG601" s="77"/>
      <c r="AH601" s="76"/>
      <c r="AJ601" s="77"/>
      <c r="AK601" s="76"/>
      <c r="AM601" s="77"/>
      <c r="AN601" s="76"/>
      <c r="AP601" s="77"/>
      <c r="AQ601" s="76"/>
      <c r="AS601" s="77"/>
      <c r="AT601" s="76"/>
      <c r="AV601" s="77"/>
    </row>
    <row r="602">
      <c r="K602" s="1"/>
      <c r="L602" s="2"/>
      <c r="M602" s="1"/>
      <c r="N602" s="1"/>
      <c r="O602" s="1"/>
      <c r="Y602" s="76"/>
      <c r="AA602" s="77"/>
      <c r="AB602" s="76"/>
      <c r="AD602" s="77"/>
      <c r="AE602" s="76"/>
      <c r="AG602" s="77"/>
      <c r="AH602" s="76"/>
      <c r="AJ602" s="77"/>
      <c r="AK602" s="76"/>
      <c r="AM602" s="77"/>
      <c r="AN602" s="76"/>
      <c r="AP602" s="77"/>
      <c r="AQ602" s="76"/>
      <c r="AS602" s="77"/>
      <c r="AT602" s="76"/>
      <c r="AV602" s="77"/>
    </row>
    <row r="603">
      <c r="K603" s="1"/>
      <c r="L603" s="2"/>
      <c r="M603" s="1"/>
      <c r="N603" s="1"/>
      <c r="O603" s="1"/>
      <c r="Y603" s="76"/>
      <c r="AA603" s="77"/>
      <c r="AB603" s="76"/>
      <c r="AD603" s="77"/>
      <c r="AE603" s="76"/>
      <c r="AG603" s="77"/>
      <c r="AH603" s="76"/>
      <c r="AJ603" s="77"/>
      <c r="AK603" s="76"/>
      <c r="AM603" s="77"/>
      <c r="AN603" s="76"/>
      <c r="AP603" s="77"/>
      <c r="AQ603" s="76"/>
      <c r="AS603" s="77"/>
      <c r="AT603" s="76"/>
      <c r="AV603" s="77"/>
    </row>
    <row r="604">
      <c r="K604" s="1"/>
      <c r="L604" s="2"/>
      <c r="M604" s="1"/>
      <c r="N604" s="1"/>
      <c r="O604" s="1"/>
      <c r="Y604" s="76"/>
      <c r="AA604" s="77"/>
      <c r="AB604" s="76"/>
      <c r="AD604" s="77"/>
      <c r="AE604" s="76"/>
      <c r="AG604" s="77"/>
      <c r="AH604" s="76"/>
      <c r="AJ604" s="77"/>
      <c r="AK604" s="76"/>
      <c r="AM604" s="77"/>
      <c r="AN604" s="76"/>
      <c r="AP604" s="77"/>
      <c r="AQ604" s="76"/>
      <c r="AS604" s="77"/>
      <c r="AT604" s="76"/>
      <c r="AV604" s="77"/>
    </row>
    <row r="605">
      <c r="K605" s="1"/>
      <c r="L605" s="2"/>
      <c r="M605" s="1"/>
      <c r="N605" s="1"/>
      <c r="O605" s="1"/>
      <c r="Y605" s="76"/>
      <c r="AA605" s="77"/>
      <c r="AB605" s="76"/>
      <c r="AD605" s="77"/>
      <c r="AE605" s="76"/>
      <c r="AG605" s="77"/>
      <c r="AH605" s="76"/>
      <c r="AJ605" s="77"/>
      <c r="AK605" s="76"/>
      <c r="AM605" s="77"/>
      <c r="AN605" s="76"/>
      <c r="AP605" s="77"/>
      <c r="AQ605" s="76"/>
      <c r="AS605" s="77"/>
      <c r="AT605" s="76"/>
      <c r="AV605" s="77"/>
    </row>
    <row r="606">
      <c r="K606" s="1"/>
      <c r="L606" s="2"/>
      <c r="M606" s="1"/>
      <c r="N606" s="1"/>
      <c r="O606" s="1"/>
      <c r="Y606" s="76"/>
      <c r="AA606" s="77"/>
      <c r="AB606" s="76"/>
      <c r="AD606" s="77"/>
      <c r="AE606" s="76"/>
      <c r="AG606" s="77"/>
      <c r="AH606" s="76"/>
      <c r="AJ606" s="77"/>
      <c r="AK606" s="76"/>
      <c r="AM606" s="77"/>
      <c r="AN606" s="76"/>
      <c r="AP606" s="77"/>
      <c r="AQ606" s="76"/>
      <c r="AS606" s="77"/>
      <c r="AT606" s="76"/>
      <c r="AV606" s="77"/>
    </row>
    <row r="607">
      <c r="K607" s="1"/>
      <c r="L607" s="2"/>
      <c r="M607" s="1"/>
      <c r="N607" s="1"/>
      <c r="O607" s="1"/>
      <c r="Y607" s="76"/>
      <c r="AA607" s="77"/>
      <c r="AB607" s="76"/>
      <c r="AD607" s="77"/>
      <c r="AE607" s="76"/>
      <c r="AG607" s="77"/>
      <c r="AH607" s="76"/>
      <c r="AJ607" s="77"/>
      <c r="AK607" s="76"/>
      <c r="AM607" s="77"/>
      <c r="AN607" s="76"/>
      <c r="AP607" s="77"/>
      <c r="AQ607" s="76"/>
      <c r="AS607" s="77"/>
      <c r="AT607" s="76"/>
      <c r="AV607" s="77"/>
    </row>
    <row r="608">
      <c r="K608" s="1"/>
      <c r="L608" s="2"/>
      <c r="M608" s="1"/>
      <c r="N608" s="1"/>
      <c r="O608" s="1"/>
      <c r="Y608" s="76"/>
      <c r="AA608" s="77"/>
      <c r="AB608" s="76"/>
      <c r="AD608" s="77"/>
      <c r="AE608" s="76"/>
      <c r="AG608" s="77"/>
      <c r="AH608" s="76"/>
      <c r="AJ608" s="77"/>
      <c r="AK608" s="76"/>
      <c r="AM608" s="77"/>
      <c r="AN608" s="76"/>
      <c r="AP608" s="77"/>
      <c r="AQ608" s="76"/>
      <c r="AS608" s="77"/>
      <c r="AT608" s="76"/>
      <c r="AV608" s="77"/>
    </row>
    <row r="609">
      <c r="K609" s="1"/>
      <c r="L609" s="2"/>
      <c r="M609" s="1"/>
      <c r="N609" s="1"/>
      <c r="O609" s="1"/>
      <c r="Y609" s="76"/>
      <c r="AA609" s="77"/>
      <c r="AB609" s="76"/>
      <c r="AD609" s="77"/>
      <c r="AE609" s="76"/>
      <c r="AG609" s="77"/>
      <c r="AH609" s="76"/>
      <c r="AJ609" s="77"/>
      <c r="AK609" s="76"/>
      <c r="AM609" s="77"/>
      <c r="AN609" s="76"/>
      <c r="AP609" s="77"/>
      <c r="AQ609" s="76"/>
      <c r="AS609" s="77"/>
      <c r="AT609" s="76"/>
      <c r="AV609" s="77"/>
    </row>
    <row r="610">
      <c r="K610" s="1"/>
      <c r="L610" s="2"/>
      <c r="M610" s="1"/>
      <c r="N610" s="1"/>
      <c r="O610" s="1"/>
      <c r="Y610" s="76"/>
      <c r="AA610" s="77"/>
      <c r="AB610" s="76"/>
      <c r="AD610" s="77"/>
      <c r="AE610" s="76"/>
      <c r="AG610" s="77"/>
      <c r="AH610" s="76"/>
      <c r="AJ610" s="77"/>
      <c r="AK610" s="76"/>
      <c r="AM610" s="77"/>
      <c r="AN610" s="76"/>
      <c r="AP610" s="77"/>
      <c r="AQ610" s="76"/>
      <c r="AS610" s="77"/>
      <c r="AT610" s="76"/>
      <c r="AV610" s="77"/>
    </row>
    <row r="611">
      <c r="K611" s="1"/>
      <c r="L611" s="2"/>
      <c r="M611" s="1"/>
      <c r="N611" s="1"/>
      <c r="O611" s="1"/>
      <c r="Y611" s="76"/>
      <c r="AA611" s="77"/>
      <c r="AB611" s="76"/>
      <c r="AD611" s="77"/>
      <c r="AE611" s="76"/>
      <c r="AG611" s="77"/>
      <c r="AH611" s="76"/>
      <c r="AJ611" s="77"/>
      <c r="AK611" s="76"/>
      <c r="AM611" s="77"/>
      <c r="AN611" s="76"/>
      <c r="AP611" s="77"/>
      <c r="AQ611" s="76"/>
      <c r="AS611" s="77"/>
      <c r="AT611" s="76"/>
      <c r="AV611" s="77"/>
    </row>
    <row r="612">
      <c r="K612" s="1"/>
      <c r="L612" s="2"/>
      <c r="M612" s="1"/>
      <c r="N612" s="1"/>
      <c r="O612" s="1"/>
      <c r="Y612" s="76"/>
      <c r="AA612" s="77"/>
      <c r="AB612" s="76"/>
      <c r="AD612" s="77"/>
      <c r="AE612" s="76"/>
      <c r="AG612" s="77"/>
      <c r="AH612" s="76"/>
      <c r="AJ612" s="77"/>
      <c r="AK612" s="76"/>
      <c r="AM612" s="77"/>
      <c r="AN612" s="76"/>
      <c r="AP612" s="77"/>
      <c r="AQ612" s="76"/>
      <c r="AS612" s="77"/>
      <c r="AT612" s="76"/>
      <c r="AV612" s="77"/>
    </row>
    <row r="613">
      <c r="K613" s="1"/>
      <c r="L613" s="2"/>
      <c r="M613" s="1"/>
      <c r="N613" s="1"/>
      <c r="O613" s="1"/>
      <c r="Y613" s="76"/>
      <c r="AA613" s="77"/>
      <c r="AB613" s="76"/>
      <c r="AD613" s="77"/>
      <c r="AE613" s="76"/>
      <c r="AG613" s="77"/>
      <c r="AH613" s="76"/>
      <c r="AJ613" s="77"/>
      <c r="AK613" s="76"/>
      <c r="AM613" s="77"/>
      <c r="AN613" s="76"/>
      <c r="AP613" s="77"/>
      <c r="AQ613" s="76"/>
      <c r="AS613" s="77"/>
      <c r="AT613" s="76"/>
      <c r="AV613" s="77"/>
    </row>
    <row r="614">
      <c r="K614" s="1"/>
      <c r="L614" s="2"/>
      <c r="M614" s="1"/>
      <c r="N614" s="1"/>
      <c r="O614" s="1"/>
      <c r="Y614" s="76"/>
      <c r="AA614" s="77"/>
      <c r="AB614" s="76"/>
      <c r="AD614" s="77"/>
      <c r="AE614" s="76"/>
      <c r="AG614" s="77"/>
      <c r="AH614" s="76"/>
      <c r="AJ614" s="77"/>
      <c r="AK614" s="76"/>
      <c r="AM614" s="77"/>
      <c r="AN614" s="76"/>
      <c r="AP614" s="77"/>
      <c r="AQ614" s="76"/>
      <c r="AS614" s="77"/>
      <c r="AT614" s="76"/>
      <c r="AV614" s="77"/>
    </row>
    <row r="615">
      <c r="K615" s="1"/>
      <c r="L615" s="2"/>
      <c r="M615" s="1"/>
      <c r="N615" s="1"/>
      <c r="O615" s="1"/>
      <c r="Y615" s="76"/>
      <c r="AA615" s="77"/>
      <c r="AB615" s="76"/>
      <c r="AD615" s="77"/>
      <c r="AE615" s="76"/>
      <c r="AG615" s="77"/>
      <c r="AH615" s="76"/>
      <c r="AJ615" s="77"/>
      <c r="AK615" s="76"/>
      <c r="AM615" s="77"/>
      <c r="AN615" s="76"/>
      <c r="AP615" s="77"/>
      <c r="AQ615" s="76"/>
      <c r="AS615" s="77"/>
      <c r="AT615" s="76"/>
      <c r="AV615" s="77"/>
    </row>
    <row r="616">
      <c r="K616" s="1"/>
      <c r="L616" s="2"/>
      <c r="M616" s="1"/>
      <c r="N616" s="1"/>
      <c r="O616" s="1"/>
      <c r="Y616" s="76"/>
      <c r="AA616" s="77"/>
      <c r="AB616" s="76"/>
      <c r="AD616" s="77"/>
      <c r="AE616" s="76"/>
      <c r="AG616" s="77"/>
      <c r="AH616" s="76"/>
      <c r="AJ616" s="77"/>
      <c r="AK616" s="76"/>
      <c r="AM616" s="77"/>
      <c r="AN616" s="76"/>
      <c r="AP616" s="77"/>
      <c r="AQ616" s="76"/>
      <c r="AS616" s="77"/>
      <c r="AT616" s="76"/>
      <c r="AV616" s="77"/>
    </row>
    <row r="617">
      <c r="K617" s="1"/>
      <c r="L617" s="2"/>
      <c r="M617" s="1"/>
      <c r="N617" s="1"/>
      <c r="O617" s="1"/>
      <c r="Y617" s="76"/>
      <c r="AA617" s="77"/>
      <c r="AB617" s="76"/>
      <c r="AD617" s="77"/>
      <c r="AE617" s="76"/>
      <c r="AG617" s="77"/>
      <c r="AH617" s="76"/>
      <c r="AJ617" s="77"/>
      <c r="AK617" s="76"/>
      <c r="AM617" s="77"/>
      <c r="AN617" s="76"/>
      <c r="AP617" s="77"/>
      <c r="AQ617" s="76"/>
      <c r="AS617" s="77"/>
      <c r="AT617" s="76"/>
      <c r="AV617" s="77"/>
    </row>
    <row r="618">
      <c r="K618" s="1"/>
      <c r="L618" s="2"/>
      <c r="M618" s="1"/>
      <c r="N618" s="1"/>
      <c r="O618" s="1"/>
      <c r="Y618" s="76"/>
      <c r="AA618" s="77"/>
      <c r="AB618" s="76"/>
      <c r="AD618" s="77"/>
      <c r="AE618" s="76"/>
      <c r="AG618" s="77"/>
      <c r="AH618" s="76"/>
      <c r="AJ618" s="77"/>
      <c r="AK618" s="76"/>
      <c r="AM618" s="77"/>
      <c r="AN618" s="76"/>
      <c r="AP618" s="77"/>
      <c r="AQ618" s="76"/>
      <c r="AS618" s="77"/>
      <c r="AT618" s="76"/>
      <c r="AV618" s="77"/>
    </row>
    <row r="619">
      <c r="K619" s="1"/>
      <c r="L619" s="2"/>
      <c r="M619" s="1"/>
      <c r="N619" s="1"/>
      <c r="O619" s="1"/>
      <c r="Y619" s="76"/>
      <c r="AA619" s="77"/>
      <c r="AB619" s="76"/>
      <c r="AD619" s="77"/>
      <c r="AE619" s="76"/>
      <c r="AG619" s="77"/>
      <c r="AH619" s="76"/>
      <c r="AJ619" s="77"/>
      <c r="AK619" s="76"/>
      <c r="AM619" s="77"/>
      <c r="AN619" s="76"/>
      <c r="AP619" s="77"/>
      <c r="AQ619" s="76"/>
      <c r="AS619" s="77"/>
      <c r="AT619" s="76"/>
      <c r="AV619" s="77"/>
    </row>
    <row r="620">
      <c r="K620" s="1"/>
      <c r="L620" s="2"/>
      <c r="M620" s="1"/>
      <c r="N620" s="1"/>
      <c r="O620" s="1"/>
      <c r="Y620" s="76"/>
      <c r="AA620" s="77"/>
      <c r="AB620" s="76"/>
      <c r="AD620" s="77"/>
      <c r="AE620" s="76"/>
      <c r="AG620" s="77"/>
      <c r="AH620" s="76"/>
      <c r="AJ620" s="77"/>
      <c r="AK620" s="76"/>
      <c r="AM620" s="77"/>
      <c r="AN620" s="76"/>
      <c r="AP620" s="77"/>
      <c r="AQ620" s="76"/>
      <c r="AS620" s="77"/>
      <c r="AT620" s="76"/>
      <c r="AV620" s="77"/>
    </row>
    <row r="621">
      <c r="K621" s="1"/>
      <c r="L621" s="2"/>
      <c r="M621" s="1"/>
      <c r="N621" s="1"/>
      <c r="O621" s="1"/>
      <c r="Y621" s="76"/>
      <c r="AA621" s="77"/>
      <c r="AB621" s="76"/>
      <c r="AD621" s="77"/>
      <c r="AE621" s="76"/>
      <c r="AG621" s="77"/>
      <c r="AH621" s="76"/>
      <c r="AJ621" s="77"/>
      <c r="AK621" s="76"/>
      <c r="AM621" s="77"/>
      <c r="AN621" s="76"/>
      <c r="AP621" s="77"/>
      <c r="AQ621" s="76"/>
      <c r="AS621" s="77"/>
      <c r="AT621" s="76"/>
      <c r="AV621" s="77"/>
    </row>
    <row r="622">
      <c r="K622" s="1"/>
      <c r="L622" s="2"/>
      <c r="M622" s="1"/>
      <c r="N622" s="1"/>
      <c r="O622" s="1"/>
      <c r="Y622" s="76"/>
      <c r="AA622" s="77"/>
      <c r="AB622" s="76"/>
      <c r="AD622" s="77"/>
      <c r="AE622" s="76"/>
      <c r="AG622" s="77"/>
      <c r="AH622" s="76"/>
      <c r="AJ622" s="77"/>
      <c r="AK622" s="76"/>
      <c r="AM622" s="77"/>
      <c r="AN622" s="76"/>
      <c r="AP622" s="77"/>
      <c r="AQ622" s="76"/>
      <c r="AS622" s="77"/>
      <c r="AT622" s="76"/>
      <c r="AV622" s="77"/>
    </row>
    <row r="623">
      <c r="K623" s="1"/>
      <c r="L623" s="2"/>
      <c r="M623" s="1"/>
      <c r="N623" s="1"/>
      <c r="O623" s="1"/>
      <c r="Y623" s="76"/>
      <c r="AA623" s="77"/>
      <c r="AB623" s="76"/>
      <c r="AD623" s="77"/>
      <c r="AE623" s="76"/>
      <c r="AG623" s="77"/>
      <c r="AH623" s="76"/>
      <c r="AJ623" s="77"/>
      <c r="AK623" s="76"/>
      <c r="AM623" s="77"/>
      <c r="AN623" s="76"/>
      <c r="AP623" s="77"/>
      <c r="AQ623" s="76"/>
      <c r="AS623" s="77"/>
      <c r="AT623" s="76"/>
      <c r="AV623" s="77"/>
    </row>
    <row r="624">
      <c r="K624" s="1"/>
      <c r="L624" s="2"/>
      <c r="M624" s="1"/>
      <c r="N624" s="1"/>
      <c r="O624" s="1"/>
      <c r="Y624" s="76"/>
      <c r="AA624" s="77"/>
      <c r="AB624" s="76"/>
      <c r="AD624" s="77"/>
      <c r="AE624" s="76"/>
      <c r="AG624" s="77"/>
      <c r="AH624" s="76"/>
      <c r="AJ624" s="77"/>
      <c r="AK624" s="76"/>
      <c r="AM624" s="77"/>
      <c r="AN624" s="76"/>
      <c r="AP624" s="77"/>
      <c r="AQ624" s="76"/>
      <c r="AS624" s="77"/>
      <c r="AT624" s="76"/>
      <c r="AV624" s="77"/>
    </row>
    <row r="625">
      <c r="K625" s="1"/>
      <c r="L625" s="2"/>
      <c r="M625" s="1"/>
      <c r="N625" s="1"/>
      <c r="O625" s="1"/>
      <c r="Y625" s="76"/>
      <c r="AA625" s="77"/>
      <c r="AB625" s="76"/>
      <c r="AD625" s="77"/>
      <c r="AE625" s="76"/>
      <c r="AG625" s="77"/>
      <c r="AH625" s="76"/>
      <c r="AJ625" s="77"/>
      <c r="AK625" s="76"/>
      <c r="AM625" s="77"/>
      <c r="AN625" s="76"/>
      <c r="AP625" s="77"/>
      <c r="AQ625" s="76"/>
      <c r="AS625" s="77"/>
      <c r="AT625" s="76"/>
      <c r="AV625" s="77"/>
    </row>
    <row r="626">
      <c r="K626" s="1"/>
      <c r="L626" s="2"/>
      <c r="M626" s="1"/>
      <c r="N626" s="1"/>
      <c r="O626" s="1"/>
      <c r="Y626" s="76"/>
      <c r="AA626" s="77"/>
      <c r="AB626" s="76"/>
      <c r="AD626" s="77"/>
      <c r="AE626" s="76"/>
      <c r="AG626" s="77"/>
      <c r="AH626" s="76"/>
      <c r="AJ626" s="77"/>
      <c r="AK626" s="76"/>
      <c r="AM626" s="77"/>
      <c r="AN626" s="76"/>
      <c r="AP626" s="77"/>
      <c r="AQ626" s="76"/>
      <c r="AS626" s="77"/>
      <c r="AT626" s="76"/>
      <c r="AV626" s="77"/>
    </row>
    <row r="627">
      <c r="K627" s="1"/>
      <c r="L627" s="2"/>
      <c r="M627" s="1"/>
      <c r="N627" s="1"/>
      <c r="O627" s="1"/>
      <c r="Y627" s="76"/>
      <c r="AA627" s="77"/>
      <c r="AB627" s="76"/>
      <c r="AD627" s="77"/>
      <c r="AE627" s="76"/>
      <c r="AG627" s="77"/>
      <c r="AH627" s="76"/>
      <c r="AJ627" s="77"/>
      <c r="AK627" s="76"/>
      <c r="AM627" s="77"/>
      <c r="AN627" s="76"/>
      <c r="AP627" s="77"/>
      <c r="AQ627" s="76"/>
      <c r="AS627" s="77"/>
      <c r="AT627" s="76"/>
      <c r="AV627" s="77"/>
    </row>
    <row r="628">
      <c r="K628" s="1"/>
      <c r="L628" s="2"/>
      <c r="M628" s="1"/>
      <c r="N628" s="1"/>
      <c r="O628" s="1"/>
      <c r="Y628" s="76"/>
      <c r="AA628" s="77"/>
      <c r="AB628" s="76"/>
      <c r="AD628" s="77"/>
      <c r="AE628" s="76"/>
      <c r="AG628" s="77"/>
      <c r="AH628" s="76"/>
      <c r="AJ628" s="77"/>
      <c r="AK628" s="76"/>
      <c r="AM628" s="77"/>
      <c r="AN628" s="76"/>
      <c r="AP628" s="77"/>
      <c r="AQ628" s="76"/>
      <c r="AS628" s="77"/>
      <c r="AT628" s="76"/>
      <c r="AV628" s="77"/>
    </row>
    <row r="629">
      <c r="K629" s="1"/>
      <c r="L629" s="2"/>
      <c r="M629" s="1"/>
      <c r="N629" s="1"/>
      <c r="O629" s="1"/>
      <c r="Y629" s="76"/>
      <c r="AA629" s="77"/>
      <c r="AB629" s="76"/>
      <c r="AD629" s="77"/>
      <c r="AE629" s="76"/>
      <c r="AG629" s="77"/>
      <c r="AH629" s="76"/>
      <c r="AJ629" s="77"/>
      <c r="AK629" s="76"/>
      <c r="AM629" s="77"/>
      <c r="AN629" s="76"/>
      <c r="AP629" s="77"/>
      <c r="AQ629" s="76"/>
      <c r="AS629" s="77"/>
      <c r="AT629" s="76"/>
      <c r="AV629" s="77"/>
    </row>
    <row r="630">
      <c r="K630" s="1"/>
      <c r="L630" s="2"/>
      <c r="M630" s="1"/>
      <c r="N630" s="1"/>
      <c r="O630" s="1"/>
      <c r="Y630" s="76"/>
      <c r="AA630" s="77"/>
      <c r="AB630" s="76"/>
      <c r="AD630" s="77"/>
      <c r="AE630" s="76"/>
      <c r="AG630" s="77"/>
      <c r="AH630" s="76"/>
      <c r="AJ630" s="77"/>
      <c r="AK630" s="76"/>
      <c r="AM630" s="77"/>
      <c r="AN630" s="76"/>
      <c r="AP630" s="77"/>
      <c r="AQ630" s="76"/>
      <c r="AS630" s="77"/>
      <c r="AT630" s="76"/>
      <c r="AV630" s="77"/>
    </row>
    <row r="631">
      <c r="K631" s="1"/>
      <c r="L631" s="2"/>
      <c r="M631" s="1"/>
      <c r="N631" s="1"/>
      <c r="O631" s="1"/>
      <c r="Y631" s="76"/>
      <c r="AA631" s="77"/>
      <c r="AB631" s="76"/>
      <c r="AD631" s="77"/>
      <c r="AE631" s="76"/>
      <c r="AG631" s="77"/>
      <c r="AH631" s="76"/>
      <c r="AJ631" s="77"/>
      <c r="AK631" s="76"/>
      <c r="AM631" s="77"/>
      <c r="AN631" s="76"/>
      <c r="AP631" s="77"/>
      <c r="AQ631" s="76"/>
      <c r="AS631" s="77"/>
      <c r="AT631" s="76"/>
      <c r="AV631" s="77"/>
    </row>
    <row r="632">
      <c r="K632" s="1"/>
      <c r="L632" s="2"/>
      <c r="M632" s="1"/>
      <c r="N632" s="1"/>
      <c r="O632" s="1"/>
      <c r="Y632" s="76"/>
      <c r="AA632" s="77"/>
      <c r="AB632" s="76"/>
      <c r="AD632" s="77"/>
      <c r="AE632" s="76"/>
      <c r="AG632" s="77"/>
      <c r="AH632" s="76"/>
      <c r="AJ632" s="77"/>
      <c r="AK632" s="76"/>
      <c r="AM632" s="77"/>
      <c r="AN632" s="76"/>
      <c r="AP632" s="77"/>
      <c r="AQ632" s="76"/>
      <c r="AS632" s="77"/>
      <c r="AT632" s="76"/>
      <c r="AV632" s="77"/>
    </row>
    <row r="633">
      <c r="K633" s="1"/>
      <c r="L633" s="2"/>
      <c r="M633" s="1"/>
      <c r="N633" s="1"/>
      <c r="O633" s="1"/>
      <c r="Y633" s="76"/>
      <c r="AA633" s="77"/>
      <c r="AB633" s="76"/>
      <c r="AD633" s="77"/>
      <c r="AE633" s="76"/>
      <c r="AG633" s="77"/>
      <c r="AH633" s="76"/>
      <c r="AJ633" s="77"/>
      <c r="AK633" s="76"/>
      <c r="AM633" s="77"/>
      <c r="AN633" s="76"/>
      <c r="AP633" s="77"/>
      <c r="AQ633" s="76"/>
      <c r="AS633" s="77"/>
      <c r="AT633" s="76"/>
      <c r="AV633" s="77"/>
    </row>
    <row r="634">
      <c r="K634" s="1"/>
      <c r="L634" s="2"/>
      <c r="M634" s="1"/>
      <c r="N634" s="1"/>
      <c r="O634" s="1"/>
      <c r="Y634" s="76"/>
      <c r="AA634" s="77"/>
      <c r="AB634" s="76"/>
      <c r="AD634" s="77"/>
      <c r="AE634" s="76"/>
      <c r="AG634" s="77"/>
      <c r="AH634" s="76"/>
      <c r="AJ634" s="77"/>
      <c r="AK634" s="76"/>
      <c r="AM634" s="77"/>
      <c r="AN634" s="76"/>
      <c r="AP634" s="77"/>
      <c r="AQ634" s="76"/>
      <c r="AS634" s="77"/>
      <c r="AT634" s="76"/>
      <c r="AV634" s="77"/>
    </row>
    <row r="635">
      <c r="K635" s="1"/>
      <c r="L635" s="2"/>
      <c r="M635" s="1"/>
      <c r="N635" s="1"/>
      <c r="O635" s="1"/>
      <c r="Y635" s="76"/>
      <c r="AA635" s="77"/>
      <c r="AB635" s="76"/>
      <c r="AD635" s="77"/>
      <c r="AE635" s="76"/>
      <c r="AG635" s="77"/>
      <c r="AH635" s="76"/>
      <c r="AJ635" s="77"/>
      <c r="AK635" s="76"/>
      <c r="AM635" s="77"/>
      <c r="AN635" s="76"/>
      <c r="AP635" s="77"/>
      <c r="AQ635" s="76"/>
      <c r="AS635" s="77"/>
      <c r="AT635" s="76"/>
      <c r="AV635" s="77"/>
    </row>
    <row r="636">
      <c r="K636" s="1"/>
      <c r="L636" s="2"/>
      <c r="M636" s="1"/>
      <c r="N636" s="1"/>
      <c r="O636" s="1"/>
      <c r="Y636" s="76"/>
      <c r="AA636" s="77"/>
      <c r="AB636" s="76"/>
      <c r="AD636" s="77"/>
      <c r="AE636" s="76"/>
      <c r="AG636" s="77"/>
      <c r="AH636" s="76"/>
      <c r="AJ636" s="77"/>
      <c r="AK636" s="76"/>
      <c r="AM636" s="77"/>
      <c r="AN636" s="76"/>
      <c r="AP636" s="77"/>
      <c r="AQ636" s="76"/>
      <c r="AS636" s="77"/>
      <c r="AT636" s="76"/>
      <c r="AV636" s="77"/>
    </row>
    <row r="637">
      <c r="K637" s="1"/>
      <c r="L637" s="2"/>
      <c r="M637" s="1"/>
      <c r="N637" s="1"/>
      <c r="O637" s="1"/>
      <c r="Y637" s="76"/>
      <c r="AA637" s="77"/>
      <c r="AB637" s="76"/>
      <c r="AD637" s="77"/>
      <c r="AE637" s="76"/>
      <c r="AG637" s="77"/>
      <c r="AH637" s="76"/>
      <c r="AJ637" s="77"/>
      <c r="AK637" s="76"/>
      <c r="AM637" s="77"/>
      <c r="AN637" s="76"/>
      <c r="AP637" s="77"/>
      <c r="AQ637" s="76"/>
      <c r="AS637" s="77"/>
      <c r="AT637" s="76"/>
      <c r="AV637" s="77"/>
    </row>
    <row r="638">
      <c r="K638" s="1"/>
      <c r="L638" s="2"/>
      <c r="M638" s="1"/>
      <c r="N638" s="1"/>
      <c r="O638" s="1"/>
      <c r="Y638" s="76"/>
      <c r="AA638" s="77"/>
      <c r="AB638" s="76"/>
      <c r="AD638" s="77"/>
      <c r="AE638" s="76"/>
      <c r="AG638" s="77"/>
      <c r="AH638" s="76"/>
      <c r="AJ638" s="77"/>
      <c r="AK638" s="76"/>
      <c r="AM638" s="77"/>
      <c r="AN638" s="76"/>
      <c r="AP638" s="77"/>
      <c r="AQ638" s="76"/>
      <c r="AS638" s="77"/>
      <c r="AT638" s="76"/>
      <c r="AV638" s="77"/>
    </row>
    <row r="639">
      <c r="K639" s="1"/>
      <c r="L639" s="2"/>
      <c r="M639" s="1"/>
      <c r="N639" s="1"/>
      <c r="O639" s="1"/>
      <c r="Y639" s="76"/>
      <c r="AA639" s="77"/>
      <c r="AB639" s="76"/>
      <c r="AD639" s="77"/>
      <c r="AE639" s="76"/>
      <c r="AG639" s="77"/>
      <c r="AH639" s="76"/>
      <c r="AJ639" s="77"/>
      <c r="AK639" s="76"/>
      <c r="AM639" s="77"/>
      <c r="AN639" s="76"/>
      <c r="AP639" s="77"/>
      <c r="AQ639" s="76"/>
      <c r="AS639" s="77"/>
      <c r="AT639" s="76"/>
      <c r="AV639" s="77"/>
    </row>
    <row r="640">
      <c r="K640" s="1"/>
      <c r="L640" s="2"/>
      <c r="M640" s="1"/>
      <c r="N640" s="1"/>
      <c r="O640" s="1"/>
      <c r="Y640" s="76"/>
      <c r="AA640" s="77"/>
      <c r="AB640" s="76"/>
      <c r="AD640" s="77"/>
      <c r="AE640" s="76"/>
      <c r="AG640" s="77"/>
      <c r="AH640" s="76"/>
      <c r="AJ640" s="77"/>
      <c r="AK640" s="76"/>
      <c r="AM640" s="77"/>
      <c r="AN640" s="76"/>
      <c r="AP640" s="77"/>
      <c r="AQ640" s="76"/>
      <c r="AS640" s="77"/>
      <c r="AT640" s="76"/>
      <c r="AV640" s="77"/>
    </row>
    <row r="641">
      <c r="K641" s="1"/>
      <c r="L641" s="2"/>
      <c r="M641" s="1"/>
      <c r="N641" s="1"/>
      <c r="O641" s="1"/>
      <c r="Y641" s="76"/>
      <c r="AA641" s="77"/>
      <c r="AB641" s="76"/>
      <c r="AD641" s="77"/>
      <c r="AE641" s="76"/>
      <c r="AG641" s="77"/>
      <c r="AH641" s="76"/>
      <c r="AJ641" s="77"/>
      <c r="AK641" s="76"/>
      <c r="AM641" s="77"/>
      <c r="AN641" s="76"/>
      <c r="AP641" s="77"/>
      <c r="AQ641" s="76"/>
      <c r="AS641" s="77"/>
      <c r="AT641" s="76"/>
      <c r="AV641" s="77"/>
    </row>
    <row r="642">
      <c r="K642" s="1"/>
      <c r="L642" s="2"/>
      <c r="M642" s="1"/>
      <c r="N642" s="1"/>
      <c r="O642" s="1"/>
      <c r="Y642" s="76"/>
      <c r="AA642" s="77"/>
      <c r="AB642" s="76"/>
      <c r="AD642" s="77"/>
      <c r="AE642" s="76"/>
      <c r="AG642" s="77"/>
      <c r="AH642" s="76"/>
      <c r="AJ642" s="77"/>
      <c r="AK642" s="76"/>
      <c r="AM642" s="77"/>
      <c r="AN642" s="76"/>
      <c r="AP642" s="77"/>
      <c r="AQ642" s="76"/>
      <c r="AS642" s="77"/>
      <c r="AT642" s="76"/>
      <c r="AV642" s="77"/>
    </row>
    <row r="643">
      <c r="K643" s="1"/>
      <c r="L643" s="2"/>
      <c r="M643" s="1"/>
      <c r="N643" s="1"/>
      <c r="O643" s="1"/>
      <c r="Y643" s="76"/>
      <c r="AA643" s="77"/>
      <c r="AB643" s="76"/>
      <c r="AD643" s="77"/>
      <c r="AE643" s="76"/>
      <c r="AG643" s="77"/>
      <c r="AH643" s="76"/>
      <c r="AJ643" s="77"/>
      <c r="AK643" s="76"/>
      <c r="AM643" s="77"/>
      <c r="AN643" s="76"/>
      <c r="AP643" s="77"/>
      <c r="AQ643" s="76"/>
      <c r="AS643" s="77"/>
      <c r="AT643" s="76"/>
      <c r="AV643" s="77"/>
    </row>
    <row r="644">
      <c r="K644" s="1"/>
      <c r="L644" s="2"/>
      <c r="M644" s="1"/>
      <c r="N644" s="1"/>
      <c r="O644" s="1"/>
      <c r="Y644" s="76"/>
      <c r="AA644" s="77"/>
      <c r="AB644" s="76"/>
      <c r="AD644" s="77"/>
      <c r="AE644" s="76"/>
      <c r="AG644" s="77"/>
      <c r="AH644" s="76"/>
      <c r="AJ644" s="77"/>
      <c r="AK644" s="76"/>
      <c r="AM644" s="77"/>
      <c r="AN644" s="76"/>
      <c r="AP644" s="77"/>
      <c r="AQ644" s="76"/>
      <c r="AS644" s="77"/>
      <c r="AT644" s="76"/>
      <c r="AV644" s="77"/>
    </row>
    <row r="645">
      <c r="K645" s="1"/>
      <c r="L645" s="2"/>
      <c r="M645" s="1"/>
      <c r="N645" s="1"/>
      <c r="O645" s="1"/>
      <c r="Y645" s="76"/>
      <c r="AA645" s="77"/>
      <c r="AB645" s="76"/>
      <c r="AD645" s="77"/>
      <c r="AE645" s="76"/>
      <c r="AG645" s="77"/>
      <c r="AH645" s="76"/>
      <c r="AJ645" s="77"/>
      <c r="AK645" s="76"/>
      <c r="AM645" s="77"/>
      <c r="AN645" s="76"/>
      <c r="AP645" s="77"/>
      <c r="AQ645" s="76"/>
      <c r="AS645" s="77"/>
      <c r="AT645" s="76"/>
      <c r="AV645" s="77"/>
    </row>
    <row r="646">
      <c r="K646" s="1"/>
      <c r="L646" s="2"/>
      <c r="M646" s="1"/>
      <c r="N646" s="1"/>
      <c r="O646" s="1"/>
      <c r="Y646" s="76"/>
      <c r="AA646" s="77"/>
      <c r="AB646" s="76"/>
      <c r="AD646" s="77"/>
      <c r="AE646" s="76"/>
      <c r="AG646" s="77"/>
      <c r="AH646" s="76"/>
      <c r="AJ646" s="77"/>
      <c r="AK646" s="76"/>
      <c r="AM646" s="77"/>
      <c r="AN646" s="76"/>
      <c r="AP646" s="77"/>
      <c r="AQ646" s="76"/>
      <c r="AS646" s="77"/>
      <c r="AT646" s="76"/>
      <c r="AV646" s="77"/>
    </row>
    <row r="647">
      <c r="K647" s="1"/>
      <c r="L647" s="2"/>
      <c r="M647" s="1"/>
      <c r="N647" s="1"/>
      <c r="O647" s="1"/>
      <c r="Y647" s="76"/>
      <c r="AA647" s="77"/>
      <c r="AB647" s="76"/>
      <c r="AD647" s="77"/>
      <c r="AE647" s="76"/>
      <c r="AG647" s="77"/>
      <c r="AH647" s="76"/>
      <c r="AJ647" s="77"/>
      <c r="AK647" s="76"/>
      <c r="AM647" s="77"/>
      <c r="AN647" s="76"/>
      <c r="AP647" s="77"/>
      <c r="AQ647" s="76"/>
      <c r="AS647" s="77"/>
      <c r="AT647" s="76"/>
      <c r="AV647" s="77"/>
    </row>
    <row r="648">
      <c r="K648" s="1"/>
      <c r="L648" s="2"/>
      <c r="M648" s="1"/>
      <c r="N648" s="1"/>
      <c r="O648" s="1"/>
      <c r="Y648" s="76"/>
      <c r="AA648" s="77"/>
      <c r="AB648" s="76"/>
      <c r="AD648" s="77"/>
      <c r="AE648" s="76"/>
      <c r="AG648" s="77"/>
      <c r="AH648" s="76"/>
      <c r="AJ648" s="77"/>
      <c r="AK648" s="76"/>
      <c r="AM648" s="77"/>
      <c r="AN648" s="76"/>
      <c r="AP648" s="77"/>
      <c r="AQ648" s="76"/>
      <c r="AS648" s="77"/>
      <c r="AT648" s="76"/>
      <c r="AV648" s="77"/>
    </row>
    <row r="649">
      <c r="K649" s="1"/>
      <c r="L649" s="2"/>
      <c r="M649" s="1"/>
      <c r="N649" s="1"/>
      <c r="O649" s="1"/>
      <c r="Y649" s="76"/>
      <c r="AA649" s="77"/>
      <c r="AB649" s="76"/>
      <c r="AD649" s="77"/>
      <c r="AE649" s="76"/>
      <c r="AG649" s="77"/>
      <c r="AH649" s="76"/>
      <c r="AJ649" s="77"/>
      <c r="AK649" s="76"/>
      <c r="AM649" s="77"/>
      <c r="AN649" s="76"/>
      <c r="AP649" s="77"/>
      <c r="AQ649" s="76"/>
      <c r="AS649" s="77"/>
      <c r="AT649" s="76"/>
      <c r="AV649" s="77"/>
    </row>
    <row r="650">
      <c r="K650" s="1"/>
      <c r="L650" s="2"/>
      <c r="M650" s="1"/>
      <c r="N650" s="1"/>
      <c r="O650" s="1"/>
      <c r="Y650" s="76"/>
      <c r="AA650" s="77"/>
      <c r="AB650" s="76"/>
      <c r="AD650" s="77"/>
      <c r="AE650" s="76"/>
      <c r="AG650" s="77"/>
      <c r="AH650" s="76"/>
      <c r="AJ650" s="77"/>
      <c r="AK650" s="76"/>
      <c r="AM650" s="77"/>
      <c r="AN650" s="76"/>
      <c r="AP650" s="77"/>
      <c r="AQ650" s="76"/>
      <c r="AS650" s="77"/>
      <c r="AT650" s="76"/>
      <c r="AV650" s="77"/>
    </row>
    <row r="651">
      <c r="K651" s="1"/>
      <c r="L651" s="2"/>
      <c r="M651" s="1"/>
      <c r="N651" s="1"/>
      <c r="O651" s="1"/>
      <c r="Y651" s="76"/>
      <c r="AA651" s="77"/>
      <c r="AB651" s="76"/>
      <c r="AD651" s="77"/>
      <c r="AE651" s="76"/>
      <c r="AG651" s="77"/>
      <c r="AH651" s="76"/>
      <c r="AJ651" s="77"/>
      <c r="AK651" s="76"/>
      <c r="AM651" s="77"/>
      <c r="AN651" s="76"/>
      <c r="AP651" s="77"/>
      <c r="AQ651" s="76"/>
      <c r="AS651" s="77"/>
      <c r="AT651" s="76"/>
      <c r="AV651" s="77"/>
    </row>
    <row r="652">
      <c r="K652" s="1"/>
      <c r="L652" s="2"/>
      <c r="M652" s="1"/>
      <c r="N652" s="1"/>
      <c r="O652" s="1"/>
      <c r="Y652" s="76"/>
      <c r="AA652" s="77"/>
      <c r="AB652" s="76"/>
      <c r="AD652" s="77"/>
      <c r="AE652" s="76"/>
      <c r="AG652" s="77"/>
      <c r="AH652" s="76"/>
      <c r="AJ652" s="77"/>
      <c r="AK652" s="76"/>
      <c r="AM652" s="77"/>
      <c r="AN652" s="76"/>
      <c r="AP652" s="77"/>
      <c r="AQ652" s="76"/>
      <c r="AS652" s="77"/>
      <c r="AT652" s="76"/>
      <c r="AV652" s="77"/>
    </row>
    <row r="653">
      <c r="K653" s="1"/>
      <c r="L653" s="2"/>
      <c r="M653" s="1"/>
      <c r="N653" s="1"/>
      <c r="O653" s="1"/>
      <c r="Y653" s="76"/>
      <c r="AA653" s="77"/>
      <c r="AB653" s="76"/>
      <c r="AD653" s="77"/>
      <c r="AE653" s="76"/>
      <c r="AG653" s="77"/>
      <c r="AH653" s="76"/>
      <c r="AJ653" s="77"/>
      <c r="AK653" s="76"/>
      <c r="AM653" s="77"/>
      <c r="AN653" s="76"/>
      <c r="AP653" s="77"/>
      <c r="AQ653" s="76"/>
      <c r="AS653" s="77"/>
      <c r="AT653" s="76"/>
      <c r="AV653" s="77"/>
    </row>
    <row r="654">
      <c r="K654" s="1"/>
      <c r="L654" s="2"/>
      <c r="M654" s="1"/>
      <c r="N654" s="1"/>
      <c r="O654" s="1"/>
      <c r="Y654" s="76"/>
      <c r="AA654" s="77"/>
      <c r="AB654" s="76"/>
      <c r="AD654" s="77"/>
      <c r="AE654" s="76"/>
      <c r="AG654" s="77"/>
      <c r="AH654" s="76"/>
      <c r="AJ654" s="77"/>
      <c r="AK654" s="76"/>
      <c r="AM654" s="77"/>
      <c r="AN654" s="76"/>
      <c r="AP654" s="77"/>
      <c r="AQ654" s="76"/>
      <c r="AS654" s="77"/>
      <c r="AT654" s="76"/>
      <c r="AV654" s="77"/>
    </row>
    <row r="655">
      <c r="K655" s="1"/>
      <c r="L655" s="2"/>
      <c r="M655" s="1"/>
      <c r="N655" s="1"/>
      <c r="O655" s="1"/>
      <c r="Y655" s="76"/>
      <c r="AA655" s="77"/>
      <c r="AB655" s="76"/>
      <c r="AD655" s="77"/>
      <c r="AE655" s="76"/>
      <c r="AG655" s="77"/>
      <c r="AH655" s="76"/>
      <c r="AJ655" s="77"/>
      <c r="AK655" s="76"/>
      <c r="AM655" s="77"/>
      <c r="AN655" s="76"/>
      <c r="AP655" s="77"/>
      <c r="AQ655" s="76"/>
      <c r="AS655" s="77"/>
      <c r="AT655" s="76"/>
      <c r="AV655" s="77"/>
    </row>
    <row r="656">
      <c r="K656" s="1"/>
      <c r="L656" s="2"/>
      <c r="M656" s="1"/>
      <c r="N656" s="1"/>
      <c r="O656" s="1"/>
      <c r="Y656" s="76"/>
      <c r="AA656" s="77"/>
      <c r="AB656" s="76"/>
      <c r="AD656" s="77"/>
      <c r="AE656" s="76"/>
      <c r="AG656" s="77"/>
      <c r="AH656" s="76"/>
      <c r="AJ656" s="77"/>
      <c r="AK656" s="76"/>
      <c r="AM656" s="77"/>
      <c r="AN656" s="76"/>
      <c r="AP656" s="77"/>
      <c r="AQ656" s="76"/>
      <c r="AS656" s="77"/>
      <c r="AT656" s="76"/>
      <c r="AV656" s="77"/>
    </row>
    <row r="657">
      <c r="K657" s="1"/>
      <c r="L657" s="2"/>
      <c r="M657" s="1"/>
      <c r="N657" s="1"/>
      <c r="O657" s="1"/>
      <c r="Y657" s="76"/>
      <c r="AA657" s="77"/>
      <c r="AB657" s="76"/>
      <c r="AD657" s="77"/>
      <c r="AE657" s="76"/>
      <c r="AG657" s="77"/>
      <c r="AH657" s="76"/>
      <c r="AJ657" s="77"/>
      <c r="AK657" s="76"/>
      <c r="AM657" s="77"/>
      <c r="AN657" s="76"/>
      <c r="AP657" s="77"/>
      <c r="AQ657" s="76"/>
      <c r="AS657" s="77"/>
      <c r="AT657" s="76"/>
      <c r="AV657" s="77"/>
    </row>
    <row r="658">
      <c r="K658" s="1"/>
      <c r="L658" s="2"/>
      <c r="M658" s="1"/>
      <c r="N658" s="1"/>
      <c r="O658" s="1"/>
      <c r="Y658" s="76"/>
      <c r="AA658" s="77"/>
      <c r="AB658" s="76"/>
      <c r="AD658" s="77"/>
      <c r="AE658" s="76"/>
      <c r="AG658" s="77"/>
      <c r="AH658" s="76"/>
      <c r="AJ658" s="77"/>
      <c r="AK658" s="76"/>
      <c r="AM658" s="77"/>
      <c r="AN658" s="76"/>
      <c r="AP658" s="77"/>
      <c r="AQ658" s="76"/>
      <c r="AS658" s="77"/>
      <c r="AT658" s="76"/>
      <c r="AV658" s="77"/>
    </row>
    <row r="659">
      <c r="K659" s="1"/>
      <c r="L659" s="2"/>
      <c r="M659" s="1"/>
      <c r="N659" s="1"/>
      <c r="O659" s="1"/>
      <c r="Y659" s="76"/>
      <c r="AA659" s="77"/>
      <c r="AB659" s="76"/>
      <c r="AD659" s="77"/>
      <c r="AE659" s="76"/>
      <c r="AG659" s="77"/>
      <c r="AH659" s="76"/>
      <c r="AJ659" s="77"/>
      <c r="AK659" s="76"/>
      <c r="AM659" s="77"/>
      <c r="AN659" s="76"/>
      <c r="AP659" s="77"/>
      <c r="AQ659" s="76"/>
      <c r="AS659" s="77"/>
      <c r="AT659" s="76"/>
      <c r="AV659" s="77"/>
    </row>
    <row r="660">
      <c r="K660" s="1"/>
      <c r="L660" s="2"/>
      <c r="M660" s="1"/>
      <c r="N660" s="1"/>
      <c r="O660" s="1"/>
      <c r="Y660" s="76"/>
      <c r="AA660" s="77"/>
      <c r="AB660" s="76"/>
      <c r="AD660" s="77"/>
      <c r="AE660" s="76"/>
      <c r="AG660" s="77"/>
      <c r="AH660" s="76"/>
      <c r="AJ660" s="77"/>
      <c r="AK660" s="76"/>
      <c r="AM660" s="77"/>
      <c r="AN660" s="76"/>
      <c r="AP660" s="77"/>
      <c r="AQ660" s="76"/>
      <c r="AS660" s="77"/>
      <c r="AT660" s="76"/>
      <c r="AV660" s="77"/>
    </row>
    <row r="661">
      <c r="K661" s="1"/>
      <c r="L661" s="2"/>
      <c r="M661" s="1"/>
      <c r="N661" s="1"/>
      <c r="O661" s="1"/>
      <c r="Y661" s="76"/>
      <c r="AA661" s="77"/>
      <c r="AB661" s="76"/>
      <c r="AD661" s="77"/>
      <c r="AE661" s="76"/>
      <c r="AG661" s="77"/>
      <c r="AH661" s="76"/>
      <c r="AJ661" s="77"/>
      <c r="AK661" s="76"/>
      <c r="AM661" s="77"/>
      <c r="AN661" s="76"/>
      <c r="AP661" s="77"/>
      <c r="AQ661" s="76"/>
      <c r="AS661" s="77"/>
      <c r="AT661" s="76"/>
      <c r="AV661" s="77"/>
    </row>
    <row r="662">
      <c r="K662" s="1"/>
      <c r="L662" s="2"/>
      <c r="M662" s="1"/>
      <c r="N662" s="1"/>
      <c r="O662" s="1"/>
      <c r="Y662" s="76"/>
      <c r="AA662" s="77"/>
      <c r="AB662" s="76"/>
      <c r="AD662" s="77"/>
      <c r="AE662" s="76"/>
      <c r="AG662" s="77"/>
      <c r="AH662" s="76"/>
      <c r="AJ662" s="77"/>
      <c r="AK662" s="76"/>
      <c r="AM662" s="77"/>
      <c r="AN662" s="76"/>
      <c r="AP662" s="77"/>
      <c r="AQ662" s="76"/>
      <c r="AS662" s="77"/>
      <c r="AT662" s="76"/>
      <c r="AV662" s="77"/>
    </row>
    <row r="663">
      <c r="K663" s="1"/>
      <c r="L663" s="2"/>
      <c r="M663" s="1"/>
      <c r="N663" s="1"/>
      <c r="O663" s="1"/>
      <c r="Y663" s="76"/>
      <c r="AA663" s="77"/>
      <c r="AB663" s="76"/>
      <c r="AD663" s="77"/>
      <c r="AE663" s="76"/>
      <c r="AG663" s="77"/>
      <c r="AH663" s="76"/>
      <c r="AJ663" s="77"/>
      <c r="AK663" s="76"/>
      <c r="AM663" s="77"/>
      <c r="AN663" s="76"/>
      <c r="AP663" s="77"/>
      <c r="AQ663" s="76"/>
      <c r="AS663" s="77"/>
      <c r="AT663" s="76"/>
      <c r="AV663" s="77"/>
    </row>
    <row r="664">
      <c r="K664" s="1"/>
      <c r="L664" s="2"/>
      <c r="M664" s="1"/>
      <c r="N664" s="1"/>
      <c r="O664" s="1"/>
      <c r="Y664" s="76"/>
      <c r="AA664" s="77"/>
      <c r="AB664" s="76"/>
      <c r="AD664" s="77"/>
      <c r="AE664" s="76"/>
      <c r="AG664" s="77"/>
      <c r="AH664" s="76"/>
      <c r="AJ664" s="77"/>
      <c r="AK664" s="76"/>
      <c r="AM664" s="77"/>
      <c r="AN664" s="76"/>
      <c r="AP664" s="77"/>
      <c r="AQ664" s="76"/>
      <c r="AS664" s="77"/>
      <c r="AT664" s="76"/>
      <c r="AV664" s="77"/>
    </row>
    <row r="665">
      <c r="K665" s="1"/>
      <c r="L665" s="2"/>
      <c r="M665" s="1"/>
      <c r="N665" s="1"/>
      <c r="O665" s="1"/>
      <c r="Y665" s="76"/>
      <c r="AA665" s="77"/>
      <c r="AB665" s="76"/>
      <c r="AD665" s="77"/>
      <c r="AE665" s="76"/>
      <c r="AG665" s="77"/>
      <c r="AH665" s="76"/>
      <c r="AJ665" s="77"/>
      <c r="AK665" s="76"/>
      <c r="AM665" s="77"/>
      <c r="AN665" s="76"/>
      <c r="AP665" s="77"/>
      <c r="AQ665" s="76"/>
      <c r="AS665" s="77"/>
      <c r="AT665" s="76"/>
      <c r="AV665" s="77"/>
    </row>
    <row r="666">
      <c r="K666" s="1"/>
      <c r="L666" s="2"/>
      <c r="M666" s="1"/>
      <c r="N666" s="1"/>
      <c r="O666" s="1"/>
      <c r="Y666" s="76"/>
      <c r="AA666" s="77"/>
      <c r="AB666" s="76"/>
      <c r="AD666" s="77"/>
      <c r="AE666" s="76"/>
      <c r="AG666" s="77"/>
      <c r="AH666" s="76"/>
      <c r="AJ666" s="77"/>
      <c r="AK666" s="76"/>
      <c r="AM666" s="77"/>
      <c r="AN666" s="76"/>
      <c r="AP666" s="77"/>
      <c r="AQ666" s="76"/>
      <c r="AS666" s="77"/>
      <c r="AT666" s="76"/>
      <c r="AV666" s="77"/>
    </row>
    <row r="667">
      <c r="K667" s="1"/>
      <c r="L667" s="2"/>
      <c r="M667" s="1"/>
      <c r="N667" s="1"/>
      <c r="O667" s="1"/>
      <c r="Y667" s="76"/>
      <c r="AA667" s="77"/>
      <c r="AB667" s="76"/>
      <c r="AD667" s="77"/>
      <c r="AE667" s="76"/>
      <c r="AG667" s="77"/>
      <c r="AH667" s="76"/>
      <c r="AJ667" s="77"/>
      <c r="AK667" s="76"/>
      <c r="AM667" s="77"/>
      <c r="AN667" s="76"/>
      <c r="AP667" s="77"/>
      <c r="AQ667" s="76"/>
      <c r="AS667" s="77"/>
      <c r="AT667" s="76"/>
      <c r="AV667" s="77"/>
    </row>
    <row r="668">
      <c r="K668" s="1"/>
      <c r="L668" s="2"/>
      <c r="M668" s="1"/>
      <c r="N668" s="1"/>
      <c r="O668" s="1"/>
      <c r="Y668" s="76"/>
      <c r="AA668" s="77"/>
      <c r="AB668" s="76"/>
      <c r="AD668" s="77"/>
      <c r="AE668" s="76"/>
      <c r="AG668" s="77"/>
      <c r="AH668" s="76"/>
      <c r="AJ668" s="77"/>
      <c r="AK668" s="76"/>
      <c r="AM668" s="77"/>
      <c r="AN668" s="76"/>
      <c r="AP668" s="77"/>
      <c r="AQ668" s="76"/>
      <c r="AS668" s="77"/>
      <c r="AT668" s="76"/>
      <c r="AV668" s="77"/>
    </row>
    <row r="669">
      <c r="K669" s="1"/>
      <c r="L669" s="2"/>
      <c r="M669" s="1"/>
      <c r="N669" s="1"/>
      <c r="O669" s="1"/>
      <c r="Y669" s="76"/>
      <c r="AA669" s="77"/>
      <c r="AB669" s="76"/>
      <c r="AD669" s="77"/>
      <c r="AE669" s="76"/>
      <c r="AG669" s="77"/>
      <c r="AH669" s="76"/>
      <c r="AJ669" s="77"/>
      <c r="AK669" s="76"/>
      <c r="AM669" s="77"/>
      <c r="AN669" s="76"/>
      <c r="AP669" s="77"/>
      <c r="AQ669" s="76"/>
      <c r="AS669" s="77"/>
      <c r="AT669" s="76"/>
      <c r="AV669" s="77"/>
    </row>
    <row r="670">
      <c r="K670" s="1"/>
      <c r="L670" s="2"/>
      <c r="M670" s="1"/>
      <c r="N670" s="1"/>
      <c r="O670" s="1"/>
      <c r="Y670" s="76"/>
      <c r="AA670" s="77"/>
      <c r="AB670" s="76"/>
      <c r="AD670" s="77"/>
      <c r="AE670" s="76"/>
      <c r="AG670" s="77"/>
      <c r="AH670" s="76"/>
      <c r="AJ670" s="77"/>
      <c r="AK670" s="76"/>
      <c r="AM670" s="77"/>
      <c r="AN670" s="76"/>
      <c r="AP670" s="77"/>
      <c r="AQ670" s="76"/>
      <c r="AS670" s="77"/>
      <c r="AT670" s="76"/>
      <c r="AV670" s="77"/>
    </row>
    <row r="671">
      <c r="K671" s="1"/>
      <c r="L671" s="2"/>
      <c r="M671" s="1"/>
      <c r="N671" s="1"/>
      <c r="O671" s="1"/>
      <c r="Y671" s="76"/>
      <c r="AA671" s="77"/>
      <c r="AB671" s="76"/>
      <c r="AD671" s="77"/>
      <c r="AE671" s="76"/>
      <c r="AG671" s="77"/>
      <c r="AH671" s="76"/>
      <c r="AJ671" s="77"/>
      <c r="AK671" s="76"/>
      <c r="AM671" s="77"/>
      <c r="AN671" s="76"/>
      <c r="AP671" s="77"/>
      <c r="AQ671" s="76"/>
      <c r="AS671" s="77"/>
      <c r="AT671" s="76"/>
      <c r="AV671" s="77"/>
    </row>
    <row r="672">
      <c r="K672" s="1"/>
      <c r="L672" s="2"/>
      <c r="M672" s="1"/>
      <c r="N672" s="1"/>
      <c r="O672" s="1"/>
      <c r="Y672" s="76"/>
      <c r="AA672" s="77"/>
      <c r="AB672" s="76"/>
      <c r="AD672" s="77"/>
      <c r="AE672" s="76"/>
      <c r="AG672" s="77"/>
      <c r="AH672" s="76"/>
      <c r="AJ672" s="77"/>
      <c r="AK672" s="76"/>
      <c r="AM672" s="77"/>
      <c r="AN672" s="76"/>
      <c r="AP672" s="77"/>
      <c r="AQ672" s="76"/>
      <c r="AS672" s="77"/>
      <c r="AT672" s="76"/>
      <c r="AV672" s="77"/>
    </row>
    <row r="673">
      <c r="K673" s="1"/>
      <c r="L673" s="2"/>
      <c r="M673" s="1"/>
      <c r="N673" s="1"/>
      <c r="O673" s="1"/>
      <c r="Y673" s="76"/>
      <c r="AA673" s="77"/>
      <c r="AB673" s="76"/>
      <c r="AD673" s="77"/>
      <c r="AE673" s="76"/>
      <c r="AG673" s="77"/>
      <c r="AH673" s="76"/>
      <c r="AJ673" s="77"/>
      <c r="AK673" s="76"/>
      <c r="AM673" s="77"/>
      <c r="AN673" s="76"/>
      <c r="AP673" s="77"/>
      <c r="AQ673" s="76"/>
      <c r="AS673" s="77"/>
      <c r="AT673" s="76"/>
      <c r="AV673" s="77"/>
    </row>
    <row r="674">
      <c r="K674" s="1"/>
      <c r="L674" s="2"/>
      <c r="M674" s="1"/>
      <c r="N674" s="1"/>
      <c r="O674" s="1"/>
      <c r="Y674" s="76"/>
      <c r="AA674" s="77"/>
      <c r="AB674" s="76"/>
      <c r="AD674" s="77"/>
      <c r="AE674" s="76"/>
      <c r="AG674" s="77"/>
      <c r="AH674" s="76"/>
      <c r="AJ674" s="77"/>
      <c r="AK674" s="76"/>
      <c r="AM674" s="77"/>
      <c r="AN674" s="76"/>
      <c r="AP674" s="77"/>
      <c r="AQ674" s="76"/>
      <c r="AS674" s="77"/>
      <c r="AT674" s="76"/>
      <c r="AV674" s="77"/>
    </row>
    <row r="675">
      <c r="K675" s="1"/>
      <c r="L675" s="2"/>
      <c r="M675" s="1"/>
      <c r="N675" s="1"/>
      <c r="O675" s="1"/>
      <c r="Y675" s="76"/>
      <c r="AA675" s="77"/>
      <c r="AB675" s="76"/>
      <c r="AD675" s="77"/>
      <c r="AE675" s="76"/>
      <c r="AG675" s="77"/>
      <c r="AH675" s="76"/>
      <c r="AJ675" s="77"/>
      <c r="AK675" s="76"/>
      <c r="AM675" s="77"/>
      <c r="AN675" s="76"/>
      <c r="AP675" s="77"/>
      <c r="AQ675" s="76"/>
      <c r="AS675" s="77"/>
      <c r="AT675" s="76"/>
      <c r="AV675" s="77"/>
    </row>
    <row r="676">
      <c r="K676" s="1"/>
      <c r="L676" s="2"/>
      <c r="M676" s="1"/>
      <c r="N676" s="1"/>
      <c r="O676" s="1"/>
      <c r="Y676" s="76"/>
      <c r="AA676" s="77"/>
      <c r="AB676" s="76"/>
      <c r="AD676" s="77"/>
      <c r="AE676" s="76"/>
      <c r="AG676" s="77"/>
      <c r="AH676" s="76"/>
      <c r="AJ676" s="77"/>
      <c r="AK676" s="76"/>
      <c r="AM676" s="77"/>
      <c r="AN676" s="76"/>
      <c r="AP676" s="77"/>
      <c r="AQ676" s="76"/>
      <c r="AS676" s="77"/>
      <c r="AT676" s="76"/>
      <c r="AV676" s="77"/>
    </row>
    <row r="677">
      <c r="K677" s="1"/>
      <c r="L677" s="2"/>
      <c r="M677" s="1"/>
      <c r="N677" s="1"/>
      <c r="O677" s="1"/>
      <c r="Y677" s="76"/>
      <c r="AA677" s="77"/>
      <c r="AB677" s="76"/>
      <c r="AD677" s="77"/>
      <c r="AE677" s="76"/>
      <c r="AG677" s="77"/>
      <c r="AH677" s="76"/>
      <c r="AJ677" s="77"/>
      <c r="AK677" s="76"/>
      <c r="AM677" s="77"/>
      <c r="AN677" s="76"/>
      <c r="AP677" s="77"/>
      <c r="AQ677" s="76"/>
      <c r="AS677" s="77"/>
      <c r="AT677" s="76"/>
      <c r="AV677" s="77"/>
    </row>
    <row r="678">
      <c r="K678" s="1"/>
      <c r="L678" s="2"/>
      <c r="M678" s="1"/>
      <c r="N678" s="1"/>
      <c r="O678" s="1"/>
      <c r="Y678" s="76"/>
      <c r="AA678" s="77"/>
      <c r="AB678" s="76"/>
      <c r="AD678" s="77"/>
      <c r="AE678" s="76"/>
      <c r="AG678" s="77"/>
      <c r="AH678" s="76"/>
      <c r="AJ678" s="77"/>
      <c r="AK678" s="76"/>
      <c r="AM678" s="77"/>
      <c r="AN678" s="76"/>
      <c r="AP678" s="77"/>
      <c r="AQ678" s="76"/>
      <c r="AS678" s="77"/>
      <c r="AT678" s="76"/>
      <c r="AV678" s="77"/>
    </row>
    <row r="679">
      <c r="K679" s="1"/>
      <c r="L679" s="2"/>
      <c r="M679" s="1"/>
      <c r="N679" s="1"/>
      <c r="O679" s="1"/>
      <c r="Y679" s="76"/>
      <c r="AA679" s="77"/>
      <c r="AB679" s="76"/>
      <c r="AD679" s="77"/>
      <c r="AE679" s="76"/>
      <c r="AG679" s="77"/>
      <c r="AH679" s="76"/>
      <c r="AJ679" s="77"/>
      <c r="AK679" s="76"/>
      <c r="AM679" s="77"/>
      <c r="AN679" s="76"/>
      <c r="AP679" s="77"/>
      <c r="AQ679" s="76"/>
      <c r="AS679" s="77"/>
      <c r="AT679" s="76"/>
      <c r="AV679" s="77"/>
    </row>
    <row r="680">
      <c r="K680" s="1"/>
      <c r="L680" s="2"/>
      <c r="M680" s="1"/>
      <c r="N680" s="1"/>
      <c r="O680" s="1"/>
      <c r="Y680" s="76"/>
      <c r="AA680" s="77"/>
      <c r="AB680" s="76"/>
      <c r="AD680" s="77"/>
      <c r="AE680" s="76"/>
      <c r="AG680" s="77"/>
      <c r="AH680" s="76"/>
      <c r="AJ680" s="77"/>
      <c r="AK680" s="76"/>
      <c r="AM680" s="77"/>
      <c r="AN680" s="76"/>
      <c r="AP680" s="77"/>
      <c r="AQ680" s="76"/>
      <c r="AS680" s="77"/>
      <c r="AT680" s="76"/>
      <c r="AV680" s="77"/>
    </row>
    <row r="681">
      <c r="K681" s="1"/>
      <c r="L681" s="2"/>
      <c r="M681" s="1"/>
      <c r="N681" s="1"/>
      <c r="O681" s="1"/>
      <c r="Y681" s="76"/>
      <c r="AA681" s="77"/>
      <c r="AB681" s="76"/>
      <c r="AD681" s="77"/>
      <c r="AE681" s="76"/>
      <c r="AG681" s="77"/>
      <c r="AH681" s="76"/>
      <c r="AJ681" s="77"/>
      <c r="AK681" s="76"/>
      <c r="AM681" s="77"/>
      <c r="AN681" s="76"/>
      <c r="AP681" s="77"/>
      <c r="AQ681" s="76"/>
      <c r="AS681" s="77"/>
      <c r="AT681" s="76"/>
      <c r="AV681" s="77"/>
    </row>
    <row r="682">
      <c r="K682" s="1"/>
      <c r="L682" s="2"/>
      <c r="M682" s="1"/>
      <c r="N682" s="1"/>
      <c r="O682" s="1"/>
      <c r="Y682" s="76"/>
      <c r="AA682" s="77"/>
      <c r="AB682" s="76"/>
      <c r="AD682" s="77"/>
      <c r="AE682" s="76"/>
      <c r="AG682" s="77"/>
      <c r="AH682" s="76"/>
      <c r="AJ682" s="77"/>
      <c r="AK682" s="76"/>
      <c r="AM682" s="77"/>
      <c r="AN682" s="76"/>
      <c r="AP682" s="77"/>
      <c r="AQ682" s="76"/>
      <c r="AS682" s="77"/>
      <c r="AT682" s="76"/>
      <c r="AV682" s="77"/>
    </row>
    <row r="683">
      <c r="K683" s="1"/>
      <c r="L683" s="2"/>
      <c r="M683" s="1"/>
      <c r="N683" s="1"/>
      <c r="O683" s="1"/>
      <c r="Y683" s="76"/>
      <c r="AA683" s="77"/>
      <c r="AB683" s="76"/>
      <c r="AD683" s="77"/>
      <c r="AE683" s="76"/>
      <c r="AG683" s="77"/>
      <c r="AH683" s="76"/>
      <c r="AJ683" s="77"/>
      <c r="AK683" s="76"/>
      <c r="AM683" s="77"/>
      <c r="AN683" s="76"/>
      <c r="AP683" s="77"/>
      <c r="AQ683" s="76"/>
      <c r="AS683" s="77"/>
      <c r="AT683" s="76"/>
      <c r="AV683" s="77"/>
    </row>
    <row r="684">
      <c r="K684" s="1"/>
      <c r="L684" s="2"/>
      <c r="M684" s="1"/>
      <c r="N684" s="1"/>
      <c r="O684" s="1"/>
      <c r="Y684" s="76"/>
      <c r="AA684" s="77"/>
      <c r="AB684" s="76"/>
      <c r="AD684" s="77"/>
      <c r="AE684" s="76"/>
      <c r="AG684" s="77"/>
      <c r="AH684" s="76"/>
      <c r="AJ684" s="77"/>
      <c r="AK684" s="76"/>
      <c r="AM684" s="77"/>
      <c r="AN684" s="76"/>
      <c r="AP684" s="77"/>
      <c r="AQ684" s="76"/>
      <c r="AS684" s="77"/>
      <c r="AT684" s="76"/>
      <c r="AV684" s="77"/>
    </row>
    <row r="685">
      <c r="K685" s="1"/>
      <c r="L685" s="2"/>
      <c r="M685" s="1"/>
      <c r="N685" s="1"/>
      <c r="O685" s="1"/>
      <c r="Y685" s="76"/>
      <c r="AA685" s="77"/>
      <c r="AB685" s="76"/>
      <c r="AD685" s="77"/>
      <c r="AE685" s="76"/>
      <c r="AG685" s="77"/>
      <c r="AH685" s="76"/>
      <c r="AJ685" s="77"/>
      <c r="AK685" s="76"/>
      <c r="AM685" s="77"/>
      <c r="AN685" s="76"/>
      <c r="AP685" s="77"/>
      <c r="AQ685" s="76"/>
      <c r="AS685" s="77"/>
      <c r="AT685" s="76"/>
      <c r="AV685" s="77"/>
    </row>
    <row r="686">
      <c r="K686" s="1"/>
      <c r="L686" s="2"/>
      <c r="M686" s="1"/>
      <c r="N686" s="1"/>
      <c r="O686" s="1"/>
      <c r="Y686" s="76"/>
      <c r="AA686" s="77"/>
      <c r="AB686" s="76"/>
      <c r="AD686" s="77"/>
      <c r="AE686" s="76"/>
      <c r="AG686" s="77"/>
      <c r="AH686" s="76"/>
      <c r="AJ686" s="77"/>
      <c r="AK686" s="76"/>
      <c r="AM686" s="77"/>
      <c r="AN686" s="76"/>
      <c r="AP686" s="77"/>
      <c r="AQ686" s="76"/>
      <c r="AS686" s="77"/>
      <c r="AT686" s="76"/>
      <c r="AV686" s="77"/>
    </row>
    <row r="687">
      <c r="K687" s="1"/>
      <c r="L687" s="2"/>
      <c r="M687" s="1"/>
      <c r="N687" s="1"/>
      <c r="O687" s="1"/>
      <c r="Y687" s="76"/>
      <c r="AA687" s="77"/>
      <c r="AB687" s="76"/>
      <c r="AD687" s="77"/>
      <c r="AE687" s="76"/>
      <c r="AG687" s="77"/>
      <c r="AH687" s="76"/>
      <c r="AJ687" s="77"/>
      <c r="AK687" s="76"/>
      <c r="AM687" s="77"/>
      <c r="AN687" s="76"/>
      <c r="AP687" s="77"/>
      <c r="AQ687" s="76"/>
      <c r="AS687" s="77"/>
      <c r="AT687" s="76"/>
      <c r="AV687" s="77"/>
    </row>
    <row r="688">
      <c r="K688" s="1"/>
      <c r="L688" s="2"/>
      <c r="M688" s="1"/>
      <c r="N688" s="1"/>
      <c r="O688" s="1"/>
      <c r="Y688" s="76"/>
      <c r="AA688" s="77"/>
      <c r="AB688" s="76"/>
      <c r="AD688" s="77"/>
      <c r="AE688" s="76"/>
      <c r="AG688" s="77"/>
      <c r="AH688" s="76"/>
      <c r="AJ688" s="77"/>
      <c r="AK688" s="76"/>
      <c r="AM688" s="77"/>
      <c r="AN688" s="76"/>
      <c r="AP688" s="77"/>
      <c r="AQ688" s="76"/>
      <c r="AS688" s="77"/>
      <c r="AT688" s="76"/>
      <c r="AV688" s="77"/>
    </row>
    <row r="689">
      <c r="K689" s="1"/>
      <c r="L689" s="2"/>
      <c r="M689" s="1"/>
      <c r="N689" s="1"/>
      <c r="O689" s="1"/>
      <c r="Y689" s="76"/>
      <c r="AA689" s="77"/>
      <c r="AB689" s="76"/>
      <c r="AD689" s="77"/>
      <c r="AE689" s="76"/>
      <c r="AG689" s="77"/>
      <c r="AH689" s="76"/>
      <c r="AJ689" s="77"/>
      <c r="AK689" s="76"/>
      <c r="AM689" s="77"/>
      <c r="AN689" s="76"/>
      <c r="AP689" s="77"/>
      <c r="AQ689" s="76"/>
      <c r="AS689" s="77"/>
      <c r="AT689" s="76"/>
      <c r="AV689" s="77"/>
    </row>
    <row r="690">
      <c r="K690" s="1"/>
      <c r="L690" s="2"/>
      <c r="M690" s="1"/>
      <c r="N690" s="1"/>
      <c r="O690" s="1"/>
      <c r="Y690" s="76"/>
      <c r="AA690" s="77"/>
      <c r="AB690" s="76"/>
      <c r="AD690" s="77"/>
      <c r="AE690" s="76"/>
      <c r="AG690" s="77"/>
      <c r="AH690" s="76"/>
      <c r="AJ690" s="77"/>
      <c r="AK690" s="76"/>
      <c r="AM690" s="77"/>
      <c r="AN690" s="76"/>
      <c r="AP690" s="77"/>
      <c r="AQ690" s="76"/>
      <c r="AS690" s="77"/>
      <c r="AT690" s="76"/>
      <c r="AV690" s="77"/>
    </row>
    <row r="691">
      <c r="K691" s="1"/>
      <c r="L691" s="2"/>
      <c r="M691" s="1"/>
      <c r="N691" s="1"/>
      <c r="O691" s="1"/>
      <c r="Y691" s="76"/>
      <c r="AA691" s="77"/>
      <c r="AB691" s="76"/>
      <c r="AD691" s="77"/>
      <c r="AE691" s="76"/>
      <c r="AG691" s="77"/>
      <c r="AH691" s="76"/>
      <c r="AJ691" s="77"/>
      <c r="AK691" s="76"/>
      <c r="AM691" s="77"/>
      <c r="AN691" s="76"/>
      <c r="AP691" s="77"/>
      <c r="AQ691" s="76"/>
      <c r="AS691" s="77"/>
      <c r="AT691" s="76"/>
      <c r="AV691" s="77"/>
    </row>
    <row r="692">
      <c r="K692" s="1"/>
      <c r="L692" s="2"/>
      <c r="M692" s="1"/>
      <c r="N692" s="1"/>
      <c r="O692" s="1"/>
      <c r="Y692" s="76"/>
      <c r="AA692" s="77"/>
      <c r="AB692" s="76"/>
      <c r="AD692" s="77"/>
      <c r="AE692" s="76"/>
      <c r="AG692" s="77"/>
      <c r="AH692" s="76"/>
      <c r="AJ692" s="77"/>
      <c r="AK692" s="76"/>
      <c r="AM692" s="77"/>
      <c r="AN692" s="76"/>
      <c r="AP692" s="77"/>
      <c r="AQ692" s="76"/>
      <c r="AS692" s="77"/>
      <c r="AT692" s="76"/>
      <c r="AV692" s="77"/>
    </row>
    <row r="693">
      <c r="K693" s="1"/>
      <c r="L693" s="2"/>
      <c r="M693" s="1"/>
      <c r="N693" s="1"/>
      <c r="O693" s="1"/>
      <c r="Y693" s="76"/>
      <c r="AA693" s="77"/>
      <c r="AB693" s="76"/>
      <c r="AD693" s="77"/>
      <c r="AE693" s="76"/>
      <c r="AG693" s="77"/>
      <c r="AH693" s="76"/>
      <c r="AJ693" s="77"/>
      <c r="AK693" s="76"/>
      <c r="AM693" s="77"/>
      <c r="AN693" s="76"/>
      <c r="AP693" s="77"/>
      <c r="AQ693" s="76"/>
      <c r="AS693" s="77"/>
      <c r="AT693" s="76"/>
      <c r="AV693" s="77"/>
    </row>
    <row r="694">
      <c r="K694" s="1"/>
      <c r="L694" s="2"/>
      <c r="M694" s="1"/>
      <c r="N694" s="1"/>
      <c r="O694" s="1"/>
      <c r="Y694" s="76"/>
      <c r="AA694" s="77"/>
      <c r="AB694" s="76"/>
      <c r="AD694" s="77"/>
      <c r="AE694" s="76"/>
      <c r="AG694" s="77"/>
      <c r="AH694" s="76"/>
      <c r="AJ694" s="77"/>
      <c r="AK694" s="76"/>
      <c r="AM694" s="77"/>
      <c r="AN694" s="76"/>
      <c r="AP694" s="77"/>
      <c r="AQ694" s="76"/>
      <c r="AS694" s="77"/>
      <c r="AT694" s="76"/>
      <c r="AV694" s="77"/>
    </row>
    <row r="695">
      <c r="K695" s="1"/>
      <c r="L695" s="2"/>
      <c r="M695" s="1"/>
      <c r="N695" s="1"/>
      <c r="O695" s="1"/>
      <c r="Y695" s="76"/>
      <c r="AA695" s="77"/>
      <c r="AB695" s="76"/>
      <c r="AD695" s="77"/>
      <c r="AE695" s="76"/>
      <c r="AG695" s="77"/>
      <c r="AH695" s="76"/>
      <c r="AJ695" s="77"/>
      <c r="AK695" s="76"/>
      <c r="AM695" s="77"/>
      <c r="AN695" s="76"/>
      <c r="AP695" s="77"/>
      <c r="AQ695" s="76"/>
      <c r="AS695" s="77"/>
      <c r="AT695" s="76"/>
      <c r="AV695" s="77"/>
    </row>
    <row r="696">
      <c r="K696" s="1"/>
      <c r="L696" s="2"/>
      <c r="M696" s="1"/>
      <c r="N696" s="1"/>
      <c r="O696" s="1"/>
      <c r="Y696" s="76"/>
      <c r="AA696" s="77"/>
      <c r="AB696" s="76"/>
      <c r="AD696" s="77"/>
      <c r="AE696" s="76"/>
      <c r="AG696" s="77"/>
      <c r="AH696" s="76"/>
      <c r="AJ696" s="77"/>
      <c r="AK696" s="76"/>
      <c r="AM696" s="77"/>
      <c r="AN696" s="76"/>
      <c r="AP696" s="77"/>
      <c r="AQ696" s="76"/>
      <c r="AS696" s="77"/>
      <c r="AT696" s="76"/>
      <c r="AV696" s="77"/>
    </row>
    <row r="697">
      <c r="K697" s="1"/>
      <c r="L697" s="2"/>
      <c r="M697" s="1"/>
      <c r="N697" s="1"/>
      <c r="O697" s="1"/>
      <c r="Y697" s="76"/>
      <c r="AA697" s="77"/>
      <c r="AB697" s="76"/>
      <c r="AD697" s="77"/>
      <c r="AE697" s="76"/>
      <c r="AG697" s="77"/>
      <c r="AH697" s="76"/>
      <c r="AJ697" s="77"/>
      <c r="AK697" s="76"/>
      <c r="AM697" s="77"/>
      <c r="AN697" s="76"/>
      <c r="AP697" s="77"/>
      <c r="AQ697" s="76"/>
      <c r="AS697" s="77"/>
      <c r="AT697" s="76"/>
      <c r="AV697" s="77"/>
    </row>
    <row r="698">
      <c r="K698" s="1"/>
      <c r="L698" s="2"/>
      <c r="M698" s="1"/>
      <c r="N698" s="1"/>
      <c r="O698" s="1"/>
      <c r="Y698" s="76"/>
      <c r="AA698" s="77"/>
      <c r="AB698" s="76"/>
      <c r="AD698" s="77"/>
      <c r="AE698" s="76"/>
      <c r="AG698" s="77"/>
      <c r="AH698" s="76"/>
      <c r="AJ698" s="77"/>
      <c r="AK698" s="76"/>
      <c r="AM698" s="77"/>
      <c r="AN698" s="76"/>
      <c r="AP698" s="77"/>
      <c r="AQ698" s="76"/>
      <c r="AS698" s="77"/>
      <c r="AT698" s="76"/>
      <c r="AV698" s="77"/>
    </row>
    <row r="699">
      <c r="K699" s="1"/>
      <c r="L699" s="2"/>
      <c r="M699" s="1"/>
      <c r="N699" s="1"/>
      <c r="O699" s="1"/>
      <c r="Y699" s="76"/>
      <c r="AA699" s="77"/>
      <c r="AB699" s="76"/>
      <c r="AD699" s="77"/>
      <c r="AE699" s="76"/>
      <c r="AG699" s="77"/>
      <c r="AH699" s="76"/>
      <c r="AJ699" s="77"/>
      <c r="AK699" s="76"/>
      <c r="AM699" s="77"/>
      <c r="AN699" s="76"/>
      <c r="AP699" s="77"/>
      <c r="AQ699" s="76"/>
      <c r="AS699" s="77"/>
      <c r="AT699" s="76"/>
      <c r="AV699" s="77"/>
    </row>
    <row r="700">
      <c r="K700" s="1"/>
      <c r="L700" s="2"/>
      <c r="M700" s="1"/>
      <c r="N700" s="1"/>
      <c r="O700" s="1"/>
      <c r="Y700" s="76"/>
      <c r="AA700" s="77"/>
      <c r="AB700" s="76"/>
      <c r="AD700" s="77"/>
      <c r="AE700" s="76"/>
      <c r="AG700" s="77"/>
      <c r="AH700" s="76"/>
      <c r="AJ700" s="77"/>
      <c r="AK700" s="76"/>
      <c r="AM700" s="77"/>
      <c r="AN700" s="76"/>
      <c r="AP700" s="77"/>
      <c r="AQ700" s="76"/>
      <c r="AS700" s="77"/>
      <c r="AT700" s="76"/>
      <c r="AV700" s="77"/>
    </row>
    <row r="701">
      <c r="K701" s="1"/>
      <c r="L701" s="2"/>
      <c r="M701" s="1"/>
      <c r="N701" s="1"/>
      <c r="O701" s="1"/>
      <c r="Y701" s="76"/>
      <c r="AA701" s="77"/>
      <c r="AB701" s="76"/>
      <c r="AD701" s="77"/>
      <c r="AE701" s="76"/>
      <c r="AG701" s="77"/>
      <c r="AH701" s="76"/>
      <c r="AJ701" s="77"/>
      <c r="AK701" s="76"/>
      <c r="AM701" s="77"/>
      <c r="AN701" s="76"/>
      <c r="AP701" s="77"/>
      <c r="AQ701" s="76"/>
      <c r="AS701" s="77"/>
      <c r="AT701" s="76"/>
      <c r="AV701" s="77"/>
    </row>
    <row r="702">
      <c r="K702" s="1"/>
      <c r="L702" s="2"/>
      <c r="M702" s="1"/>
      <c r="N702" s="1"/>
      <c r="O702" s="1"/>
      <c r="Y702" s="76"/>
      <c r="AA702" s="77"/>
      <c r="AB702" s="76"/>
      <c r="AD702" s="77"/>
      <c r="AE702" s="76"/>
      <c r="AG702" s="77"/>
      <c r="AH702" s="76"/>
      <c r="AJ702" s="77"/>
      <c r="AK702" s="76"/>
      <c r="AM702" s="77"/>
      <c r="AN702" s="76"/>
      <c r="AP702" s="77"/>
      <c r="AQ702" s="76"/>
      <c r="AS702" s="77"/>
      <c r="AT702" s="76"/>
      <c r="AV702" s="77"/>
    </row>
    <row r="703">
      <c r="K703" s="1"/>
      <c r="L703" s="2"/>
      <c r="M703" s="1"/>
      <c r="N703" s="1"/>
      <c r="O703" s="1"/>
      <c r="Y703" s="76"/>
      <c r="AA703" s="77"/>
      <c r="AB703" s="76"/>
      <c r="AD703" s="77"/>
      <c r="AE703" s="76"/>
      <c r="AG703" s="77"/>
      <c r="AH703" s="76"/>
      <c r="AJ703" s="77"/>
      <c r="AK703" s="76"/>
      <c r="AM703" s="77"/>
      <c r="AN703" s="76"/>
      <c r="AP703" s="77"/>
      <c r="AQ703" s="76"/>
      <c r="AS703" s="77"/>
      <c r="AT703" s="76"/>
      <c r="AV703" s="77"/>
    </row>
    <row r="704">
      <c r="K704" s="1"/>
      <c r="L704" s="2"/>
      <c r="M704" s="1"/>
      <c r="N704" s="1"/>
      <c r="O704" s="1"/>
      <c r="Y704" s="76"/>
      <c r="AA704" s="77"/>
      <c r="AB704" s="76"/>
      <c r="AD704" s="77"/>
      <c r="AE704" s="76"/>
      <c r="AG704" s="77"/>
      <c r="AH704" s="76"/>
      <c r="AJ704" s="77"/>
      <c r="AK704" s="76"/>
      <c r="AM704" s="77"/>
      <c r="AN704" s="76"/>
      <c r="AP704" s="77"/>
      <c r="AQ704" s="76"/>
      <c r="AS704" s="77"/>
      <c r="AT704" s="76"/>
      <c r="AV704" s="77"/>
    </row>
    <row r="705">
      <c r="K705" s="1"/>
      <c r="L705" s="2"/>
      <c r="M705" s="1"/>
      <c r="N705" s="1"/>
      <c r="O705" s="1"/>
      <c r="Y705" s="76"/>
      <c r="AA705" s="77"/>
      <c r="AB705" s="76"/>
      <c r="AD705" s="77"/>
      <c r="AE705" s="76"/>
      <c r="AG705" s="77"/>
      <c r="AH705" s="76"/>
      <c r="AJ705" s="77"/>
      <c r="AK705" s="76"/>
      <c r="AM705" s="77"/>
      <c r="AN705" s="76"/>
      <c r="AP705" s="77"/>
      <c r="AQ705" s="76"/>
      <c r="AS705" s="77"/>
      <c r="AT705" s="76"/>
      <c r="AV705" s="77"/>
    </row>
    <row r="706">
      <c r="K706" s="1"/>
      <c r="L706" s="2"/>
      <c r="M706" s="1"/>
      <c r="N706" s="1"/>
      <c r="O706" s="1"/>
      <c r="Y706" s="76"/>
      <c r="AA706" s="77"/>
      <c r="AB706" s="76"/>
      <c r="AD706" s="77"/>
      <c r="AE706" s="76"/>
      <c r="AG706" s="77"/>
      <c r="AH706" s="76"/>
      <c r="AJ706" s="77"/>
      <c r="AK706" s="76"/>
      <c r="AM706" s="77"/>
      <c r="AN706" s="76"/>
      <c r="AP706" s="77"/>
      <c r="AQ706" s="76"/>
      <c r="AS706" s="77"/>
      <c r="AT706" s="76"/>
      <c r="AV706" s="77"/>
    </row>
    <row r="707">
      <c r="K707" s="1"/>
      <c r="L707" s="2"/>
      <c r="M707" s="1"/>
      <c r="N707" s="1"/>
      <c r="O707" s="1"/>
      <c r="Y707" s="76"/>
      <c r="AA707" s="77"/>
      <c r="AB707" s="76"/>
      <c r="AD707" s="77"/>
      <c r="AE707" s="76"/>
      <c r="AG707" s="77"/>
      <c r="AH707" s="76"/>
      <c r="AJ707" s="77"/>
      <c r="AK707" s="76"/>
      <c r="AM707" s="77"/>
      <c r="AN707" s="76"/>
      <c r="AP707" s="77"/>
      <c r="AQ707" s="76"/>
      <c r="AS707" s="77"/>
      <c r="AT707" s="76"/>
      <c r="AV707" s="77"/>
    </row>
    <row r="708">
      <c r="K708" s="1"/>
      <c r="L708" s="2"/>
      <c r="M708" s="1"/>
      <c r="N708" s="1"/>
      <c r="O708" s="1"/>
      <c r="Y708" s="76"/>
      <c r="AA708" s="77"/>
      <c r="AB708" s="76"/>
      <c r="AD708" s="77"/>
      <c r="AE708" s="76"/>
      <c r="AG708" s="77"/>
      <c r="AH708" s="76"/>
      <c r="AJ708" s="77"/>
      <c r="AK708" s="76"/>
      <c r="AM708" s="77"/>
      <c r="AN708" s="76"/>
      <c r="AP708" s="77"/>
      <c r="AQ708" s="76"/>
      <c r="AS708" s="77"/>
      <c r="AT708" s="76"/>
      <c r="AV708" s="77"/>
    </row>
    <row r="709">
      <c r="K709" s="1"/>
      <c r="L709" s="2"/>
      <c r="M709" s="1"/>
      <c r="N709" s="1"/>
      <c r="O709" s="1"/>
      <c r="Y709" s="76"/>
      <c r="AA709" s="77"/>
      <c r="AB709" s="76"/>
      <c r="AD709" s="77"/>
      <c r="AE709" s="76"/>
      <c r="AG709" s="77"/>
      <c r="AH709" s="76"/>
      <c r="AJ709" s="77"/>
      <c r="AK709" s="76"/>
      <c r="AM709" s="77"/>
      <c r="AN709" s="76"/>
      <c r="AP709" s="77"/>
      <c r="AQ709" s="76"/>
      <c r="AS709" s="77"/>
      <c r="AT709" s="76"/>
      <c r="AV709" s="77"/>
    </row>
    <row r="710">
      <c r="K710" s="1"/>
      <c r="L710" s="2"/>
      <c r="M710" s="1"/>
      <c r="N710" s="1"/>
      <c r="O710" s="1"/>
      <c r="Y710" s="76"/>
      <c r="AA710" s="77"/>
      <c r="AB710" s="76"/>
      <c r="AD710" s="77"/>
      <c r="AE710" s="76"/>
      <c r="AG710" s="77"/>
      <c r="AH710" s="76"/>
      <c r="AJ710" s="77"/>
      <c r="AK710" s="76"/>
      <c r="AM710" s="77"/>
      <c r="AN710" s="76"/>
      <c r="AP710" s="77"/>
      <c r="AQ710" s="76"/>
      <c r="AS710" s="77"/>
      <c r="AT710" s="76"/>
      <c r="AV710" s="77"/>
    </row>
    <row r="711">
      <c r="K711" s="1"/>
      <c r="L711" s="2"/>
      <c r="M711" s="1"/>
      <c r="N711" s="1"/>
      <c r="O711" s="1"/>
      <c r="Y711" s="76"/>
      <c r="AA711" s="77"/>
      <c r="AB711" s="76"/>
      <c r="AD711" s="77"/>
      <c r="AE711" s="76"/>
      <c r="AG711" s="77"/>
      <c r="AH711" s="76"/>
      <c r="AJ711" s="77"/>
      <c r="AK711" s="76"/>
      <c r="AM711" s="77"/>
      <c r="AN711" s="76"/>
      <c r="AP711" s="77"/>
      <c r="AQ711" s="76"/>
      <c r="AS711" s="77"/>
      <c r="AT711" s="76"/>
      <c r="AV711" s="77"/>
    </row>
    <row r="712">
      <c r="K712" s="1"/>
      <c r="L712" s="2"/>
      <c r="M712" s="1"/>
      <c r="N712" s="1"/>
      <c r="O712" s="1"/>
      <c r="Y712" s="76"/>
      <c r="AA712" s="77"/>
      <c r="AB712" s="76"/>
      <c r="AD712" s="77"/>
      <c r="AE712" s="76"/>
      <c r="AG712" s="77"/>
      <c r="AH712" s="76"/>
      <c r="AJ712" s="77"/>
      <c r="AK712" s="76"/>
      <c r="AM712" s="77"/>
      <c r="AN712" s="76"/>
      <c r="AP712" s="77"/>
      <c r="AQ712" s="76"/>
      <c r="AS712" s="77"/>
      <c r="AT712" s="76"/>
      <c r="AV712" s="77"/>
    </row>
    <row r="713">
      <c r="K713" s="1"/>
      <c r="L713" s="2"/>
      <c r="M713" s="1"/>
      <c r="N713" s="1"/>
      <c r="O713" s="1"/>
      <c r="Y713" s="76"/>
      <c r="AA713" s="77"/>
      <c r="AB713" s="76"/>
      <c r="AD713" s="77"/>
      <c r="AE713" s="76"/>
      <c r="AG713" s="77"/>
      <c r="AH713" s="76"/>
      <c r="AJ713" s="77"/>
      <c r="AK713" s="76"/>
      <c r="AM713" s="77"/>
      <c r="AN713" s="76"/>
      <c r="AP713" s="77"/>
      <c r="AQ713" s="76"/>
      <c r="AS713" s="77"/>
      <c r="AT713" s="76"/>
      <c r="AV713" s="77"/>
    </row>
    <row r="714">
      <c r="K714" s="1"/>
      <c r="L714" s="2"/>
      <c r="M714" s="1"/>
      <c r="N714" s="1"/>
      <c r="O714" s="1"/>
      <c r="Y714" s="76"/>
      <c r="AA714" s="77"/>
      <c r="AB714" s="76"/>
      <c r="AD714" s="77"/>
      <c r="AE714" s="76"/>
      <c r="AG714" s="77"/>
      <c r="AH714" s="76"/>
      <c r="AJ714" s="77"/>
      <c r="AK714" s="76"/>
      <c r="AM714" s="77"/>
      <c r="AN714" s="76"/>
      <c r="AP714" s="77"/>
      <c r="AQ714" s="76"/>
      <c r="AS714" s="77"/>
      <c r="AT714" s="76"/>
      <c r="AV714" s="77"/>
    </row>
    <row r="715">
      <c r="K715" s="1"/>
      <c r="L715" s="2"/>
      <c r="M715" s="1"/>
      <c r="N715" s="1"/>
      <c r="O715" s="1"/>
      <c r="Y715" s="76"/>
      <c r="AA715" s="77"/>
      <c r="AB715" s="76"/>
      <c r="AD715" s="77"/>
      <c r="AE715" s="76"/>
      <c r="AG715" s="77"/>
      <c r="AH715" s="76"/>
      <c r="AJ715" s="77"/>
      <c r="AK715" s="76"/>
      <c r="AM715" s="77"/>
      <c r="AN715" s="76"/>
      <c r="AP715" s="77"/>
      <c r="AQ715" s="76"/>
      <c r="AS715" s="77"/>
      <c r="AT715" s="76"/>
      <c r="AV715" s="77"/>
    </row>
    <row r="716">
      <c r="K716" s="1"/>
      <c r="L716" s="2"/>
      <c r="M716" s="1"/>
      <c r="N716" s="1"/>
      <c r="O716" s="1"/>
      <c r="Y716" s="76"/>
      <c r="AA716" s="77"/>
      <c r="AB716" s="76"/>
      <c r="AD716" s="77"/>
      <c r="AE716" s="76"/>
      <c r="AG716" s="77"/>
      <c r="AH716" s="76"/>
      <c r="AJ716" s="77"/>
      <c r="AK716" s="76"/>
      <c r="AM716" s="77"/>
      <c r="AN716" s="76"/>
      <c r="AP716" s="77"/>
      <c r="AQ716" s="76"/>
      <c r="AS716" s="77"/>
      <c r="AT716" s="76"/>
      <c r="AV716" s="77"/>
    </row>
    <row r="717">
      <c r="K717" s="1"/>
      <c r="L717" s="2"/>
      <c r="M717" s="1"/>
      <c r="N717" s="1"/>
      <c r="O717" s="1"/>
      <c r="Y717" s="76"/>
      <c r="AA717" s="77"/>
      <c r="AB717" s="76"/>
      <c r="AD717" s="77"/>
      <c r="AE717" s="76"/>
      <c r="AG717" s="77"/>
      <c r="AH717" s="76"/>
      <c r="AJ717" s="77"/>
      <c r="AK717" s="76"/>
      <c r="AM717" s="77"/>
      <c r="AN717" s="76"/>
      <c r="AP717" s="77"/>
      <c r="AQ717" s="76"/>
      <c r="AS717" s="77"/>
      <c r="AT717" s="76"/>
      <c r="AV717" s="77"/>
    </row>
    <row r="718">
      <c r="K718" s="1"/>
      <c r="L718" s="2"/>
      <c r="M718" s="1"/>
      <c r="N718" s="1"/>
      <c r="O718" s="1"/>
      <c r="Y718" s="76"/>
      <c r="AA718" s="77"/>
      <c r="AB718" s="76"/>
      <c r="AD718" s="77"/>
      <c r="AE718" s="76"/>
      <c r="AG718" s="77"/>
      <c r="AH718" s="76"/>
      <c r="AJ718" s="77"/>
      <c r="AK718" s="76"/>
      <c r="AM718" s="77"/>
      <c r="AN718" s="76"/>
      <c r="AP718" s="77"/>
      <c r="AQ718" s="76"/>
      <c r="AS718" s="77"/>
      <c r="AT718" s="76"/>
      <c r="AV718" s="77"/>
    </row>
    <row r="719">
      <c r="K719" s="1"/>
      <c r="L719" s="2"/>
      <c r="M719" s="1"/>
      <c r="N719" s="1"/>
      <c r="O719" s="1"/>
      <c r="Y719" s="76"/>
      <c r="AA719" s="77"/>
      <c r="AB719" s="76"/>
      <c r="AD719" s="77"/>
      <c r="AE719" s="76"/>
      <c r="AG719" s="77"/>
      <c r="AH719" s="76"/>
      <c r="AJ719" s="77"/>
      <c r="AK719" s="76"/>
      <c r="AM719" s="77"/>
      <c r="AN719" s="76"/>
      <c r="AP719" s="77"/>
      <c r="AQ719" s="76"/>
      <c r="AS719" s="77"/>
      <c r="AT719" s="76"/>
      <c r="AV719" s="77"/>
    </row>
    <row r="720">
      <c r="K720" s="1"/>
      <c r="L720" s="2"/>
      <c r="M720" s="1"/>
      <c r="N720" s="1"/>
      <c r="O720" s="1"/>
      <c r="Y720" s="76"/>
      <c r="AA720" s="77"/>
      <c r="AB720" s="76"/>
      <c r="AD720" s="77"/>
      <c r="AE720" s="76"/>
      <c r="AG720" s="77"/>
      <c r="AH720" s="76"/>
      <c r="AJ720" s="77"/>
      <c r="AK720" s="76"/>
      <c r="AM720" s="77"/>
      <c r="AN720" s="76"/>
      <c r="AP720" s="77"/>
      <c r="AQ720" s="76"/>
      <c r="AS720" s="77"/>
      <c r="AT720" s="76"/>
      <c r="AV720" s="77"/>
    </row>
    <row r="721">
      <c r="K721" s="1"/>
      <c r="L721" s="2"/>
      <c r="M721" s="1"/>
      <c r="N721" s="1"/>
      <c r="O721" s="1"/>
      <c r="Y721" s="76"/>
      <c r="AA721" s="77"/>
      <c r="AB721" s="76"/>
      <c r="AD721" s="77"/>
      <c r="AE721" s="76"/>
      <c r="AG721" s="77"/>
      <c r="AH721" s="76"/>
      <c r="AJ721" s="77"/>
      <c r="AK721" s="76"/>
      <c r="AM721" s="77"/>
      <c r="AN721" s="76"/>
      <c r="AP721" s="77"/>
      <c r="AQ721" s="76"/>
      <c r="AS721" s="77"/>
      <c r="AT721" s="76"/>
      <c r="AV721" s="77"/>
    </row>
    <row r="722">
      <c r="K722" s="1"/>
      <c r="L722" s="2"/>
      <c r="M722" s="1"/>
      <c r="N722" s="1"/>
      <c r="O722" s="1"/>
      <c r="Y722" s="76"/>
      <c r="AA722" s="77"/>
      <c r="AB722" s="76"/>
      <c r="AD722" s="77"/>
      <c r="AE722" s="76"/>
      <c r="AG722" s="77"/>
      <c r="AH722" s="76"/>
      <c r="AJ722" s="77"/>
      <c r="AK722" s="76"/>
      <c r="AM722" s="77"/>
      <c r="AN722" s="76"/>
      <c r="AP722" s="77"/>
      <c r="AQ722" s="76"/>
      <c r="AS722" s="77"/>
      <c r="AT722" s="76"/>
      <c r="AV722" s="77"/>
    </row>
    <row r="723">
      <c r="K723" s="1"/>
      <c r="L723" s="2"/>
      <c r="M723" s="1"/>
      <c r="N723" s="1"/>
      <c r="O723" s="1"/>
      <c r="Y723" s="76"/>
      <c r="AA723" s="77"/>
      <c r="AB723" s="76"/>
      <c r="AD723" s="77"/>
      <c r="AE723" s="76"/>
      <c r="AG723" s="77"/>
      <c r="AH723" s="76"/>
      <c r="AJ723" s="77"/>
      <c r="AK723" s="76"/>
      <c r="AM723" s="77"/>
      <c r="AN723" s="76"/>
      <c r="AP723" s="77"/>
      <c r="AQ723" s="76"/>
      <c r="AS723" s="77"/>
      <c r="AT723" s="76"/>
      <c r="AV723" s="77"/>
    </row>
    <row r="724">
      <c r="K724" s="1"/>
      <c r="L724" s="2"/>
      <c r="M724" s="1"/>
      <c r="N724" s="1"/>
      <c r="O724" s="1"/>
      <c r="Y724" s="76"/>
      <c r="AA724" s="77"/>
      <c r="AB724" s="76"/>
      <c r="AD724" s="77"/>
      <c r="AE724" s="76"/>
      <c r="AG724" s="77"/>
      <c r="AH724" s="76"/>
      <c r="AJ724" s="77"/>
      <c r="AK724" s="76"/>
      <c r="AM724" s="77"/>
      <c r="AN724" s="76"/>
      <c r="AP724" s="77"/>
      <c r="AQ724" s="76"/>
      <c r="AS724" s="77"/>
      <c r="AT724" s="76"/>
      <c r="AV724" s="77"/>
    </row>
    <row r="725">
      <c r="K725" s="1"/>
      <c r="L725" s="2"/>
      <c r="M725" s="1"/>
      <c r="N725" s="1"/>
      <c r="O725" s="1"/>
      <c r="Y725" s="76"/>
      <c r="AA725" s="77"/>
      <c r="AB725" s="76"/>
      <c r="AD725" s="77"/>
      <c r="AE725" s="76"/>
      <c r="AG725" s="77"/>
      <c r="AH725" s="76"/>
      <c r="AJ725" s="77"/>
      <c r="AK725" s="76"/>
      <c r="AM725" s="77"/>
      <c r="AN725" s="76"/>
      <c r="AP725" s="77"/>
      <c r="AQ725" s="76"/>
      <c r="AS725" s="77"/>
      <c r="AT725" s="76"/>
      <c r="AV725" s="77"/>
    </row>
    <row r="726">
      <c r="K726" s="1"/>
      <c r="L726" s="2"/>
      <c r="M726" s="1"/>
      <c r="N726" s="1"/>
      <c r="O726" s="1"/>
      <c r="Y726" s="76"/>
      <c r="AA726" s="77"/>
      <c r="AB726" s="76"/>
      <c r="AD726" s="77"/>
      <c r="AE726" s="76"/>
      <c r="AG726" s="77"/>
      <c r="AH726" s="76"/>
      <c r="AJ726" s="77"/>
      <c r="AK726" s="76"/>
      <c r="AM726" s="77"/>
      <c r="AN726" s="76"/>
      <c r="AP726" s="77"/>
      <c r="AQ726" s="76"/>
      <c r="AS726" s="77"/>
      <c r="AT726" s="76"/>
      <c r="AV726" s="77"/>
    </row>
    <row r="727">
      <c r="K727" s="1"/>
      <c r="L727" s="2"/>
      <c r="M727" s="1"/>
      <c r="N727" s="1"/>
      <c r="O727" s="1"/>
      <c r="Y727" s="76"/>
      <c r="AA727" s="77"/>
      <c r="AB727" s="76"/>
      <c r="AD727" s="77"/>
      <c r="AE727" s="76"/>
      <c r="AG727" s="77"/>
      <c r="AH727" s="76"/>
      <c r="AJ727" s="77"/>
      <c r="AK727" s="76"/>
      <c r="AM727" s="77"/>
      <c r="AN727" s="76"/>
      <c r="AP727" s="77"/>
      <c r="AQ727" s="76"/>
      <c r="AS727" s="77"/>
      <c r="AT727" s="76"/>
      <c r="AV727" s="77"/>
    </row>
    <row r="728">
      <c r="K728" s="1"/>
      <c r="L728" s="2"/>
      <c r="M728" s="1"/>
      <c r="N728" s="1"/>
      <c r="O728" s="1"/>
      <c r="Y728" s="76"/>
      <c r="AA728" s="77"/>
      <c r="AB728" s="76"/>
      <c r="AD728" s="77"/>
      <c r="AE728" s="76"/>
      <c r="AG728" s="77"/>
      <c r="AH728" s="76"/>
      <c r="AJ728" s="77"/>
      <c r="AK728" s="76"/>
      <c r="AM728" s="77"/>
      <c r="AN728" s="76"/>
      <c r="AP728" s="77"/>
      <c r="AQ728" s="76"/>
      <c r="AS728" s="77"/>
      <c r="AT728" s="76"/>
      <c r="AV728" s="77"/>
    </row>
    <row r="729">
      <c r="K729" s="1"/>
      <c r="L729" s="2"/>
      <c r="M729" s="1"/>
      <c r="N729" s="1"/>
      <c r="O729" s="1"/>
      <c r="Y729" s="76"/>
      <c r="AA729" s="77"/>
      <c r="AB729" s="76"/>
      <c r="AD729" s="77"/>
      <c r="AE729" s="76"/>
      <c r="AG729" s="77"/>
      <c r="AH729" s="76"/>
      <c r="AJ729" s="77"/>
      <c r="AK729" s="76"/>
      <c r="AM729" s="77"/>
      <c r="AN729" s="76"/>
      <c r="AP729" s="77"/>
      <c r="AQ729" s="76"/>
      <c r="AS729" s="77"/>
      <c r="AT729" s="76"/>
      <c r="AV729" s="77"/>
    </row>
    <row r="730">
      <c r="K730" s="1"/>
      <c r="L730" s="2"/>
      <c r="M730" s="1"/>
      <c r="N730" s="1"/>
      <c r="O730" s="1"/>
      <c r="Y730" s="76"/>
      <c r="AA730" s="77"/>
      <c r="AB730" s="76"/>
      <c r="AD730" s="77"/>
      <c r="AE730" s="76"/>
      <c r="AG730" s="77"/>
      <c r="AH730" s="76"/>
      <c r="AJ730" s="77"/>
      <c r="AK730" s="76"/>
      <c r="AM730" s="77"/>
      <c r="AN730" s="76"/>
      <c r="AP730" s="77"/>
      <c r="AQ730" s="76"/>
      <c r="AS730" s="77"/>
      <c r="AT730" s="76"/>
      <c r="AV730" s="77"/>
    </row>
    <row r="731">
      <c r="K731" s="1"/>
      <c r="L731" s="2"/>
      <c r="M731" s="1"/>
      <c r="N731" s="1"/>
      <c r="O731" s="1"/>
      <c r="Y731" s="76"/>
      <c r="AA731" s="77"/>
      <c r="AB731" s="76"/>
      <c r="AD731" s="77"/>
      <c r="AE731" s="76"/>
      <c r="AG731" s="77"/>
      <c r="AH731" s="76"/>
      <c r="AJ731" s="77"/>
      <c r="AK731" s="76"/>
      <c r="AM731" s="77"/>
      <c r="AN731" s="76"/>
      <c r="AP731" s="77"/>
      <c r="AQ731" s="76"/>
      <c r="AS731" s="77"/>
      <c r="AT731" s="76"/>
      <c r="AV731" s="77"/>
    </row>
    <row r="732">
      <c r="K732" s="1"/>
      <c r="L732" s="2"/>
      <c r="M732" s="1"/>
      <c r="N732" s="1"/>
      <c r="O732" s="1"/>
      <c r="Y732" s="76"/>
      <c r="AA732" s="77"/>
      <c r="AB732" s="76"/>
      <c r="AD732" s="77"/>
      <c r="AE732" s="76"/>
      <c r="AG732" s="77"/>
      <c r="AH732" s="76"/>
      <c r="AJ732" s="77"/>
      <c r="AK732" s="76"/>
      <c r="AM732" s="77"/>
      <c r="AN732" s="76"/>
      <c r="AP732" s="77"/>
      <c r="AQ732" s="76"/>
      <c r="AS732" s="77"/>
      <c r="AT732" s="76"/>
      <c r="AV732" s="77"/>
    </row>
    <row r="733">
      <c r="K733" s="1"/>
      <c r="L733" s="2"/>
      <c r="M733" s="1"/>
      <c r="N733" s="1"/>
      <c r="O733" s="1"/>
      <c r="Y733" s="76"/>
      <c r="AA733" s="77"/>
      <c r="AB733" s="76"/>
      <c r="AD733" s="77"/>
      <c r="AE733" s="76"/>
      <c r="AG733" s="77"/>
      <c r="AH733" s="76"/>
      <c r="AJ733" s="77"/>
      <c r="AK733" s="76"/>
      <c r="AM733" s="77"/>
      <c r="AN733" s="76"/>
      <c r="AP733" s="77"/>
      <c r="AQ733" s="76"/>
      <c r="AS733" s="77"/>
      <c r="AT733" s="76"/>
      <c r="AV733" s="77"/>
    </row>
    <row r="734">
      <c r="K734" s="1"/>
      <c r="L734" s="2"/>
      <c r="M734" s="1"/>
      <c r="N734" s="1"/>
      <c r="O734" s="1"/>
      <c r="Y734" s="76"/>
      <c r="AA734" s="77"/>
      <c r="AB734" s="76"/>
      <c r="AD734" s="77"/>
      <c r="AE734" s="76"/>
      <c r="AG734" s="77"/>
      <c r="AH734" s="76"/>
      <c r="AJ734" s="77"/>
      <c r="AK734" s="76"/>
      <c r="AM734" s="77"/>
      <c r="AN734" s="76"/>
      <c r="AP734" s="77"/>
      <c r="AQ734" s="76"/>
      <c r="AS734" s="77"/>
      <c r="AT734" s="76"/>
      <c r="AV734" s="77"/>
    </row>
    <row r="735">
      <c r="K735" s="1"/>
      <c r="L735" s="2"/>
      <c r="M735" s="1"/>
      <c r="N735" s="1"/>
      <c r="O735" s="1"/>
      <c r="Y735" s="76"/>
      <c r="AA735" s="77"/>
      <c r="AB735" s="76"/>
      <c r="AD735" s="77"/>
      <c r="AE735" s="76"/>
      <c r="AG735" s="77"/>
      <c r="AH735" s="76"/>
      <c r="AJ735" s="77"/>
      <c r="AK735" s="76"/>
      <c r="AM735" s="77"/>
      <c r="AN735" s="76"/>
      <c r="AP735" s="77"/>
      <c r="AQ735" s="76"/>
      <c r="AS735" s="77"/>
      <c r="AT735" s="76"/>
      <c r="AV735" s="77"/>
    </row>
    <row r="736">
      <c r="K736" s="1"/>
      <c r="L736" s="2"/>
      <c r="M736" s="1"/>
      <c r="N736" s="1"/>
      <c r="O736" s="1"/>
      <c r="Y736" s="76"/>
      <c r="AA736" s="77"/>
      <c r="AB736" s="76"/>
      <c r="AD736" s="77"/>
      <c r="AE736" s="76"/>
      <c r="AG736" s="77"/>
      <c r="AH736" s="76"/>
      <c r="AJ736" s="77"/>
      <c r="AK736" s="76"/>
      <c r="AM736" s="77"/>
      <c r="AN736" s="76"/>
      <c r="AP736" s="77"/>
      <c r="AQ736" s="76"/>
      <c r="AS736" s="77"/>
      <c r="AT736" s="76"/>
      <c r="AV736" s="77"/>
    </row>
    <row r="737">
      <c r="K737" s="1"/>
      <c r="L737" s="2"/>
      <c r="M737" s="1"/>
      <c r="N737" s="1"/>
      <c r="O737" s="1"/>
      <c r="Y737" s="76"/>
      <c r="AA737" s="77"/>
      <c r="AB737" s="76"/>
      <c r="AD737" s="77"/>
      <c r="AE737" s="76"/>
      <c r="AG737" s="77"/>
      <c r="AH737" s="76"/>
      <c r="AJ737" s="77"/>
      <c r="AK737" s="76"/>
      <c r="AM737" s="77"/>
      <c r="AN737" s="76"/>
      <c r="AP737" s="77"/>
      <c r="AQ737" s="76"/>
      <c r="AS737" s="77"/>
      <c r="AT737" s="76"/>
      <c r="AV737" s="77"/>
    </row>
    <row r="738">
      <c r="K738" s="1"/>
      <c r="L738" s="2"/>
      <c r="M738" s="1"/>
      <c r="N738" s="1"/>
      <c r="O738" s="1"/>
      <c r="Y738" s="76"/>
      <c r="AA738" s="77"/>
      <c r="AB738" s="76"/>
      <c r="AD738" s="77"/>
      <c r="AE738" s="76"/>
      <c r="AG738" s="77"/>
      <c r="AH738" s="76"/>
      <c r="AJ738" s="77"/>
      <c r="AK738" s="76"/>
      <c r="AM738" s="77"/>
      <c r="AN738" s="76"/>
      <c r="AP738" s="77"/>
      <c r="AQ738" s="76"/>
      <c r="AS738" s="77"/>
      <c r="AT738" s="76"/>
      <c r="AV738" s="77"/>
    </row>
    <row r="739">
      <c r="K739" s="1"/>
      <c r="L739" s="2"/>
      <c r="M739" s="1"/>
      <c r="N739" s="1"/>
      <c r="O739" s="1"/>
      <c r="Y739" s="76"/>
      <c r="AA739" s="77"/>
      <c r="AB739" s="76"/>
      <c r="AD739" s="77"/>
      <c r="AE739" s="76"/>
      <c r="AG739" s="77"/>
      <c r="AH739" s="76"/>
      <c r="AJ739" s="77"/>
      <c r="AK739" s="76"/>
      <c r="AM739" s="77"/>
      <c r="AN739" s="76"/>
      <c r="AP739" s="77"/>
      <c r="AQ739" s="76"/>
      <c r="AS739" s="77"/>
      <c r="AT739" s="76"/>
      <c r="AV739" s="77"/>
    </row>
    <row r="740">
      <c r="K740" s="1"/>
      <c r="L740" s="2"/>
      <c r="M740" s="1"/>
      <c r="N740" s="1"/>
      <c r="O740" s="1"/>
      <c r="Y740" s="76"/>
      <c r="AA740" s="77"/>
      <c r="AB740" s="76"/>
      <c r="AD740" s="77"/>
      <c r="AE740" s="76"/>
      <c r="AG740" s="77"/>
      <c r="AH740" s="76"/>
      <c r="AJ740" s="77"/>
      <c r="AK740" s="76"/>
      <c r="AM740" s="77"/>
      <c r="AN740" s="76"/>
      <c r="AP740" s="77"/>
      <c r="AQ740" s="76"/>
      <c r="AS740" s="77"/>
      <c r="AT740" s="76"/>
      <c r="AV740" s="77"/>
    </row>
    <row r="741">
      <c r="K741" s="1"/>
      <c r="L741" s="2"/>
      <c r="M741" s="1"/>
      <c r="N741" s="1"/>
      <c r="O741" s="1"/>
      <c r="Y741" s="76"/>
      <c r="AA741" s="77"/>
      <c r="AB741" s="76"/>
      <c r="AD741" s="77"/>
      <c r="AE741" s="76"/>
      <c r="AG741" s="77"/>
      <c r="AH741" s="76"/>
      <c r="AJ741" s="77"/>
      <c r="AK741" s="76"/>
      <c r="AM741" s="77"/>
      <c r="AN741" s="76"/>
      <c r="AP741" s="77"/>
      <c r="AQ741" s="76"/>
      <c r="AS741" s="77"/>
      <c r="AT741" s="76"/>
      <c r="AV741" s="77"/>
    </row>
    <row r="742">
      <c r="K742" s="1"/>
      <c r="L742" s="2"/>
      <c r="M742" s="1"/>
      <c r="N742" s="1"/>
      <c r="O742" s="1"/>
      <c r="Y742" s="76"/>
      <c r="AA742" s="77"/>
      <c r="AB742" s="76"/>
      <c r="AD742" s="77"/>
      <c r="AE742" s="76"/>
      <c r="AG742" s="77"/>
      <c r="AH742" s="76"/>
      <c r="AJ742" s="77"/>
      <c r="AK742" s="76"/>
      <c r="AM742" s="77"/>
      <c r="AN742" s="76"/>
      <c r="AP742" s="77"/>
      <c r="AQ742" s="76"/>
      <c r="AS742" s="77"/>
      <c r="AT742" s="76"/>
      <c r="AV742" s="77"/>
    </row>
    <row r="743">
      <c r="K743" s="1"/>
      <c r="L743" s="2"/>
      <c r="M743" s="1"/>
      <c r="N743" s="1"/>
      <c r="O743" s="1"/>
      <c r="Y743" s="76"/>
      <c r="AA743" s="77"/>
      <c r="AB743" s="76"/>
      <c r="AD743" s="77"/>
      <c r="AE743" s="76"/>
      <c r="AG743" s="77"/>
      <c r="AH743" s="76"/>
      <c r="AJ743" s="77"/>
      <c r="AK743" s="76"/>
      <c r="AM743" s="77"/>
      <c r="AN743" s="76"/>
      <c r="AP743" s="77"/>
      <c r="AQ743" s="76"/>
      <c r="AS743" s="77"/>
      <c r="AT743" s="76"/>
      <c r="AV743" s="77"/>
    </row>
    <row r="744">
      <c r="K744" s="1"/>
      <c r="L744" s="2"/>
      <c r="M744" s="1"/>
      <c r="N744" s="1"/>
      <c r="O744" s="1"/>
      <c r="Y744" s="76"/>
      <c r="AA744" s="77"/>
      <c r="AB744" s="76"/>
      <c r="AD744" s="77"/>
      <c r="AE744" s="76"/>
      <c r="AG744" s="77"/>
      <c r="AH744" s="76"/>
      <c r="AJ744" s="77"/>
      <c r="AK744" s="76"/>
      <c r="AM744" s="77"/>
      <c r="AN744" s="76"/>
      <c r="AP744" s="77"/>
      <c r="AQ744" s="76"/>
      <c r="AS744" s="77"/>
      <c r="AT744" s="76"/>
      <c r="AV744" s="77"/>
    </row>
    <row r="745">
      <c r="K745" s="1"/>
      <c r="L745" s="2"/>
      <c r="M745" s="1"/>
      <c r="N745" s="1"/>
      <c r="O745" s="1"/>
      <c r="Y745" s="76"/>
      <c r="AA745" s="77"/>
      <c r="AB745" s="76"/>
      <c r="AD745" s="77"/>
      <c r="AE745" s="76"/>
      <c r="AG745" s="77"/>
      <c r="AH745" s="76"/>
      <c r="AJ745" s="77"/>
      <c r="AK745" s="76"/>
      <c r="AM745" s="77"/>
      <c r="AN745" s="76"/>
      <c r="AP745" s="77"/>
      <c r="AQ745" s="76"/>
      <c r="AS745" s="77"/>
      <c r="AT745" s="76"/>
      <c r="AV745" s="77"/>
    </row>
    <row r="746">
      <c r="K746" s="1"/>
      <c r="L746" s="2"/>
      <c r="M746" s="1"/>
      <c r="N746" s="1"/>
      <c r="O746" s="1"/>
      <c r="Y746" s="76"/>
      <c r="AA746" s="77"/>
      <c r="AB746" s="76"/>
      <c r="AD746" s="77"/>
      <c r="AE746" s="76"/>
      <c r="AG746" s="77"/>
      <c r="AH746" s="76"/>
      <c r="AJ746" s="77"/>
      <c r="AK746" s="76"/>
      <c r="AM746" s="77"/>
      <c r="AN746" s="76"/>
      <c r="AP746" s="77"/>
      <c r="AQ746" s="76"/>
      <c r="AS746" s="77"/>
      <c r="AT746" s="76"/>
      <c r="AV746" s="77"/>
    </row>
    <row r="747">
      <c r="K747" s="1"/>
      <c r="L747" s="2"/>
      <c r="M747" s="1"/>
      <c r="N747" s="1"/>
      <c r="O747" s="1"/>
      <c r="Y747" s="76"/>
      <c r="AA747" s="77"/>
      <c r="AB747" s="76"/>
      <c r="AD747" s="77"/>
      <c r="AE747" s="76"/>
      <c r="AG747" s="77"/>
      <c r="AH747" s="76"/>
      <c r="AJ747" s="77"/>
      <c r="AK747" s="76"/>
      <c r="AM747" s="77"/>
      <c r="AN747" s="76"/>
      <c r="AP747" s="77"/>
      <c r="AQ747" s="76"/>
      <c r="AS747" s="77"/>
      <c r="AT747" s="76"/>
      <c r="AV747" s="77"/>
    </row>
    <row r="748">
      <c r="K748" s="1"/>
      <c r="L748" s="2"/>
      <c r="M748" s="1"/>
      <c r="N748" s="1"/>
      <c r="O748" s="1"/>
      <c r="Y748" s="76"/>
      <c r="AA748" s="77"/>
      <c r="AB748" s="76"/>
      <c r="AD748" s="77"/>
      <c r="AE748" s="76"/>
      <c r="AG748" s="77"/>
      <c r="AH748" s="76"/>
      <c r="AJ748" s="77"/>
      <c r="AK748" s="76"/>
      <c r="AM748" s="77"/>
      <c r="AN748" s="76"/>
      <c r="AP748" s="77"/>
      <c r="AQ748" s="76"/>
      <c r="AS748" s="77"/>
      <c r="AT748" s="76"/>
      <c r="AV748" s="77"/>
    </row>
    <row r="749">
      <c r="K749" s="1"/>
      <c r="L749" s="2"/>
      <c r="M749" s="1"/>
      <c r="N749" s="1"/>
      <c r="O749" s="1"/>
      <c r="Y749" s="76"/>
      <c r="AA749" s="77"/>
      <c r="AB749" s="76"/>
      <c r="AD749" s="77"/>
      <c r="AE749" s="76"/>
      <c r="AG749" s="77"/>
      <c r="AH749" s="76"/>
      <c r="AJ749" s="77"/>
      <c r="AK749" s="76"/>
      <c r="AM749" s="77"/>
      <c r="AN749" s="76"/>
      <c r="AP749" s="77"/>
      <c r="AQ749" s="76"/>
      <c r="AS749" s="77"/>
      <c r="AT749" s="76"/>
      <c r="AV749" s="77"/>
    </row>
    <row r="750">
      <c r="K750" s="1"/>
      <c r="L750" s="2"/>
      <c r="M750" s="1"/>
      <c r="N750" s="1"/>
      <c r="O750" s="1"/>
      <c r="Y750" s="76"/>
      <c r="AA750" s="77"/>
      <c r="AB750" s="76"/>
      <c r="AD750" s="77"/>
      <c r="AE750" s="76"/>
      <c r="AG750" s="77"/>
      <c r="AH750" s="76"/>
      <c r="AJ750" s="77"/>
      <c r="AK750" s="76"/>
      <c r="AM750" s="77"/>
      <c r="AN750" s="76"/>
      <c r="AP750" s="77"/>
      <c r="AQ750" s="76"/>
      <c r="AS750" s="77"/>
      <c r="AT750" s="76"/>
      <c r="AV750" s="77"/>
    </row>
    <row r="751">
      <c r="K751" s="1"/>
      <c r="L751" s="2"/>
      <c r="M751" s="1"/>
      <c r="N751" s="1"/>
      <c r="O751" s="1"/>
      <c r="Y751" s="76"/>
      <c r="AA751" s="77"/>
      <c r="AB751" s="76"/>
      <c r="AD751" s="77"/>
      <c r="AE751" s="76"/>
      <c r="AG751" s="77"/>
      <c r="AH751" s="76"/>
      <c r="AJ751" s="77"/>
      <c r="AK751" s="76"/>
      <c r="AM751" s="77"/>
      <c r="AN751" s="76"/>
      <c r="AP751" s="77"/>
      <c r="AQ751" s="76"/>
      <c r="AS751" s="77"/>
      <c r="AT751" s="76"/>
      <c r="AV751" s="77"/>
    </row>
    <row r="752">
      <c r="K752" s="1"/>
      <c r="L752" s="2"/>
      <c r="M752" s="1"/>
      <c r="N752" s="1"/>
      <c r="O752" s="1"/>
      <c r="Y752" s="76"/>
      <c r="AA752" s="77"/>
      <c r="AB752" s="76"/>
      <c r="AD752" s="77"/>
      <c r="AE752" s="76"/>
      <c r="AG752" s="77"/>
      <c r="AH752" s="76"/>
      <c r="AJ752" s="77"/>
      <c r="AK752" s="76"/>
      <c r="AM752" s="77"/>
      <c r="AN752" s="76"/>
      <c r="AP752" s="77"/>
      <c r="AQ752" s="76"/>
      <c r="AS752" s="77"/>
      <c r="AT752" s="76"/>
      <c r="AV752" s="77"/>
    </row>
    <row r="753">
      <c r="K753" s="1"/>
      <c r="L753" s="2"/>
      <c r="M753" s="1"/>
      <c r="N753" s="1"/>
      <c r="O753" s="1"/>
      <c r="Y753" s="76"/>
      <c r="AA753" s="77"/>
      <c r="AB753" s="76"/>
      <c r="AD753" s="77"/>
      <c r="AE753" s="76"/>
      <c r="AG753" s="77"/>
      <c r="AH753" s="76"/>
      <c r="AJ753" s="77"/>
      <c r="AK753" s="76"/>
      <c r="AM753" s="77"/>
      <c r="AN753" s="76"/>
      <c r="AP753" s="77"/>
      <c r="AQ753" s="76"/>
      <c r="AS753" s="77"/>
      <c r="AT753" s="76"/>
      <c r="AV753" s="77"/>
    </row>
    <row r="754">
      <c r="K754" s="1"/>
      <c r="L754" s="2"/>
      <c r="M754" s="1"/>
      <c r="N754" s="1"/>
      <c r="O754" s="1"/>
      <c r="Y754" s="76"/>
      <c r="AA754" s="77"/>
      <c r="AB754" s="76"/>
      <c r="AD754" s="77"/>
      <c r="AE754" s="76"/>
      <c r="AG754" s="77"/>
      <c r="AH754" s="76"/>
      <c r="AJ754" s="77"/>
      <c r="AK754" s="76"/>
      <c r="AM754" s="77"/>
      <c r="AN754" s="76"/>
      <c r="AP754" s="77"/>
      <c r="AQ754" s="76"/>
      <c r="AS754" s="77"/>
      <c r="AT754" s="76"/>
      <c r="AV754" s="77"/>
    </row>
    <row r="755">
      <c r="K755" s="1"/>
      <c r="L755" s="2"/>
      <c r="M755" s="1"/>
      <c r="N755" s="1"/>
      <c r="O755" s="1"/>
      <c r="Y755" s="76"/>
      <c r="AA755" s="77"/>
      <c r="AB755" s="76"/>
      <c r="AD755" s="77"/>
      <c r="AE755" s="76"/>
      <c r="AG755" s="77"/>
      <c r="AH755" s="76"/>
      <c r="AJ755" s="77"/>
      <c r="AK755" s="76"/>
      <c r="AM755" s="77"/>
      <c r="AN755" s="76"/>
      <c r="AP755" s="77"/>
      <c r="AQ755" s="76"/>
      <c r="AS755" s="77"/>
      <c r="AT755" s="76"/>
      <c r="AV755" s="77"/>
    </row>
    <row r="756">
      <c r="K756" s="1"/>
      <c r="L756" s="2"/>
      <c r="M756" s="1"/>
      <c r="N756" s="1"/>
      <c r="O756" s="1"/>
      <c r="Y756" s="76"/>
      <c r="AA756" s="77"/>
      <c r="AB756" s="76"/>
      <c r="AD756" s="77"/>
      <c r="AE756" s="76"/>
      <c r="AG756" s="77"/>
      <c r="AH756" s="76"/>
      <c r="AJ756" s="77"/>
      <c r="AK756" s="76"/>
      <c r="AM756" s="77"/>
      <c r="AN756" s="76"/>
      <c r="AP756" s="77"/>
      <c r="AQ756" s="76"/>
      <c r="AS756" s="77"/>
      <c r="AT756" s="76"/>
      <c r="AV756" s="77"/>
    </row>
    <row r="757">
      <c r="K757" s="1"/>
      <c r="L757" s="2"/>
      <c r="M757" s="1"/>
      <c r="N757" s="1"/>
      <c r="O757" s="1"/>
      <c r="Y757" s="76"/>
      <c r="AA757" s="77"/>
      <c r="AB757" s="76"/>
      <c r="AD757" s="77"/>
      <c r="AE757" s="76"/>
      <c r="AG757" s="77"/>
      <c r="AH757" s="76"/>
      <c r="AJ757" s="77"/>
      <c r="AK757" s="76"/>
      <c r="AM757" s="77"/>
      <c r="AN757" s="76"/>
      <c r="AP757" s="77"/>
      <c r="AQ757" s="76"/>
      <c r="AS757" s="77"/>
      <c r="AT757" s="76"/>
      <c r="AV757" s="77"/>
    </row>
    <row r="758">
      <c r="K758" s="1"/>
      <c r="L758" s="2"/>
      <c r="M758" s="1"/>
      <c r="N758" s="1"/>
      <c r="O758" s="1"/>
      <c r="Y758" s="76"/>
      <c r="AA758" s="77"/>
      <c r="AB758" s="76"/>
      <c r="AD758" s="77"/>
      <c r="AE758" s="76"/>
      <c r="AG758" s="77"/>
      <c r="AH758" s="76"/>
      <c r="AJ758" s="77"/>
      <c r="AK758" s="76"/>
      <c r="AM758" s="77"/>
      <c r="AN758" s="76"/>
      <c r="AP758" s="77"/>
      <c r="AQ758" s="76"/>
      <c r="AS758" s="77"/>
      <c r="AT758" s="76"/>
      <c r="AV758" s="77"/>
    </row>
    <row r="759">
      <c r="K759" s="1"/>
      <c r="L759" s="2"/>
      <c r="M759" s="1"/>
      <c r="N759" s="1"/>
      <c r="O759" s="1"/>
      <c r="Y759" s="76"/>
      <c r="AA759" s="77"/>
      <c r="AB759" s="76"/>
      <c r="AD759" s="77"/>
      <c r="AE759" s="76"/>
      <c r="AG759" s="77"/>
      <c r="AH759" s="76"/>
      <c r="AJ759" s="77"/>
      <c r="AK759" s="76"/>
      <c r="AM759" s="77"/>
      <c r="AN759" s="76"/>
      <c r="AP759" s="77"/>
      <c r="AQ759" s="76"/>
      <c r="AS759" s="77"/>
      <c r="AT759" s="76"/>
      <c r="AV759" s="77"/>
    </row>
    <row r="760">
      <c r="K760" s="1"/>
      <c r="L760" s="2"/>
      <c r="M760" s="1"/>
      <c r="N760" s="1"/>
      <c r="O760" s="1"/>
      <c r="Y760" s="76"/>
      <c r="AA760" s="77"/>
      <c r="AB760" s="76"/>
      <c r="AD760" s="77"/>
      <c r="AE760" s="76"/>
      <c r="AG760" s="77"/>
      <c r="AH760" s="76"/>
      <c r="AJ760" s="77"/>
      <c r="AK760" s="76"/>
      <c r="AM760" s="77"/>
      <c r="AN760" s="76"/>
      <c r="AP760" s="77"/>
      <c r="AQ760" s="76"/>
      <c r="AS760" s="77"/>
      <c r="AT760" s="76"/>
      <c r="AV760" s="77"/>
    </row>
    <row r="761">
      <c r="K761" s="1"/>
      <c r="L761" s="2"/>
      <c r="M761" s="1"/>
      <c r="N761" s="1"/>
      <c r="O761" s="1"/>
      <c r="Y761" s="76"/>
      <c r="AA761" s="77"/>
      <c r="AB761" s="76"/>
      <c r="AD761" s="77"/>
      <c r="AE761" s="76"/>
      <c r="AG761" s="77"/>
      <c r="AH761" s="76"/>
      <c r="AJ761" s="77"/>
      <c r="AK761" s="76"/>
      <c r="AM761" s="77"/>
      <c r="AN761" s="76"/>
      <c r="AP761" s="77"/>
      <c r="AQ761" s="76"/>
      <c r="AS761" s="77"/>
      <c r="AT761" s="76"/>
      <c r="AV761" s="77"/>
    </row>
    <row r="762">
      <c r="K762" s="1"/>
      <c r="L762" s="2"/>
      <c r="M762" s="1"/>
      <c r="N762" s="1"/>
      <c r="O762" s="1"/>
      <c r="Y762" s="76"/>
      <c r="AA762" s="77"/>
      <c r="AB762" s="76"/>
      <c r="AD762" s="77"/>
      <c r="AE762" s="76"/>
      <c r="AG762" s="77"/>
      <c r="AH762" s="76"/>
      <c r="AJ762" s="77"/>
      <c r="AK762" s="76"/>
      <c r="AM762" s="77"/>
      <c r="AN762" s="76"/>
      <c r="AP762" s="77"/>
      <c r="AQ762" s="76"/>
      <c r="AS762" s="77"/>
      <c r="AT762" s="76"/>
      <c r="AV762" s="77"/>
    </row>
    <row r="763">
      <c r="K763" s="1"/>
      <c r="L763" s="2"/>
      <c r="M763" s="1"/>
      <c r="N763" s="1"/>
      <c r="O763" s="1"/>
      <c r="Y763" s="76"/>
      <c r="AA763" s="77"/>
      <c r="AB763" s="76"/>
      <c r="AD763" s="77"/>
      <c r="AE763" s="76"/>
      <c r="AG763" s="77"/>
      <c r="AH763" s="76"/>
      <c r="AJ763" s="77"/>
      <c r="AK763" s="76"/>
      <c r="AM763" s="77"/>
      <c r="AN763" s="76"/>
      <c r="AP763" s="77"/>
      <c r="AQ763" s="76"/>
      <c r="AS763" s="77"/>
      <c r="AT763" s="76"/>
      <c r="AV763" s="77"/>
    </row>
    <row r="764">
      <c r="K764" s="1"/>
      <c r="L764" s="2"/>
      <c r="M764" s="1"/>
      <c r="N764" s="1"/>
      <c r="O764" s="1"/>
      <c r="Y764" s="76"/>
      <c r="AA764" s="77"/>
      <c r="AB764" s="76"/>
      <c r="AD764" s="77"/>
      <c r="AE764" s="76"/>
      <c r="AG764" s="77"/>
      <c r="AH764" s="76"/>
      <c r="AJ764" s="77"/>
      <c r="AK764" s="76"/>
      <c r="AM764" s="77"/>
      <c r="AN764" s="76"/>
      <c r="AP764" s="77"/>
      <c r="AQ764" s="76"/>
      <c r="AS764" s="77"/>
      <c r="AT764" s="76"/>
      <c r="AV764" s="77"/>
    </row>
    <row r="765">
      <c r="K765" s="1"/>
      <c r="L765" s="2"/>
      <c r="M765" s="1"/>
      <c r="N765" s="1"/>
      <c r="O765" s="1"/>
      <c r="Y765" s="76"/>
      <c r="AA765" s="77"/>
      <c r="AB765" s="76"/>
      <c r="AD765" s="77"/>
      <c r="AE765" s="76"/>
      <c r="AG765" s="77"/>
      <c r="AH765" s="76"/>
      <c r="AJ765" s="77"/>
      <c r="AK765" s="76"/>
      <c r="AM765" s="77"/>
      <c r="AN765" s="76"/>
      <c r="AP765" s="77"/>
      <c r="AQ765" s="76"/>
      <c r="AS765" s="77"/>
      <c r="AT765" s="76"/>
      <c r="AV765" s="77"/>
    </row>
    <row r="766">
      <c r="K766" s="1"/>
      <c r="L766" s="2"/>
      <c r="M766" s="1"/>
      <c r="N766" s="1"/>
      <c r="O766" s="1"/>
      <c r="Y766" s="76"/>
      <c r="AA766" s="77"/>
      <c r="AB766" s="76"/>
      <c r="AD766" s="77"/>
      <c r="AE766" s="76"/>
      <c r="AG766" s="77"/>
      <c r="AH766" s="76"/>
      <c r="AJ766" s="77"/>
      <c r="AK766" s="76"/>
      <c r="AM766" s="77"/>
      <c r="AN766" s="76"/>
      <c r="AP766" s="77"/>
      <c r="AQ766" s="76"/>
      <c r="AS766" s="77"/>
      <c r="AT766" s="76"/>
      <c r="AV766" s="77"/>
    </row>
    <row r="767">
      <c r="K767" s="1"/>
      <c r="L767" s="2"/>
      <c r="M767" s="1"/>
      <c r="N767" s="1"/>
      <c r="O767" s="1"/>
      <c r="Y767" s="76"/>
      <c r="AA767" s="77"/>
      <c r="AB767" s="76"/>
      <c r="AD767" s="77"/>
      <c r="AE767" s="76"/>
      <c r="AG767" s="77"/>
      <c r="AH767" s="76"/>
      <c r="AJ767" s="77"/>
      <c r="AK767" s="76"/>
      <c r="AM767" s="77"/>
      <c r="AN767" s="76"/>
      <c r="AP767" s="77"/>
      <c r="AQ767" s="76"/>
      <c r="AS767" s="77"/>
      <c r="AT767" s="76"/>
      <c r="AV767" s="77"/>
    </row>
    <row r="768">
      <c r="K768" s="1"/>
      <c r="L768" s="2"/>
      <c r="M768" s="1"/>
      <c r="N768" s="1"/>
      <c r="O768" s="1"/>
      <c r="Y768" s="76"/>
      <c r="AA768" s="77"/>
      <c r="AB768" s="76"/>
      <c r="AD768" s="77"/>
      <c r="AE768" s="76"/>
      <c r="AG768" s="77"/>
      <c r="AH768" s="76"/>
      <c r="AJ768" s="77"/>
      <c r="AK768" s="76"/>
      <c r="AM768" s="77"/>
      <c r="AN768" s="76"/>
      <c r="AP768" s="77"/>
      <c r="AQ768" s="76"/>
      <c r="AS768" s="77"/>
      <c r="AT768" s="76"/>
      <c r="AV768" s="77"/>
    </row>
    <row r="769">
      <c r="K769" s="1"/>
      <c r="L769" s="2"/>
      <c r="M769" s="1"/>
      <c r="N769" s="1"/>
      <c r="O769" s="1"/>
      <c r="Y769" s="76"/>
      <c r="AA769" s="77"/>
      <c r="AB769" s="76"/>
      <c r="AD769" s="77"/>
      <c r="AE769" s="76"/>
      <c r="AG769" s="77"/>
      <c r="AH769" s="76"/>
      <c r="AJ769" s="77"/>
      <c r="AK769" s="76"/>
      <c r="AM769" s="77"/>
      <c r="AN769" s="76"/>
      <c r="AP769" s="77"/>
      <c r="AQ769" s="76"/>
      <c r="AS769" s="77"/>
      <c r="AT769" s="76"/>
      <c r="AV769" s="77"/>
    </row>
    <row r="770">
      <c r="K770" s="1"/>
      <c r="L770" s="2"/>
      <c r="M770" s="1"/>
      <c r="N770" s="1"/>
      <c r="O770" s="1"/>
      <c r="Y770" s="76"/>
      <c r="AA770" s="77"/>
      <c r="AB770" s="76"/>
      <c r="AD770" s="77"/>
      <c r="AE770" s="76"/>
      <c r="AG770" s="77"/>
      <c r="AH770" s="76"/>
      <c r="AJ770" s="77"/>
      <c r="AK770" s="76"/>
      <c r="AM770" s="77"/>
      <c r="AN770" s="76"/>
      <c r="AP770" s="77"/>
      <c r="AQ770" s="76"/>
      <c r="AS770" s="77"/>
      <c r="AT770" s="76"/>
      <c r="AV770" s="77"/>
    </row>
    <row r="771">
      <c r="K771" s="1"/>
      <c r="L771" s="2"/>
      <c r="M771" s="1"/>
      <c r="N771" s="1"/>
      <c r="O771" s="1"/>
      <c r="Y771" s="76"/>
      <c r="AA771" s="77"/>
      <c r="AB771" s="76"/>
      <c r="AD771" s="77"/>
      <c r="AE771" s="76"/>
      <c r="AG771" s="77"/>
      <c r="AH771" s="76"/>
      <c r="AJ771" s="77"/>
      <c r="AK771" s="76"/>
      <c r="AM771" s="77"/>
      <c r="AN771" s="76"/>
      <c r="AP771" s="77"/>
      <c r="AQ771" s="76"/>
      <c r="AS771" s="77"/>
      <c r="AT771" s="76"/>
      <c r="AV771" s="77"/>
    </row>
    <row r="772">
      <c r="K772" s="1"/>
      <c r="L772" s="2"/>
      <c r="M772" s="1"/>
      <c r="N772" s="1"/>
      <c r="O772" s="1"/>
      <c r="Y772" s="76"/>
      <c r="AA772" s="77"/>
      <c r="AB772" s="76"/>
      <c r="AD772" s="77"/>
      <c r="AE772" s="76"/>
      <c r="AG772" s="77"/>
      <c r="AH772" s="76"/>
      <c r="AJ772" s="77"/>
      <c r="AK772" s="76"/>
      <c r="AM772" s="77"/>
      <c r="AN772" s="76"/>
      <c r="AP772" s="77"/>
      <c r="AQ772" s="76"/>
      <c r="AS772" s="77"/>
      <c r="AT772" s="76"/>
      <c r="AV772" s="77"/>
    </row>
    <row r="773">
      <c r="K773" s="1"/>
      <c r="L773" s="2"/>
      <c r="M773" s="1"/>
      <c r="N773" s="1"/>
      <c r="O773" s="1"/>
      <c r="Y773" s="76"/>
      <c r="AA773" s="77"/>
      <c r="AB773" s="76"/>
      <c r="AD773" s="77"/>
      <c r="AE773" s="76"/>
      <c r="AG773" s="77"/>
      <c r="AH773" s="76"/>
      <c r="AJ773" s="77"/>
      <c r="AK773" s="76"/>
      <c r="AM773" s="77"/>
      <c r="AN773" s="76"/>
      <c r="AP773" s="77"/>
      <c r="AQ773" s="76"/>
      <c r="AS773" s="77"/>
      <c r="AT773" s="76"/>
      <c r="AV773" s="77"/>
    </row>
    <row r="774">
      <c r="K774" s="1"/>
      <c r="L774" s="2"/>
      <c r="M774" s="1"/>
      <c r="N774" s="1"/>
      <c r="O774" s="1"/>
      <c r="Y774" s="76"/>
      <c r="AA774" s="77"/>
      <c r="AB774" s="76"/>
      <c r="AD774" s="77"/>
      <c r="AE774" s="76"/>
      <c r="AG774" s="77"/>
      <c r="AH774" s="76"/>
      <c r="AJ774" s="77"/>
      <c r="AK774" s="76"/>
      <c r="AM774" s="77"/>
      <c r="AN774" s="76"/>
      <c r="AP774" s="77"/>
      <c r="AQ774" s="76"/>
      <c r="AS774" s="77"/>
      <c r="AT774" s="76"/>
      <c r="AV774" s="77"/>
    </row>
    <row r="775">
      <c r="K775" s="1"/>
      <c r="L775" s="2"/>
      <c r="M775" s="1"/>
      <c r="N775" s="1"/>
      <c r="O775" s="1"/>
      <c r="Y775" s="76"/>
      <c r="AA775" s="77"/>
      <c r="AB775" s="76"/>
      <c r="AD775" s="77"/>
      <c r="AE775" s="76"/>
      <c r="AG775" s="77"/>
      <c r="AH775" s="76"/>
      <c r="AJ775" s="77"/>
      <c r="AK775" s="76"/>
      <c r="AM775" s="77"/>
      <c r="AN775" s="76"/>
      <c r="AP775" s="77"/>
      <c r="AQ775" s="76"/>
      <c r="AS775" s="77"/>
      <c r="AT775" s="76"/>
      <c r="AV775" s="77"/>
    </row>
    <row r="776">
      <c r="K776" s="1"/>
      <c r="L776" s="2"/>
      <c r="M776" s="1"/>
      <c r="N776" s="1"/>
      <c r="O776" s="1"/>
      <c r="Y776" s="76"/>
      <c r="AA776" s="77"/>
      <c r="AB776" s="76"/>
      <c r="AD776" s="77"/>
      <c r="AE776" s="76"/>
      <c r="AG776" s="77"/>
      <c r="AH776" s="76"/>
      <c r="AJ776" s="77"/>
      <c r="AK776" s="76"/>
      <c r="AM776" s="77"/>
      <c r="AN776" s="76"/>
      <c r="AP776" s="77"/>
      <c r="AQ776" s="76"/>
      <c r="AS776" s="77"/>
      <c r="AT776" s="76"/>
      <c r="AV776" s="77"/>
    </row>
    <row r="777">
      <c r="K777" s="1"/>
      <c r="L777" s="2"/>
      <c r="M777" s="1"/>
      <c r="N777" s="1"/>
      <c r="O777" s="1"/>
      <c r="Y777" s="76"/>
      <c r="AA777" s="77"/>
      <c r="AB777" s="76"/>
      <c r="AD777" s="77"/>
      <c r="AE777" s="76"/>
      <c r="AG777" s="77"/>
      <c r="AH777" s="76"/>
      <c r="AJ777" s="77"/>
      <c r="AK777" s="76"/>
      <c r="AM777" s="77"/>
      <c r="AN777" s="76"/>
      <c r="AP777" s="77"/>
      <c r="AQ777" s="76"/>
      <c r="AS777" s="77"/>
      <c r="AT777" s="76"/>
      <c r="AV777" s="77"/>
    </row>
    <row r="778">
      <c r="K778" s="1"/>
      <c r="L778" s="2"/>
      <c r="M778" s="1"/>
      <c r="N778" s="1"/>
      <c r="O778" s="1"/>
      <c r="Y778" s="76"/>
      <c r="AA778" s="77"/>
      <c r="AB778" s="76"/>
      <c r="AD778" s="77"/>
      <c r="AE778" s="76"/>
      <c r="AG778" s="77"/>
      <c r="AH778" s="76"/>
      <c r="AJ778" s="77"/>
      <c r="AK778" s="76"/>
      <c r="AM778" s="77"/>
      <c r="AN778" s="76"/>
      <c r="AP778" s="77"/>
      <c r="AQ778" s="76"/>
      <c r="AS778" s="77"/>
      <c r="AT778" s="76"/>
      <c r="AV778" s="77"/>
    </row>
    <row r="779">
      <c r="K779" s="1"/>
      <c r="L779" s="2"/>
      <c r="M779" s="1"/>
      <c r="N779" s="1"/>
      <c r="O779" s="1"/>
      <c r="Y779" s="76"/>
      <c r="AA779" s="77"/>
      <c r="AB779" s="76"/>
      <c r="AD779" s="77"/>
      <c r="AE779" s="76"/>
      <c r="AG779" s="77"/>
      <c r="AH779" s="76"/>
      <c r="AJ779" s="77"/>
      <c r="AK779" s="76"/>
      <c r="AM779" s="77"/>
      <c r="AN779" s="76"/>
      <c r="AP779" s="77"/>
      <c r="AQ779" s="76"/>
      <c r="AS779" s="77"/>
      <c r="AT779" s="76"/>
      <c r="AV779" s="77"/>
    </row>
    <row r="780">
      <c r="K780" s="1"/>
      <c r="L780" s="2"/>
      <c r="M780" s="1"/>
      <c r="N780" s="1"/>
      <c r="O780" s="1"/>
      <c r="Y780" s="76"/>
      <c r="AA780" s="77"/>
      <c r="AB780" s="76"/>
      <c r="AD780" s="77"/>
      <c r="AE780" s="76"/>
      <c r="AG780" s="77"/>
      <c r="AH780" s="76"/>
      <c r="AJ780" s="77"/>
      <c r="AK780" s="76"/>
      <c r="AM780" s="77"/>
      <c r="AN780" s="76"/>
      <c r="AP780" s="77"/>
      <c r="AQ780" s="76"/>
      <c r="AS780" s="77"/>
      <c r="AT780" s="76"/>
      <c r="AV780" s="77"/>
    </row>
    <row r="781">
      <c r="K781" s="1"/>
      <c r="L781" s="2"/>
      <c r="M781" s="1"/>
      <c r="N781" s="1"/>
      <c r="O781" s="1"/>
      <c r="Y781" s="76"/>
      <c r="AA781" s="77"/>
      <c r="AB781" s="76"/>
      <c r="AD781" s="77"/>
      <c r="AE781" s="76"/>
      <c r="AG781" s="77"/>
      <c r="AH781" s="76"/>
      <c r="AJ781" s="77"/>
      <c r="AK781" s="76"/>
      <c r="AM781" s="77"/>
      <c r="AN781" s="76"/>
      <c r="AP781" s="77"/>
      <c r="AQ781" s="76"/>
      <c r="AS781" s="77"/>
      <c r="AT781" s="76"/>
      <c r="AV781" s="77"/>
    </row>
    <row r="782">
      <c r="K782" s="1"/>
      <c r="L782" s="2"/>
      <c r="M782" s="1"/>
      <c r="N782" s="1"/>
      <c r="O782" s="1"/>
      <c r="Y782" s="76"/>
      <c r="AA782" s="77"/>
      <c r="AB782" s="76"/>
      <c r="AD782" s="77"/>
      <c r="AE782" s="76"/>
      <c r="AG782" s="77"/>
      <c r="AH782" s="76"/>
      <c r="AJ782" s="77"/>
      <c r="AK782" s="76"/>
      <c r="AM782" s="77"/>
      <c r="AN782" s="76"/>
      <c r="AP782" s="77"/>
      <c r="AQ782" s="76"/>
      <c r="AS782" s="77"/>
      <c r="AT782" s="76"/>
      <c r="AV782" s="77"/>
    </row>
    <row r="783">
      <c r="K783" s="1"/>
      <c r="L783" s="2"/>
      <c r="M783" s="1"/>
      <c r="N783" s="1"/>
      <c r="O783" s="1"/>
      <c r="Y783" s="76"/>
      <c r="AA783" s="77"/>
      <c r="AB783" s="76"/>
      <c r="AD783" s="77"/>
      <c r="AE783" s="76"/>
      <c r="AG783" s="77"/>
      <c r="AH783" s="76"/>
      <c r="AJ783" s="77"/>
      <c r="AK783" s="76"/>
      <c r="AM783" s="77"/>
      <c r="AN783" s="76"/>
      <c r="AP783" s="77"/>
      <c r="AQ783" s="76"/>
      <c r="AS783" s="77"/>
      <c r="AT783" s="76"/>
      <c r="AV783" s="77"/>
    </row>
    <row r="784">
      <c r="K784" s="1"/>
      <c r="L784" s="2"/>
      <c r="M784" s="1"/>
      <c r="N784" s="1"/>
      <c r="O784" s="1"/>
      <c r="Y784" s="76"/>
      <c r="AA784" s="77"/>
      <c r="AB784" s="76"/>
      <c r="AD784" s="77"/>
      <c r="AE784" s="76"/>
      <c r="AG784" s="77"/>
      <c r="AH784" s="76"/>
      <c r="AJ784" s="77"/>
      <c r="AK784" s="76"/>
      <c r="AM784" s="77"/>
      <c r="AN784" s="76"/>
      <c r="AP784" s="77"/>
      <c r="AQ784" s="76"/>
      <c r="AS784" s="77"/>
      <c r="AT784" s="76"/>
      <c r="AV784" s="77"/>
    </row>
    <row r="785">
      <c r="K785" s="1"/>
      <c r="L785" s="2"/>
      <c r="M785" s="1"/>
      <c r="N785" s="1"/>
      <c r="O785" s="1"/>
      <c r="Y785" s="76"/>
      <c r="AA785" s="77"/>
      <c r="AB785" s="76"/>
      <c r="AD785" s="77"/>
      <c r="AE785" s="76"/>
      <c r="AG785" s="77"/>
      <c r="AH785" s="76"/>
      <c r="AJ785" s="77"/>
      <c r="AK785" s="76"/>
      <c r="AM785" s="77"/>
      <c r="AN785" s="76"/>
      <c r="AP785" s="77"/>
      <c r="AQ785" s="76"/>
      <c r="AS785" s="77"/>
      <c r="AT785" s="76"/>
      <c r="AV785" s="77"/>
    </row>
    <row r="786">
      <c r="K786" s="1"/>
      <c r="L786" s="2"/>
      <c r="M786" s="1"/>
      <c r="N786" s="1"/>
      <c r="O786" s="1"/>
      <c r="Y786" s="76"/>
      <c r="AA786" s="77"/>
      <c r="AB786" s="76"/>
      <c r="AD786" s="77"/>
      <c r="AE786" s="76"/>
      <c r="AG786" s="77"/>
      <c r="AH786" s="76"/>
      <c r="AJ786" s="77"/>
      <c r="AK786" s="76"/>
      <c r="AM786" s="77"/>
      <c r="AN786" s="76"/>
      <c r="AP786" s="77"/>
      <c r="AQ786" s="76"/>
      <c r="AS786" s="77"/>
      <c r="AT786" s="76"/>
      <c r="AV786" s="77"/>
    </row>
    <row r="787">
      <c r="K787" s="1"/>
      <c r="L787" s="2"/>
      <c r="M787" s="1"/>
      <c r="N787" s="1"/>
      <c r="O787" s="1"/>
      <c r="Y787" s="76"/>
      <c r="AA787" s="77"/>
      <c r="AB787" s="76"/>
      <c r="AD787" s="77"/>
      <c r="AE787" s="76"/>
      <c r="AG787" s="77"/>
      <c r="AH787" s="76"/>
      <c r="AJ787" s="77"/>
      <c r="AK787" s="76"/>
      <c r="AM787" s="77"/>
      <c r="AN787" s="76"/>
      <c r="AP787" s="77"/>
      <c r="AQ787" s="76"/>
      <c r="AS787" s="77"/>
      <c r="AT787" s="76"/>
      <c r="AV787" s="77"/>
    </row>
    <row r="788">
      <c r="K788" s="1"/>
      <c r="L788" s="2"/>
      <c r="M788" s="1"/>
      <c r="N788" s="1"/>
      <c r="O788" s="1"/>
      <c r="Y788" s="76"/>
      <c r="AA788" s="77"/>
      <c r="AB788" s="76"/>
      <c r="AD788" s="77"/>
      <c r="AE788" s="76"/>
      <c r="AG788" s="77"/>
      <c r="AH788" s="76"/>
      <c r="AJ788" s="77"/>
      <c r="AK788" s="76"/>
      <c r="AM788" s="77"/>
      <c r="AN788" s="76"/>
      <c r="AP788" s="77"/>
      <c r="AQ788" s="76"/>
      <c r="AS788" s="77"/>
      <c r="AT788" s="76"/>
      <c r="AV788" s="77"/>
    </row>
    <row r="789">
      <c r="K789" s="1"/>
      <c r="L789" s="2"/>
      <c r="M789" s="1"/>
      <c r="N789" s="1"/>
      <c r="O789" s="1"/>
      <c r="Y789" s="76"/>
      <c r="AA789" s="77"/>
      <c r="AB789" s="76"/>
      <c r="AD789" s="77"/>
      <c r="AE789" s="76"/>
      <c r="AG789" s="77"/>
      <c r="AH789" s="76"/>
      <c r="AJ789" s="77"/>
      <c r="AK789" s="76"/>
      <c r="AM789" s="77"/>
      <c r="AN789" s="76"/>
      <c r="AP789" s="77"/>
      <c r="AQ789" s="76"/>
      <c r="AS789" s="77"/>
      <c r="AT789" s="76"/>
      <c r="AV789" s="77"/>
    </row>
    <row r="790">
      <c r="K790" s="1"/>
      <c r="L790" s="2"/>
      <c r="M790" s="1"/>
      <c r="N790" s="1"/>
      <c r="O790" s="1"/>
      <c r="Y790" s="76"/>
      <c r="AA790" s="77"/>
      <c r="AB790" s="76"/>
      <c r="AD790" s="77"/>
      <c r="AE790" s="76"/>
      <c r="AG790" s="77"/>
      <c r="AH790" s="76"/>
      <c r="AJ790" s="77"/>
      <c r="AK790" s="76"/>
      <c r="AM790" s="77"/>
      <c r="AN790" s="76"/>
      <c r="AP790" s="77"/>
      <c r="AQ790" s="76"/>
      <c r="AS790" s="77"/>
      <c r="AT790" s="76"/>
      <c r="AV790" s="77"/>
    </row>
    <row r="791">
      <c r="K791" s="1"/>
      <c r="L791" s="2"/>
      <c r="M791" s="1"/>
      <c r="N791" s="1"/>
      <c r="O791" s="1"/>
      <c r="Y791" s="76"/>
      <c r="AA791" s="77"/>
      <c r="AB791" s="76"/>
      <c r="AD791" s="77"/>
      <c r="AE791" s="76"/>
      <c r="AG791" s="77"/>
      <c r="AH791" s="76"/>
      <c r="AJ791" s="77"/>
      <c r="AK791" s="76"/>
      <c r="AM791" s="77"/>
      <c r="AN791" s="76"/>
      <c r="AP791" s="77"/>
      <c r="AQ791" s="76"/>
      <c r="AS791" s="77"/>
      <c r="AT791" s="76"/>
      <c r="AV791" s="77"/>
    </row>
    <row r="792">
      <c r="K792" s="1"/>
      <c r="L792" s="2"/>
      <c r="M792" s="1"/>
      <c r="N792" s="1"/>
      <c r="O792" s="1"/>
      <c r="Y792" s="76"/>
      <c r="AA792" s="77"/>
      <c r="AB792" s="76"/>
      <c r="AD792" s="77"/>
      <c r="AE792" s="76"/>
      <c r="AG792" s="77"/>
      <c r="AH792" s="76"/>
      <c r="AJ792" s="77"/>
      <c r="AK792" s="76"/>
      <c r="AM792" s="77"/>
      <c r="AN792" s="76"/>
      <c r="AP792" s="77"/>
      <c r="AQ792" s="76"/>
      <c r="AS792" s="77"/>
      <c r="AT792" s="76"/>
      <c r="AV792" s="77"/>
    </row>
    <row r="793">
      <c r="K793" s="1"/>
      <c r="L793" s="2"/>
      <c r="M793" s="1"/>
      <c r="N793" s="1"/>
      <c r="O793" s="1"/>
      <c r="Y793" s="76"/>
      <c r="AA793" s="77"/>
      <c r="AB793" s="76"/>
      <c r="AD793" s="77"/>
      <c r="AE793" s="76"/>
      <c r="AG793" s="77"/>
      <c r="AH793" s="76"/>
      <c r="AJ793" s="77"/>
      <c r="AK793" s="76"/>
      <c r="AM793" s="77"/>
      <c r="AN793" s="76"/>
      <c r="AP793" s="77"/>
      <c r="AQ793" s="76"/>
      <c r="AS793" s="77"/>
      <c r="AT793" s="76"/>
      <c r="AV793" s="77"/>
    </row>
    <row r="794">
      <c r="K794" s="1"/>
      <c r="L794" s="2"/>
      <c r="M794" s="1"/>
      <c r="N794" s="1"/>
      <c r="O794" s="1"/>
      <c r="Y794" s="76"/>
      <c r="AA794" s="77"/>
      <c r="AB794" s="76"/>
      <c r="AD794" s="77"/>
      <c r="AE794" s="76"/>
      <c r="AG794" s="77"/>
      <c r="AH794" s="76"/>
      <c r="AJ794" s="77"/>
      <c r="AK794" s="76"/>
      <c r="AM794" s="77"/>
      <c r="AN794" s="76"/>
      <c r="AP794" s="77"/>
      <c r="AQ794" s="76"/>
      <c r="AS794" s="77"/>
      <c r="AT794" s="76"/>
      <c r="AV794" s="77"/>
    </row>
    <row r="795">
      <c r="K795" s="1"/>
      <c r="L795" s="2"/>
      <c r="M795" s="1"/>
      <c r="N795" s="1"/>
      <c r="O795" s="1"/>
      <c r="Y795" s="76"/>
      <c r="AA795" s="77"/>
      <c r="AB795" s="76"/>
      <c r="AD795" s="77"/>
      <c r="AE795" s="76"/>
      <c r="AG795" s="77"/>
      <c r="AH795" s="76"/>
      <c r="AJ795" s="77"/>
      <c r="AK795" s="76"/>
      <c r="AM795" s="77"/>
      <c r="AN795" s="76"/>
      <c r="AP795" s="77"/>
      <c r="AQ795" s="76"/>
      <c r="AS795" s="77"/>
      <c r="AT795" s="76"/>
      <c r="AV795" s="77"/>
    </row>
    <row r="796">
      <c r="K796" s="1"/>
      <c r="L796" s="2"/>
      <c r="M796" s="1"/>
      <c r="N796" s="1"/>
      <c r="O796" s="1"/>
      <c r="Y796" s="76"/>
      <c r="AA796" s="77"/>
      <c r="AB796" s="76"/>
      <c r="AD796" s="77"/>
      <c r="AE796" s="76"/>
      <c r="AG796" s="77"/>
      <c r="AH796" s="76"/>
      <c r="AJ796" s="77"/>
      <c r="AK796" s="76"/>
      <c r="AM796" s="77"/>
      <c r="AN796" s="76"/>
      <c r="AP796" s="77"/>
      <c r="AQ796" s="76"/>
      <c r="AS796" s="77"/>
      <c r="AT796" s="76"/>
      <c r="AV796" s="77"/>
    </row>
    <row r="797">
      <c r="K797" s="1"/>
      <c r="L797" s="2"/>
      <c r="M797" s="1"/>
      <c r="N797" s="1"/>
      <c r="O797" s="1"/>
      <c r="Y797" s="76"/>
      <c r="AA797" s="77"/>
      <c r="AB797" s="76"/>
      <c r="AD797" s="77"/>
      <c r="AE797" s="76"/>
      <c r="AG797" s="77"/>
      <c r="AH797" s="76"/>
      <c r="AJ797" s="77"/>
      <c r="AK797" s="76"/>
      <c r="AM797" s="77"/>
      <c r="AN797" s="76"/>
      <c r="AP797" s="77"/>
      <c r="AQ797" s="76"/>
      <c r="AS797" s="77"/>
      <c r="AT797" s="76"/>
      <c r="AV797" s="77"/>
    </row>
    <row r="798">
      <c r="K798" s="1"/>
      <c r="L798" s="2"/>
      <c r="M798" s="1"/>
      <c r="N798" s="1"/>
      <c r="O798" s="1"/>
      <c r="Y798" s="76"/>
      <c r="AA798" s="77"/>
      <c r="AB798" s="76"/>
      <c r="AD798" s="77"/>
      <c r="AE798" s="76"/>
      <c r="AG798" s="77"/>
      <c r="AH798" s="76"/>
      <c r="AJ798" s="77"/>
      <c r="AK798" s="76"/>
      <c r="AM798" s="77"/>
      <c r="AN798" s="76"/>
      <c r="AP798" s="77"/>
      <c r="AQ798" s="76"/>
      <c r="AS798" s="77"/>
      <c r="AT798" s="76"/>
      <c r="AV798" s="77"/>
    </row>
    <row r="799">
      <c r="K799" s="1"/>
      <c r="L799" s="2"/>
      <c r="M799" s="1"/>
      <c r="N799" s="1"/>
      <c r="O799" s="1"/>
      <c r="Y799" s="76"/>
      <c r="AA799" s="77"/>
      <c r="AB799" s="76"/>
      <c r="AD799" s="77"/>
      <c r="AE799" s="76"/>
      <c r="AG799" s="77"/>
      <c r="AH799" s="76"/>
      <c r="AJ799" s="77"/>
      <c r="AK799" s="76"/>
      <c r="AM799" s="77"/>
      <c r="AN799" s="76"/>
      <c r="AP799" s="77"/>
      <c r="AQ799" s="76"/>
      <c r="AS799" s="77"/>
      <c r="AT799" s="76"/>
      <c r="AV799" s="77"/>
    </row>
    <row r="800">
      <c r="K800" s="1"/>
      <c r="L800" s="2"/>
      <c r="M800" s="1"/>
      <c r="N800" s="1"/>
      <c r="O800" s="1"/>
      <c r="Y800" s="76"/>
      <c r="AA800" s="77"/>
      <c r="AB800" s="76"/>
      <c r="AD800" s="77"/>
      <c r="AE800" s="76"/>
      <c r="AG800" s="77"/>
      <c r="AH800" s="76"/>
      <c r="AJ800" s="77"/>
      <c r="AK800" s="76"/>
      <c r="AM800" s="77"/>
      <c r="AN800" s="76"/>
      <c r="AP800" s="77"/>
      <c r="AQ800" s="76"/>
      <c r="AS800" s="77"/>
      <c r="AT800" s="76"/>
      <c r="AV800" s="77"/>
    </row>
    <row r="801">
      <c r="K801" s="1"/>
      <c r="L801" s="2"/>
      <c r="M801" s="1"/>
      <c r="N801" s="1"/>
      <c r="O801" s="1"/>
      <c r="Y801" s="76"/>
      <c r="AA801" s="77"/>
      <c r="AB801" s="76"/>
      <c r="AD801" s="77"/>
      <c r="AE801" s="76"/>
      <c r="AG801" s="77"/>
      <c r="AH801" s="76"/>
      <c r="AJ801" s="77"/>
      <c r="AK801" s="76"/>
      <c r="AM801" s="77"/>
      <c r="AN801" s="76"/>
      <c r="AP801" s="77"/>
      <c r="AQ801" s="76"/>
      <c r="AS801" s="77"/>
      <c r="AT801" s="76"/>
      <c r="AV801" s="77"/>
    </row>
    <row r="802">
      <c r="K802" s="1"/>
      <c r="L802" s="2"/>
      <c r="M802" s="1"/>
      <c r="N802" s="1"/>
      <c r="O802" s="1"/>
      <c r="Y802" s="76"/>
      <c r="AA802" s="77"/>
      <c r="AB802" s="76"/>
      <c r="AD802" s="77"/>
      <c r="AE802" s="76"/>
      <c r="AG802" s="77"/>
      <c r="AH802" s="76"/>
      <c r="AJ802" s="77"/>
      <c r="AK802" s="76"/>
      <c r="AM802" s="77"/>
      <c r="AN802" s="76"/>
      <c r="AP802" s="77"/>
      <c r="AQ802" s="76"/>
      <c r="AS802" s="77"/>
      <c r="AT802" s="76"/>
      <c r="AV802" s="77"/>
    </row>
    <row r="803">
      <c r="K803" s="1"/>
      <c r="L803" s="2"/>
      <c r="M803" s="1"/>
      <c r="N803" s="1"/>
      <c r="O803" s="1"/>
      <c r="Y803" s="76"/>
      <c r="AA803" s="77"/>
      <c r="AB803" s="76"/>
      <c r="AD803" s="77"/>
      <c r="AE803" s="76"/>
      <c r="AG803" s="77"/>
      <c r="AH803" s="76"/>
      <c r="AJ803" s="77"/>
      <c r="AK803" s="76"/>
      <c r="AM803" s="77"/>
      <c r="AN803" s="76"/>
      <c r="AP803" s="77"/>
      <c r="AQ803" s="76"/>
      <c r="AS803" s="77"/>
      <c r="AT803" s="76"/>
      <c r="AV803" s="77"/>
    </row>
    <row r="804">
      <c r="K804" s="1"/>
      <c r="L804" s="2"/>
      <c r="M804" s="1"/>
      <c r="N804" s="1"/>
      <c r="O804" s="1"/>
      <c r="Y804" s="76"/>
      <c r="AA804" s="77"/>
      <c r="AB804" s="76"/>
      <c r="AD804" s="77"/>
      <c r="AE804" s="76"/>
      <c r="AG804" s="77"/>
      <c r="AH804" s="76"/>
      <c r="AJ804" s="77"/>
      <c r="AK804" s="76"/>
      <c r="AM804" s="77"/>
      <c r="AN804" s="76"/>
      <c r="AP804" s="77"/>
      <c r="AQ804" s="76"/>
      <c r="AS804" s="77"/>
      <c r="AT804" s="76"/>
      <c r="AV804" s="77"/>
    </row>
    <row r="805">
      <c r="K805" s="1"/>
      <c r="L805" s="2"/>
      <c r="M805" s="1"/>
      <c r="N805" s="1"/>
      <c r="O805" s="1"/>
      <c r="Y805" s="76"/>
      <c r="AA805" s="77"/>
      <c r="AB805" s="76"/>
      <c r="AD805" s="77"/>
      <c r="AE805" s="76"/>
      <c r="AG805" s="77"/>
      <c r="AH805" s="76"/>
      <c r="AJ805" s="77"/>
      <c r="AK805" s="76"/>
      <c r="AM805" s="77"/>
      <c r="AN805" s="76"/>
      <c r="AP805" s="77"/>
      <c r="AQ805" s="76"/>
      <c r="AS805" s="77"/>
      <c r="AT805" s="76"/>
      <c r="AV805" s="77"/>
    </row>
    <row r="806">
      <c r="K806" s="1"/>
      <c r="L806" s="2"/>
      <c r="M806" s="1"/>
      <c r="N806" s="1"/>
      <c r="O806" s="1"/>
      <c r="Y806" s="76"/>
      <c r="AA806" s="77"/>
      <c r="AB806" s="76"/>
      <c r="AD806" s="77"/>
      <c r="AE806" s="76"/>
      <c r="AG806" s="77"/>
      <c r="AH806" s="76"/>
      <c r="AJ806" s="77"/>
      <c r="AK806" s="76"/>
      <c r="AM806" s="77"/>
      <c r="AN806" s="76"/>
      <c r="AP806" s="77"/>
      <c r="AQ806" s="76"/>
      <c r="AS806" s="77"/>
      <c r="AT806" s="76"/>
      <c r="AV806" s="77"/>
    </row>
    <row r="807">
      <c r="K807" s="1"/>
      <c r="L807" s="2"/>
      <c r="M807" s="1"/>
      <c r="N807" s="1"/>
      <c r="O807" s="1"/>
      <c r="Y807" s="76"/>
      <c r="AA807" s="77"/>
      <c r="AB807" s="76"/>
      <c r="AD807" s="77"/>
      <c r="AE807" s="76"/>
      <c r="AG807" s="77"/>
      <c r="AH807" s="76"/>
      <c r="AJ807" s="77"/>
      <c r="AK807" s="76"/>
      <c r="AM807" s="77"/>
      <c r="AN807" s="76"/>
      <c r="AP807" s="77"/>
      <c r="AQ807" s="76"/>
      <c r="AS807" s="77"/>
      <c r="AT807" s="76"/>
      <c r="AV807" s="77"/>
    </row>
    <row r="808">
      <c r="K808" s="1"/>
      <c r="L808" s="2"/>
      <c r="M808" s="1"/>
      <c r="N808" s="1"/>
      <c r="O808" s="1"/>
      <c r="Y808" s="76"/>
      <c r="AA808" s="77"/>
      <c r="AB808" s="76"/>
      <c r="AD808" s="77"/>
      <c r="AE808" s="76"/>
      <c r="AG808" s="77"/>
      <c r="AH808" s="76"/>
      <c r="AJ808" s="77"/>
      <c r="AK808" s="76"/>
      <c r="AM808" s="77"/>
      <c r="AN808" s="76"/>
      <c r="AP808" s="77"/>
      <c r="AQ808" s="76"/>
      <c r="AS808" s="77"/>
      <c r="AT808" s="76"/>
      <c r="AV808" s="77"/>
    </row>
    <row r="809">
      <c r="K809" s="1"/>
      <c r="L809" s="2"/>
      <c r="M809" s="1"/>
      <c r="N809" s="1"/>
      <c r="O809" s="1"/>
      <c r="Y809" s="76"/>
      <c r="AA809" s="77"/>
      <c r="AB809" s="76"/>
      <c r="AD809" s="77"/>
      <c r="AE809" s="76"/>
      <c r="AG809" s="77"/>
      <c r="AH809" s="76"/>
      <c r="AJ809" s="77"/>
      <c r="AK809" s="76"/>
      <c r="AM809" s="77"/>
      <c r="AN809" s="76"/>
      <c r="AP809" s="77"/>
      <c r="AQ809" s="76"/>
      <c r="AS809" s="77"/>
      <c r="AT809" s="76"/>
      <c r="AV809" s="77"/>
    </row>
    <row r="810">
      <c r="K810" s="1"/>
      <c r="L810" s="2"/>
      <c r="M810" s="1"/>
      <c r="N810" s="1"/>
      <c r="O810" s="1"/>
      <c r="Y810" s="76"/>
      <c r="AA810" s="77"/>
      <c r="AB810" s="76"/>
      <c r="AD810" s="77"/>
      <c r="AE810" s="76"/>
      <c r="AG810" s="77"/>
      <c r="AH810" s="76"/>
      <c r="AJ810" s="77"/>
      <c r="AK810" s="76"/>
      <c r="AM810" s="77"/>
      <c r="AN810" s="76"/>
      <c r="AP810" s="77"/>
      <c r="AQ810" s="76"/>
      <c r="AS810" s="77"/>
      <c r="AT810" s="76"/>
      <c r="AV810" s="77"/>
    </row>
    <row r="811">
      <c r="K811" s="1"/>
      <c r="L811" s="2"/>
      <c r="M811" s="1"/>
      <c r="N811" s="1"/>
      <c r="O811" s="1"/>
      <c r="Y811" s="76"/>
      <c r="AA811" s="77"/>
      <c r="AB811" s="76"/>
      <c r="AD811" s="77"/>
      <c r="AE811" s="76"/>
      <c r="AG811" s="77"/>
      <c r="AH811" s="76"/>
      <c r="AJ811" s="77"/>
      <c r="AK811" s="76"/>
      <c r="AM811" s="77"/>
      <c r="AN811" s="76"/>
      <c r="AP811" s="77"/>
      <c r="AQ811" s="76"/>
      <c r="AS811" s="77"/>
      <c r="AT811" s="76"/>
      <c r="AV811" s="77"/>
    </row>
    <row r="812">
      <c r="K812" s="1"/>
      <c r="L812" s="2"/>
      <c r="M812" s="1"/>
      <c r="N812" s="1"/>
      <c r="O812" s="1"/>
      <c r="Y812" s="76"/>
      <c r="AA812" s="77"/>
      <c r="AB812" s="76"/>
      <c r="AD812" s="77"/>
      <c r="AE812" s="76"/>
      <c r="AG812" s="77"/>
      <c r="AH812" s="76"/>
      <c r="AJ812" s="77"/>
      <c r="AK812" s="76"/>
      <c r="AM812" s="77"/>
      <c r="AN812" s="76"/>
      <c r="AP812" s="77"/>
      <c r="AQ812" s="76"/>
      <c r="AS812" s="77"/>
      <c r="AT812" s="76"/>
      <c r="AV812" s="77"/>
    </row>
    <row r="813">
      <c r="K813" s="1"/>
      <c r="L813" s="2"/>
      <c r="M813" s="1"/>
      <c r="N813" s="1"/>
      <c r="O813" s="1"/>
      <c r="Y813" s="76"/>
      <c r="AA813" s="77"/>
      <c r="AB813" s="76"/>
      <c r="AD813" s="77"/>
      <c r="AE813" s="76"/>
      <c r="AG813" s="77"/>
      <c r="AH813" s="76"/>
      <c r="AJ813" s="77"/>
      <c r="AK813" s="76"/>
      <c r="AM813" s="77"/>
      <c r="AN813" s="76"/>
      <c r="AP813" s="77"/>
      <c r="AQ813" s="76"/>
      <c r="AS813" s="77"/>
      <c r="AT813" s="76"/>
      <c r="AV813" s="77"/>
    </row>
    <row r="814">
      <c r="K814" s="1"/>
      <c r="L814" s="2"/>
      <c r="M814" s="1"/>
      <c r="N814" s="1"/>
      <c r="O814" s="1"/>
      <c r="Y814" s="76"/>
      <c r="AA814" s="77"/>
      <c r="AB814" s="76"/>
      <c r="AD814" s="77"/>
      <c r="AE814" s="76"/>
      <c r="AG814" s="77"/>
      <c r="AH814" s="76"/>
      <c r="AJ814" s="77"/>
      <c r="AK814" s="76"/>
      <c r="AM814" s="77"/>
      <c r="AN814" s="76"/>
      <c r="AP814" s="77"/>
      <c r="AQ814" s="76"/>
      <c r="AS814" s="77"/>
      <c r="AT814" s="76"/>
      <c r="AV814" s="77"/>
    </row>
    <row r="815">
      <c r="K815" s="1"/>
      <c r="L815" s="2"/>
      <c r="M815" s="1"/>
      <c r="N815" s="1"/>
      <c r="O815" s="1"/>
      <c r="Y815" s="76"/>
      <c r="AA815" s="77"/>
      <c r="AB815" s="76"/>
      <c r="AD815" s="77"/>
      <c r="AE815" s="76"/>
      <c r="AG815" s="77"/>
      <c r="AH815" s="76"/>
      <c r="AJ815" s="77"/>
      <c r="AK815" s="76"/>
      <c r="AM815" s="77"/>
      <c r="AN815" s="76"/>
      <c r="AP815" s="77"/>
      <c r="AQ815" s="76"/>
      <c r="AS815" s="77"/>
      <c r="AT815" s="76"/>
      <c r="AV815" s="77"/>
    </row>
    <row r="816">
      <c r="K816" s="1"/>
      <c r="L816" s="2"/>
      <c r="M816" s="1"/>
      <c r="N816" s="1"/>
      <c r="O816" s="1"/>
      <c r="Y816" s="76"/>
      <c r="AA816" s="77"/>
      <c r="AB816" s="76"/>
      <c r="AD816" s="77"/>
      <c r="AE816" s="76"/>
      <c r="AG816" s="77"/>
      <c r="AH816" s="76"/>
      <c r="AJ816" s="77"/>
      <c r="AK816" s="76"/>
      <c r="AM816" s="77"/>
      <c r="AN816" s="76"/>
      <c r="AP816" s="77"/>
      <c r="AQ816" s="76"/>
      <c r="AS816" s="77"/>
      <c r="AT816" s="76"/>
      <c r="AV816" s="77"/>
    </row>
    <row r="817">
      <c r="K817" s="1"/>
      <c r="L817" s="2"/>
      <c r="M817" s="1"/>
      <c r="N817" s="1"/>
      <c r="O817" s="1"/>
      <c r="Y817" s="76"/>
      <c r="AA817" s="77"/>
      <c r="AB817" s="76"/>
      <c r="AD817" s="77"/>
      <c r="AE817" s="76"/>
      <c r="AG817" s="77"/>
      <c r="AH817" s="76"/>
      <c r="AJ817" s="77"/>
      <c r="AK817" s="76"/>
      <c r="AM817" s="77"/>
      <c r="AN817" s="76"/>
      <c r="AP817" s="77"/>
      <c r="AQ817" s="76"/>
      <c r="AS817" s="77"/>
      <c r="AT817" s="76"/>
      <c r="AV817" s="77"/>
    </row>
    <row r="818">
      <c r="K818" s="1"/>
      <c r="L818" s="2"/>
      <c r="M818" s="1"/>
      <c r="N818" s="1"/>
      <c r="O818" s="1"/>
      <c r="Y818" s="76"/>
      <c r="AA818" s="77"/>
      <c r="AB818" s="76"/>
      <c r="AD818" s="77"/>
      <c r="AE818" s="76"/>
      <c r="AG818" s="77"/>
      <c r="AH818" s="76"/>
      <c r="AJ818" s="77"/>
      <c r="AK818" s="76"/>
      <c r="AM818" s="77"/>
      <c r="AN818" s="76"/>
      <c r="AP818" s="77"/>
      <c r="AQ818" s="76"/>
      <c r="AS818" s="77"/>
      <c r="AT818" s="76"/>
      <c r="AV818" s="77"/>
    </row>
    <row r="819">
      <c r="K819" s="1"/>
      <c r="L819" s="2"/>
      <c r="M819" s="1"/>
      <c r="N819" s="1"/>
      <c r="O819" s="1"/>
      <c r="Y819" s="76"/>
      <c r="AA819" s="77"/>
      <c r="AB819" s="76"/>
      <c r="AD819" s="77"/>
      <c r="AE819" s="76"/>
      <c r="AG819" s="77"/>
      <c r="AH819" s="76"/>
      <c r="AJ819" s="77"/>
      <c r="AK819" s="76"/>
      <c r="AM819" s="77"/>
      <c r="AN819" s="76"/>
      <c r="AP819" s="77"/>
      <c r="AQ819" s="76"/>
      <c r="AS819" s="77"/>
      <c r="AT819" s="76"/>
      <c r="AV819" s="77"/>
    </row>
    <row r="820">
      <c r="K820" s="1"/>
      <c r="L820" s="2"/>
      <c r="M820" s="1"/>
      <c r="N820" s="1"/>
      <c r="O820" s="1"/>
      <c r="Y820" s="76"/>
      <c r="AA820" s="77"/>
      <c r="AB820" s="76"/>
      <c r="AD820" s="77"/>
      <c r="AE820" s="76"/>
      <c r="AG820" s="77"/>
      <c r="AH820" s="76"/>
      <c r="AJ820" s="77"/>
      <c r="AK820" s="76"/>
      <c r="AM820" s="77"/>
      <c r="AN820" s="76"/>
      <c r="AP820" s="77"/>
      <c r="AQ820" s="76"/>
      <c r="AS820" s="77"/>
      <c r="AT820" s="76"/>
      <c r="AV820" s="77"/>
    </row>
    <row r="821">
      <c r="K821" s="1"/>
      <c r="L821" s="2"/>
      <c r="M821" s="1"/>
      <c r="N821" s="1"/>
      <c r="O821" s="1"/>
      <c r="Y821" s="76"/>
      <c r="AA821" s="77"/>
      <c r="AB821" s="76"/>
      <c r="AD821" s="77"/>
      <c r="AE821" s="76"/>
      <c r="AG821" s="77"/>
      <c r="AH821" s="76"/>
      <c r="AJ821" s="77"/>
      <c r="AK821" s="76"/>
      <c r="AM821" s="77"/>
      <c r="AN821" s="76"/>
      <c r="AP821" s="77"/>
      <c r="AQ821" s="76"/>
      <c r="AS821" s="77"/>
      <c r="AT821" s="76"/>
      <c r="AV821" s="77"/>
    </row>
    <row r="822">
      <c r="K822" s="1"/>
      <c r="L822" s="2"/>
      <c r="M822" s="1"/>
      <c r="N822" s="1"/>
      <c r="O822" s="1"/>
      <c r="Y822" s="76"/>
      <c r="AA822" s="77"/>
      <c r="AB822" s="76"/>
      <c r="AD822" s="77"/>
      <c r="AE822" s="76"/>
      <c r="AG822" s="77"/>
      <c r="AH822" s="76"/>
      <c r="AJ822" s="77"/>
      <c r="AK822" s="76"/>
      <c r="AM822" s="77"/>
      <c r="AN822" s="76"/>
      <c r="AP822" s="77"/>
      <c r="AQ822" s="76"/>
      <c r="AS822" s="77"/>
      <c r="AT822" s="76"/>
      <c r="AV822" s="77"/>
    </row>
    <row r="823">
      <c r="K823" s="1"/>
      <c r="L823" s="2"/>
      <c r="M823" s="1"/>
      <c r="N823" s="1"/>
      <c r="O823" s="1"/>
      <c r="Y823" s="76"/>
      <c r="AA823" s="77"/>
      <c r="AB823" s="76"/>
      <c r="AD823" s="77"/>
      <c r="AE823" s="76"/>
      <c r="AG823" s="77"/>
      <c r="AH823" s="76"/>
      <c r="AJ823" s="77"/>
      <c r="AK823" s="76"/>
      <c r="AM823" s="77"/>
      <c r="AN823" s="76"/>
      <c r="AP823" s="77"/>
      <c r="AQ823" s="76"/>
      <c r="AS823" s="77"/>
      <c r="AT823" s="76"/>
      <c r="AV823" s="77"/>
    </row>
    <row r="824">
      <c r="K824" s="1"/>
      <c r="L824" s="2"/>
      <c r="M824" s="1"/>
      <c r="N824" s="1"/>
      <c r="O824" s="1"/>
      <c r="Y824" s="76"/>
      <c r="AA824" s="77"/>
      <c r="AB824" s="76"/>
      <c r="AD824" s="77"/>
      <c r="AE824" s="76"/>
      <c r="AG824" s="77"/>
      <c r="AH824" s="76"/>
      <c r="AJ824" s="77"/>
      <c r="AK824" s="76"/>
      <c r="AM824" s="77"/>
      <c r="AN824" s="76"/>
      <c r="AP824" s="77"/>
      <c r="AQ824" s="76"/>
      <c r="AS824" s="77"/>
      <c r="AT824" s="76"/>
      <c r="AV824" s="77"/>
    </row>
    <row r="825">
      <c r="K825" s="1"/>
      <c r="L825" s="2"/>
      <c r="M825" s="1"/>
      <c r="N825" s="1"/>
      <c r="O825" s="1"/>
      <c r="Y825" s="76"/>
      <c r="AA825" s="77"/>
      <c r="AB825" s="76"/>
      <c r="AD825" s="77"/>
      <c r="AE825" s="76"/>
      <c r="AG825" s="77"/>
      <c r="AH825" s="76"/>
      <c r="AJ825" s="77"/>
      <c r="AK825" s="76"/>
      <c r="AM825" s="77"/>
      <c r="AN825" s="76"/>
      <c r="AP825" s="77"/>
      <c r="AQ825" s="76"/>
      <c r="AS825" s="77"/>
      <c r="AT825" s="76"/>
      <c r="AV825" s="77"/>
    </row>
    <row r="826">
      <c r="K826" s="1"/>
      <c r="L826" s="2"/>
      <c r="M826" s="1"/>
      <c r="N826" s="1"/>
      <c r="O826" s="1"/>
      <c r="Y826" s="76"/>
      <c r="AA826" s="77"/>
      <c r="AB826" s="76"/>
      <c r="AD826" s="77"/>
      <c r="AE826" s="76"/>
      <c r="AG826" s="77"/>
      <c r="AH826" s="76"/>
      <c r="AJ826" s="77"/>
      <c r="AK826" s="76"/>
      <c r="AM826" s="77"/>
      <c r="AN826" s="76"/>
      <c r="AP826" s="77"/>
      <c r="AQ826" s="76"/>
      <c r="AS826" s="77"/>
      <c r="AT826" s="76"/>
      <c r="AV826" s="77"/>
    </row>
    <row r="827">
      <c r="K827" s="1"/>
      <c r="L827" s="2"/>
      <c r="M827" s="1"/>
      <c r="N827" s="1"/>
      <c r="O827" s="1"/>
      <c r="Y827" s="76"/>
      <c r="AA827" s="77"/>
      <c r="AB827" s="76"/>
      <c r="AD827" s="77"/>
      <c r="AE827" s="76"/>
      <c r="AG827" s="77"/>
      <c r="AH827" s="76"/>
      <c r="AJ827" s="77"/>
      <c r="AK827" s="76"/>
      <c r="AM827" s="77"/>
      <c r="AN827" s="76"/>
      <c r="AP827" s="77"/>
      <c r="AQ827" s="76"/>
      <c r="AS827" s="77"/>
      <c r="AT827" s="76"/>
      <c r="AV827" s="77"/>
    </row>
    <row r="828">
      <c r="K828" s="1"/>
      <c r="L828" s="2"/>
      <c r="M828" s="1"/>
      <c r="N828" s="1"/>
      <c r="O828" s="1"/>
      <c r="Y828" s="76"/>
      <c r="AA828" s="77"/>
      <c r="AB828" s="76"/>
      <c r="AD828" s="77"/>
      <c r="AE828" s="76"/>
      <c r="AG828" s="77"/>
      <c r="AH828" s="76"/>
      <c r="AJ828" s="77"/>
      <c r="AK828" s="76"/>
      <c r="AM828" s="77"/>
      <c r="AN828" s="76"/>
      <c r="AP828" s="77"/>
      <c r="AQ828" s="76"/>
      <c r="AS828" s="77"/>
      <c r="AT828" s="76"/>
      <c r="AV828" s="77"/>
    </row>
    <row r="829">
      <c r="K829" s="1"/>
      <c r="L829" s="2"/>
      <c r="M829" s="1"/>
      <c r="N829" s="1"/>
      <c r="O829" s="1"/>
      <c r="Y829" s="76"/>
      <c r="AA829" s="77"/>
      <c r="AB829" s="76"/>
      <c r="AD829" s="77"/>
      <c r="AE829" s="76"/>
      <c r="AG829" s="77"/>
      <c r="AH829" s="76"/>
      <c r="AJ829" s="77"/>
      <c r="AK829" s="76"/>
      <c r="AM829" s="77"/>
      <c r="AN829" s="76"/>
      <c r="AP829" s="77"/>
      <c r="AQ829" s="76"/>
      <c r="AS829" s="77"/>
      <c r="AT829" s="76"/>
      <c r="AV829" s="77"/>
    </row>
    <row r="830">
      <c r="K830" s="1"/>
      <c r="L830" s="2"/>
      <c r="M830" s="1"/>
      <c r="N830" s="1"/>
      <c r="O830" s="1"/>
      <c r="Y830" s="76"/>
      <c r="AA830" s="77"/>
      <c r="AB830" s="76"/>
      <c r="AD830" s="77"/>
      <c r="AE830" s="76"/>
      <c r="AG830" s="77"/>
      <c r="AH830" s="76"/>
      <c r="AJ830" s="77"/>
      <c r="AK830" s="76"/>
      <c r="AM830" s="77"/>
      <c r="AN830" s="76"/>
      <c r="AP830" s="77"/>
      <c r="AQ830" s="76"/>
      <c r="AS830" s="77"/>
      <c r="AT830" s="76"/>
      <c r="AV830" s="77"/>
    </row>
    <row r="831">
      <c r="K831" s="1"/>
      <c r="L831" s="2"/>
      <c r="M831" s="1"/>
      <c r="N831" s="1"/>
      <c r="O831" s="1"/>
      <c r="Y831" s="76"/>
      <c r="AA831" s="77"/>
      <c r="AB831" s="76"/>
      <c r="AD831" s="77"/>
      <c r="AE831" s="76"/>
      <c r="AG831" s="77"/>
      <c r="AH831" s="76"/>
      <c r="AJ831" s="77"/>
      <c r="AK831" s="76"/>
      <c r="AM831" s="77"/>
      <c r="AN831" s="76"/>
      <c r="AP831" s="77"/>
      <c r="AQ831" s="76"/>
      <c r="AS831" s="77"/>
      <c r="AT831" s="76"/>
      <c r="AV831" s="77"/>
    </row>
    <row r="832">
      <c r="K832" s="1"/>
      <c r="L832" s="2"/>
      <c r="M832" s="1"/>
      <c r="N832" s="1"/>
      <c r="O832" s="1"/>
      <c r="Y832" s="76"/>
      <c r="AA832" s="77"/>
      <c r="AB832" s="76"/>
      <c r="AD832" s="77"/>
      <c r="AE832" s="76"/>
      <c r="AG832" s="77"/>
      <c r="AH832" s="76"/>
      <c r="AJ832" s="77"/>
      <c r="AK832" s="76"/>
      <c r="AM832" s="77"/>
      <c r="AN832" s="76"/>
      <c r="AP832" s="77"/>
      <c r="AQ832" s="76"/>
      <c r="AS832" s="77"/>
      <c r="AT832" s="76"/>
      <c r="AV832" s="77"/>
    </row>
    <row r="833">
      <c r="K833" s="1"/>
      <c r="L833" s="2"/>
      <c r="M833" s="1"/>
      <c r="N833" s="1"/>
      <c r="O833" s="1"/>
      <c r="Y833" s="76"/>
      <c r="AA833" s="77"/>
      <c r="AB833" s="76"/>
      <c r="AD833" s="77"/>
      <c r="AE833" s="76"/>
      <c r="AG833" s="77"/>
      <c r="AH833" s="76"/>
      <c r="AJ833" s="77"/>
      <c r="AK833" s="76"/>
      <c r="AM833" s="77"/>
      <c r="AN833" s="76"/>
      <c r="AP833" s="77"/>
      <c r="AQ833" s="76"/>
      <c r="AS833" s="77"/>
      <c r="AT833" s="76"/>
      <c r="AV833" s="77"/>
    </row>
    <row r="834">
      <c r="K834" s="1"/>
      <c r="L834" s="2"/>
      <c r="M834" s="1"/>
      <c r="N834" s="1"/>
      <c r="O834" s="1"/>
      <c r="Y834" s="76"/>
      <c r="AA834" s="77"/>
      <c r="AB834" s="76"/>
      <c r="AD834" s="77"/>
      <c r="AE834" s="76"/>
      <c r="AG834" s="77"/>
      <c r="AH834" s="76"/>
      <c r="AJ834" s="77"/>
      <c r="AK834" s="76"/>
      <c r="AM834" s="77"/>
      <c r="AN834" s="76"/>
      <c r="AP834" s="77"/>
      <c r="AQ834" s="76"/>
      <c r="AS834" s="77"/>
      <c r="AT834" s="76"/>
      <c r="AV834" s="77"/>
    </row>
    <row r="835">
      <c r="K835" s="1"/>
      <c r="L835" s="2"/>
      <c r="M835" s="1"/>
      <c r="N835" s="1"/>
      <c r="O835" s="1"/>
      <c r="Y835" s="76"/>
      <c r="AA835" s="77"/>
      <c r="AB835" s="76"/>
      <c r="AD835" s="77"/>
      <c r="AE835" s="76"/>
      <c r="AG835" s="77"/>
      <c r="AH835" s="76"/>
      <c r="AJ835" s="77"/>
      <c r="AK835" s="76"/>
      <c r="AM835" s="77"/>
      <c r="AN835" s="76"/>
      <c r="AP835" s="77"/>
      <c r="AQ835" s="76"/>
      <c r="AS835" s="77"/>
      <c r="AT835" s="76"/>
      <c r="AV835" s="77"/>
    </row>
    <row r="836">
      <c r="K836" s="1"/>
      <c r="L836" s="2"/>
      <c r="M836" s="1"/>
      <c r="N836" s="1"/>
      <c r="O836" s="1"/>
      <c r="Y836" s="76"/>
      <c r="AA836" s="77"/>
      <c r="AB836" s="76"/>
      <c r="AD836" s="77"/>
      <c r="AE836" s="76"/>
      <c r="AG836" s="77"/>
      <c r="AH836" s="76"/>
      <c r="AJ836" s="77"/>
      <c r="AK836" s="76"/>
      <c r="AM836" s="77"/>
      <c r="AN836" s="76"/>
      <c r="AP836" s="77"/>
      <c r="AQ836" s="76"/>
      <c r="AS836" s="77"/>
      <c r="AT836" s="76"/>
      <c r="AV836" s="77"/>
    </row>
    <row r="837">
      <c r="K837" s="1"/>
      <c r="L837" s="2"/>
      <c r="M837" s="1"/>
      <c r="N837" s="1"/>
      <c r="O837" s="1"/>
      <c r="Y837" s="76"/>
      <c r="AA837" s="77"/>
      <c r="AB837" s="76"/>
      <c r="AD837" s="77"/>
      <c r="AE837" s="76"/>
      <c r="AG837" s="77"/>
      <c r="AH837" s="76"/>
      <c r="AJ837" s="77"/>
      <c r="AK837" s="76"/>
      <c r="AM837" s="77"/>
      <c r="AN837" s="76"/>
      <c r="AP837" s="77"/>
      <c r="AQ837" s="76"/>
      <c r="AS837" s="77"/>
      <c r="AT837" s="76"/>
      <c r="AV837" s="77"/>
    </row>
    <row r="838">
      <c r="K838" s="1"/>
      <c r="L838" s="2"/>
      <c r="M838" s="1"/>
      <c r="N838" s="1"/>
      <c r="O838" s="1"/>
      <c r="Y838" s="76"/>
      <c r="AA838" s="77"/>
      <c r="AB838" s="76"/>
      <c r="AD838" s="77"/>
      <c r="AE838" s="76"/>
      <c r="AG838" s="77"/>
      <c r="AH838" s="76"/>
      <c r="AJ838" s="77"/>
      <c r="AK838" s="76"/>
      <c r="AM838" s="77"/>
      <c r="AN838" s="76"/>
      <c r="AP838" s="77"/>
      <c r="AQ838" s="76"/>
      <c r="AS838" s="77"/>
      <c r="AT838" s="76"/>
      <c r="AV838" s="77"/>
    </row>
    <row r="839">
      <c r="K839" s="1"/>
      <c r="L839" s="2"/>
      <c r="M839" s="1"/>
      <c r="N839" s="1"/>
      <c r="O839" s="1"/>
      <c r="Y839" s="76"/>
      <c r="AA839" s="77"/>
      <c r="AB839" s="76"/>
      <c r="AD839" s="77"/>
      <c r="AE839" s="76"/>
      <c r="AG839" s="77"/>
      <c r="AH839" s="76"/>
      <c r="AJ839" s="77"/>
      <c r="AK839" s="76"/>
      <c r="AM839" s="77"/>
      <c r="AN839" s="76"/>
      <c r="AP839" s="77"/>
      <c r="AQ839" s="76"/>
      <c r="AS839" s="77"/>
      <c r="AT839" s="76"/>
      <c r="AV839" s="77"/>
    </row>
    <row r="840">
      <c r="K840" s="1"/>
      <c r="L840" s="2"/>
      <c r="M840" s="1"/>
      <c r="N840" s="1"/>
      <c r="O840" s="1"/>
      <c r="Y840" s="76"/>
      <c r="AA840" s="77"/>
      <c r="AB840" s="76"/>
      <c r="AD840" s="77"/>
      <c r="AE840" s="76"/>
      <c r="AG840" s="77"/>
      <c r="AH840" s="76"/>
      <c r="AJ840" s="77"/>
      <c r="AK840" s="76"/>
      <c r="AM840" s="77"/>
      <c r="AN840" s="76"/>
      <c r="AP840" s="77"/>
      <c r="AQ840" s="76"/>
      <c r="AS840" s="77"/>
      <c r="AT840" s="76"/>
      <c r="AV840" s="77"/>
    </row>
    <row r="841">
      <c r="K841" s="1"/>
      <c r="L841" s="2"/>
      <c r="M841" s="1"/>
      <c r="N841" s="1"/>
      <c r="O841" s="1"/>
      <c r="Y841" s="76"/>
      <c r="AA841" s="77"/>
      <c r="AB841" s="76"/>
      <c r="AD841" s="77"/>
      <c r="AE841" s="76"/>
      <c r="AG841" s="77"/>
      <c r="AH841" s="76"/>
      <c r="AJ841" s="77"/>
      <c r="AK841" s="76"/>
      <c r="AM841" s="77"/>
      <c r="AN841" s="76"/>
      <c r="AP841" s="77"/>
      <c r="AQ841" s="76"/>
      <c r="AS841" s="77"/>
      <c r="AT841" s="76"/>
      <c r="AV841" s="77"/>
    </row>
    <row r="842">
      <c r="K842" s="1"/>
      <c r="L842" s="2"/>
      <c r="M842" s="1"/>
      <c r="N842" s="1"/>
      <c r="O842" s="1"/>
      <c r="Y842" s="76"/>
      <c r="AA842" s="77"/>
      <c r="AB842" s="76"/>
      <c r="AD842" s="77"/>
      <c r="AE842" s="76"/>
      <c r="AG842" s="77"/>
      <c r="AH842" s="76"/>
      <c r="AJ842" s="77"/>
      <c r="AK842" s="76"/>
      <c r="AM842" s="77"/>
      <c r="AN842" s="76"/>
      <c r="AP842" s="77"/>
      <c r="AQ842" s="76"/>
      <c r="AS842" s="77"/>
      <c r="AT842" s="76"/>
      <c r="AV842" s="77"/>
    </row>
    <row r="843">
      <c r="K843" s="1"/>
      <c r="L843" s="2"/>
      <c r="M843" s="1"/>
      <c r="N843" s="1"/>
      <c r="O843" s="1"/>
      <c r="Y843" s="76"/>
      <c r="AA843" s="77"/>
      <c r="AB843" s="76"/>
      <c r="AD843" s="77"/>
      <c r="AE843" s="76"/>
      <c r="AG843" s="77"/>
      <c r="AH843" s="76"/>
      <c r="AJ843" s="77"/>
      <c r="AK843" s="76"/>
      <c r="AM843" s="77"/>
      <c r="AN843" s="76"/>
      <c r="AP843" s="77"/>
      <c r="AQ843" s="76"/>
      <c r="AS843" s="77"/>
      <c r="AT843" s="76"/>
      <c r="AV843" s="77"/>
    </row>
    <row r="844">
      <c r="K844" s="1"/>
      <c r="L844" s="2"/>
      <c r="M844" s="1"/>
      <c r="N844" s="1"/>
      <c r="O844" s="1"/>
      <c r="Y844" s="76"/>
      <c r="AA844" s="77"/>
      <c r="AB844" s="76"/>
      <c r="AD844" s="77"/>
      <c r="AE844" s="76"/>
      <c r="AG844" s="77"/>
      <c r="AH844" s="76"/>
      <c r="AJ844" s="77"/>
      <c r="AK844" s="76"/>
      <c r="AM844" s="77"/>
      <c r="AN844" s="76"/>
      <c r="AP844" s="77"/>
      <c r="AQ844" s="76"/>
      <c r="AS844" s="77"/>
      <c r="AT844" s="76"/>
      <c r="AV844" s="77"/>
    </row>
    <row r="845">
      <c r="K845" s="1"/>
      <c r="L845" s="2"/>
      <c r="M845" s="1"/>
      <c r="N845" s="1"/>
      <c r="O845" s="1"/>
      <c r="Y845" s="76"/>
      <c r="AA845" s="77"/>
      <c r="AB845" s="76"/>
      <c r="AD845" s="77"/>
      <c r="AE845" s="76"/>
      <c r="AG845" s="77"/>
      <c r="AH845" s="76"/>
      <c r="AJ845" s="77"/>
      <c r="AK845" s="76"/>
      <c r="AM845" s="77"/>
      <c r="AN845" s="76"/>
      <c r="AP845" s="77"/>
      <c r="AQ845" s="76"/>
      <c r="AS845" s="77"/>
      <c r="AT845" s="76"/>
      <c r="AV845" s="77"/>
    </row>
    <row r="846">
      <c r="K846" s="1"/>
      <c r="L846" s="2"/>
      <c r="M846" s="1"/>
      <c r="N846" s="1"/>
      <c r="O846" s="1"/>
      <c r="Y846" s="76"/>
      <c r="AA846" s="77"/>
      <c r="AB846" s="76"/>
      <c r="AD846" s="77"/>
      <c r="AE846" s="76"/>
      <c r="AG846" s="77"/>
      <c r="AH846" s="76"/>
      <c r="AJ846" s="77"/>
      <c r="AK846" s="76"/>
      <c r="AM846" s="77"/>
      <c r="AN846" s="76"/>
      <c r="AP846" s="77"/>
      <c r="AQ846" s="76"/>
      <c r="AS846" s="77"/>
      <c r="AT846" s="76"/>
      <c r="AV846" s="77"/>
    </row>
    <row r="847">
      <c r="K847" s="1"/>
      <c r="L847" s="2"/>
      <c r="M847" s="1"/>
      <c r="N847" s="1"/>
      <c r="O847" s="1"/>
      <c r="Y847" s="76"/>
      <c r="AA847" s="77"/>
      <c r="AB847" s="76"/>
      <c r="AD847" s="77"/>
      <c r="AE847" s="76"/>
      <c r="AG847" s="77"/>
      <c r="AH847" s="76"/>
      <c r="AJ847" s="77"/>
      <c r="AK847" s="76"/>
      <c r="AM847" s="77"/>
      <c r="AN847" s="76"/>
      <c r="AP847" s="77"/>
      <c r="AQ847" s="76"/>
      <c r="AS847" s="77"/>
      <c r="AT847" s="76"/>
      <c r="AV847" s="77"/>
    </row>
    <row r="848">
      <c r="K848" s="1"/>
      <c r="L848" s="2"/>
      <c r="M848" s="1"/>
      <c r="N848" s="1"/>
      <c r="O848" s="1"/>
      <c r="Y848" s="76"/>
      <c r="AA848" s="77"/>
      <c r="AB848" s="76"/>
      <c r="AD848" s="77"/>
      <c r="AE848" s="76"/>
      <c r="AG848" s="77"/>
      <c r="AH848" s="76"/>
      <c r="AJ848" s="77"/>
      <c r="AK848" s="76"/>
      <c r="AM848" s="77"/>
      <c r="AN848" s="76"/>
      <c r="AP848" s="77"/>
      <c r="AQ848" s="76"/>
      <c r="AS848" s="77"/>
      <c r="AT848" s="76"/>
      <c r="AV848" s="77"/>
    </row>
    <row r="849">
      <c r="K849" s="1"/>
      <c r="L849" s="2"/>
      <c r="M849" s="1"/>
      <c r="N849" s="1"/>
      <c r="O849" s="1"/>
      <c r="Y849" s="76"/>
      <c r="AA849" s="77"/>
      <c r="AB849" s="76"/>
      <c r="AD849" s="77"/>
      <c r="AE849" s="76"/>
      <c r="AG849" s="77"/>
      <c r="AH849" s="76"/>
      <c r="AJ849" s="77"/>
      <c r="AK849" s="76"/>
      <c r="AM849" s="77"/>
      <c r="AN849" s="76"/>
      <c r="AP849" s="77"/>
      <c r="AQ849" s="76"/>
      <c r="AS849" s="77"/>
      <c r="AT849" s="76"/>
      <c r="AV849" s="77"/>
    </row>
    <row r="850">
      <c r="K850" s="1"/>
      <c r="L850" s="2"/>
      <c r="M850" s="1"/>
      <c r="N850" s="1"/>
      <c r="O850" s="1"/>
      <c r="Y850" s="76"/>
      <c r="AA850" s="77"/>
      <c r="AB850" s="76"/>
      <c r="AD850" s="77"/>
      <c r="AE850" s="76"/>
      <c r="AG850" s="77"/>
      <c r="AH850" s="76"/>
      <c r="AJ850" s="77"/>
      <c r="AK850" s="76"/>
      <c r="AM850" s="77"/>
      <c r="AN850" s="76"/>
      <c r="AP850" s="77"/>
      <c r="AQ850" s="76"/>
      <c r="AS850" s="77"/>
      <c r="AT850" s="76"/>
      <c r="AV850" s="77"/>
    </row>
    <row r="851">
      <c r="K851" s="1"/>
      <c r="L851" s="2"/>
      <c r="M851" s="1"/>
      <c r="N851" s="1"/>
      <c r="O851" s="1"/>
      <c r="Y851" s="76"/>
      <c r="AA851" s="77"/>
      <c r="AB851" s="76"/>
      <c r="AD851" s="77"/>
      <c r="AE851" s="76"/>
      <c r="AG851" s="77"/>
      <c r="AH851" s="76"/>
      <c r="AJ851" s="77"/>
      <c r="AK851" s="76"/>
      <c r="AM851" s="77"/>
      <c r="AN851" s="76"/>
      <c r="AP851" s="77"/>
      <c r="AQ851" s="76"/>
      <c r="AS851" s="77"/>
      <c r="AT851" s="76"/>
      <c r="AV851" s="77"/>
    </row>
    <row r="852">
      <c r="K852" s="1"/>
      <c r="L852" s="2"/>
      <c r="M852" s="1"/>
      <c r="N852" s="1"/>
      <c r="O852" s="1"/>
      <c r="Y852" s="76"/>
      <c r="AA852" s="77"/>
      <c r="AB852" s="76"/>
      <c r="AD852" s="77"/>
      <c r="AE852" s="76"/>
      <c r="AG852" s="77"/>
      <c r="AH852" s="76"/>
      <c r="AJ852" s="77"/>
      <c r="AK852" s="76"/>
      <c r="AM852" s="77"/>
      <c r="AN852" s="76"/>
      <c r="AP852" s="77"/>
      <c r="AQ852" s="76"/>
      <c r="AS852" s="77"/>
      <c r="AT852" s="76"/>
      <c r="AV852" s="77"/>
    </row>
    <row r="853">
      <c r="K853" s="1"/>
      <c r="L853" s="2"/>
      <c r="M853" s="1"/>
      <c r="N853" s="1"/>
      <c r="O853" s="1"/>
      <c r="Y853" s="76"/>
      <c r="AA853" s="77"/>
      <c r="AB853" s="76"/>
      <c r="AD853" s="77"/>
      <c r="AE853" s="76"/>
      <c r="AG853" s="77"/>
      <c r="AH853" s="76"/>
      <c r="AJ853" s="77"/>
      <c r="AK853" s="76"/>
      <c r="AM853" s="77"/>
      <c r="AN853" s="76"/>
      <c r="AP853" s="77"/>
      <c r="AQ853" s="76"/>
      <c r="AS853" s="77"/>
      <c r="AT853" s="76"/>
      <c r="AV853" s="77"/>
    </row>
    <row r="854">
      <c r="K854" s="1"/>
      <c r="L854" s="2"/>
      <c r="M854" s="1"/>
      <c r="N854" s="1"/>
      <c r="O854" s="1"/>
      <c r="Y854" s="76"/>
      <c r="AA854" s="77"/>
      <c r="AB854" s="76"/>
      <c r="AD854" s="77"/>
      <c r="AE854" s="76"/>
      <c r="AG854" s="77"/>
      <c r="AH854" s="76"/>
      <c r="AJ854" s="77"/>
      <c r="AK854" s="76"/>
      <c r="AM854" s="77"/>
      <c r="AN854" s="76"/>
      <c r="AP854" s="77"/>
      <c r="AQ854" s="76"/>
      <c r="AS854" s="77"/>
      <c r="AT854" s="76"/>
      <c r="AV854" s="77"/>
    </row>
    <row r="855">
      <c r="K855" s="1"/>
      <c r="L855" s="2"/>
      <c r="M855" s="1"/>
      <c r="N855" s="1"/>
      <c r="O855" s="1"/>
      <c r="Y855" s="76"/>
      <c r="AA855" s="77"/>
      <c r="AB855" s="76"/>
      <c r="AD855" s="77"/>
      <c r="AE855" s="76"/>
      <c r="AG855" s="77"/>
      <c r="AH855" s="76"/>
      <c r="AJ855" s="77"/>
      <c r="AK855" s="76"/>
      <c r="AM855" s="77"/>
      <c r="AN855" s="76"/>
      <c r="AP855" s="77"/>
      <c r="AQ855" s="76"/>
      <c r="AS855" s="77"/>
      <c r="AT855" s="76"/>
      <c r="AV855" s="77"/>
    </row>
    <row r="856">
      <c r="K856" s="1"/>
      <c r="L856" s="2"/>
      <c r="M856" s="1"/>
      <c r="N856" s="1"/>
      <c r="O856" s="1"/>
      <c r="Y856" s="76"/>
      <c r="AA856" s="77"/>
      <c r="AB856" s="76"/>
      <c r="AD856" s="77"/>
      <c r="AE856" s="76"/>
      <c r="AG856" s="77"/>
      <c r="AH856" s="76"/>
      <c r="AJ856" s="77"/>
      <c r="AK856" s="76"/>
      <c r="AM856" s="77"/>
      <c r="AN856" s="76"/>
      <c r="AP856" s="77"/>
      <c r="AQ856" s="76"/>
      <c r="AS856" s="77"/>
      <c r="AT856" s="76"/>
      <c r="AV856" s="77"/>
    </row>
    <row r="857">
      <c r="K857" s="1"/>
      <c r="L857" s="2"/>
      <c r="M857" s="1"/>
      <c r="N857" s="1"/>
      <c r="O857" s="1"/>
      <c r="Y857" s="76"/>
      <c r="AA857" s="77"/>
      <c r="AB857" s="76"/>
      <c r="AD857" s="77"/>
      <c r="AE857" s="76"/>
      <c r="AG857" s="77"/>
      <c r="AH857" s="76"/>
      <c r="AJ857" s="77"/>
      <c r="AK857" s="76"/>
      <c r="AM857" s="77"/>
      <c r="AN857" s="76"/>
      <c r="AP857" s="77"/>
      <c r="AQ857" s="76"/>
      <c r="AS857" s="77"/>
      <c r="AT857" s="76"/>
      <c r="AV857" s="77"/>
    </row>
    <row r="858">
      <c r="K858" s="1"/>
      <c r="L858" s="2"/>
      <c r="M858" s="1"/>
      <c r="N858" s="1"/>
      <c r="O858" s="1"/>
      <c r="Y858" s="76"/>
      <c r="AA858" s="77"/>
      <c r="AB858" s="76"/>
      <c r="AD858" s="77"/>
      <c r="AE858" s="76"/>
      <c r="AG858" s="77"/>
      <c r="AH858" s="76"/>
      <c r="AJ858" s="77"/>
      <c r="AK858" s="76"/>
      <c r="AM858" s="77"/>
      <c r="AN858" s="76"/>
      <c r="AP858" s="77"/>
      <c r="AQ858" s="76"/>
      <c r="AS858" s="77"/>
      <c r="AT858" s="76"/>
      <c r="AV858" s="77"/>
    </row>
    <row r="859">
      <c r="K859" s="1"/>
      <c r="L859" s="2"/>
      <c r="M859" s="1"/>
      <c r="N859" s="1"/>
      <c r="O859" s="1"/>
      <c r="Y859" s="76"/>
      <c r="AA859" s="77"/>
      <c r="AB859" s="76"/>
      <c r="AD859" s="77"/>
      <c r="AE859" s="76"/>
      <c r="AG859" s="77"/>
      <c r="AH859" s="76"/>
      <c r="AJ859" s="77"/>
      <c r="AK859" s="76"/>
      <c r="AM859" s="77"/>
      <c r="AN859" s="76"/>
      <c r="AP859" s="77"/>
      <c r="AQ859" s="76"/>
      <c r="AS859" s="77"/>
      <c r="AT859" s="76"/>
      <c r="AV859" s="77"/>
    </row>
    <row r="860">
      <c r="K860" s="1"/>
      <c r="L860" s="2"/>
      <c r="M860" s="1"/>
      <c r="N860" s="1"/>
      <c r="O860" s="1"/>
      <c r="Y860" s="76"/>
      <c r="AA860" s="77"/>
      <c r="AB860" s="76"/>
      <c r="AD860" s="77"/>
      <c r="AE860" s="76"/>
      <c r="AG860" s="77"/>
      <c r="AH860" s="76"/>
      <c r="AJ860" s="77"/>
      <c r="AK860" s="76"/>
      <c r="AM860" s="77"/>
      <c r="AN860" s="76"/>
      <c r="AP860" s="77"/>
      <c r="AQ860" s="76"/>
      <c r="AS860" s="77"/>
      <c r="AT860" s="76"/>
      <c r="AV860" s="77"/>
    </row>
    <row r="861">
      <c r="K861" s="1"/>
      <c r="L861" s="2"/>
      <c r="M861" s="1"/>
      <c r="N861" s="1"/>
      <c r="O861" s="1"/>
      <c r="Y861" s="76"/>
      <c r="AA861" s="77"/>
      <c r="AB861" s="76"/>
      <c r="AD861" s="77"/>
      <c r="AE861" s="76"/>
      <c r="AG861" s="77"/>
      <c r="AH861" s="76"/>
      <c r="AJ861" s="77"/>
      <c r="AK861" s="76"/>
      <c r="AM861" s="77"/>
      <c r="AN861" s="76"/>
      <c r="AP861" s="77"/>
      <c r="AQ861" s="76"/>
      <c r="AS861" s="77"/>
      <c r="AT861" s="76"/>
      <c r="AV861" s="77"/>
    </row>
    <row r="862">
      <c r="K862" s="1"/>
      <c r="L862" s="2"/>
      <c r="M862" s="1"/>
      <c r="N862" s="1"/>
      <c r="O862" s="1"/>
      <c r="Y862" s="76"/>
      <c r="AA862" s="77"/>
      <c r="AB862" s="76"/>
      <c r="AD862" s="77"/>
      <c r="AE862" s="76"/>
      <c r="AG862" s="77"/>
      <c r="AH862" s="76"/>
      <c r="AJ862" s="77"/>
      <c r="AK862" s="76"/>
      <c r="AM862" s="77"/>
      <c r="AN862" s="76"/>
      <c r="AP862" s="77"/>
      <c r="AQ862" s="76"/>
      <c r="AS862" s="77"/>
      <c r="AT862" s="76"/>
      <c r="AV862" s="77"/>
    </row>
    <row r="863">
      <c r="K863" s="1"/>
      <c r="L863" s="2"/>
      <c r="M863" s="1"/>
      <c r="N863" s="1"/>
      <c r="O863" s="1"/>
      <c r="Y863" s="76"/>
      <c r="AA863" s="77"/>
      <c r="AB863" s="76"/>
      <c r="AD863" s="77"/>
      <c r="AE863" s="76"/>
      <c r="AG863" s="77"/>
      <c r="AH863" s="76"/>
      <c r="AJ863" s="77"/>
      <c r="AK863" s="76"/>
      <c r="AM863" s="77"/>
      <c r="AN863" s="76"/>
      <c r="AP863" s="77"/>
      <c r="AQ863" s="76"/>
      <c r="AS863" s="77"/>
      <c r="AT863" s="76"/>
      <c r="AV863" s="77"/>
    </row>
    <row r="864">
      <c r="K864" s="1"/>
      <c r="L864" s="2"/>
      <c r="M864" s="1"/>
      <c r="N864" s="1"/>
      <c r="O864" s="1"/>
      <c r="Y864" s="76"/>
      <c r="AA864" s="77"/>
      <c r="AB864" s="76"/>
      <c r="AD864" s="77"/>
      <c r="AE864" s="76"/>
      <c r="AG864" s="77"/>
      <c r="AH864" s="76"/>
      <c r="AJ864" s="77"/>
      <c r="AK864" s="76"/>
      <c r="AM864" s="77"/>
      <c r="AN864" s="76"/>
      <c r="AP864" s="77"/>
      <c r="AQ864" s="76"/>
      <c r="AS864" s="77"/>
      <c r="AT864" s="76"/>
      <c r="AV864" s="77"/>
    </row>
    <row r="865">
      <c r="K865" s="1"/>
      <c r="L865" s="2"/>
      <c r="M865" s="1"/>
      <c r="N865" s="1"/>
      <c r="O865" s="1"/>
      <c r="Y865" s="76"/>
      <c r="AA865" s="77"/>
      <c r="AB865" s="76"/>
      <c r="AD865" s="77"/>
      <c r="AE865" s="76"/>
      <c r="AG865" s="77"/>
      <c r="AH865" s="76"/>
      <c r="AJ865" s="77"/>
      <c r="AK865" s="76"/>
      <c r="AM865" s="77"/>
      <c r="AN865" s="76"/>
      <c r="AP865" s="77"/>
      <c r="AQ865" s="76"/>
      <c r="AS865" s="77"/>
      <c r="AT865" s="76"/>
      <c r="AV865" s="77"/>
    </row>
    <row r="866">
      <c r="K866" s="1"/>
      <c r="L866" s="2"/>
      <c r="M866" s="1"/>
      <c r="N866" s="1"/>
      <c r="O866" s="1"/>
      <c r="Y866" s="76"/>
      <c r="AA866" s="77"/>
      <c r="AB866" s="76"/>
      <c r="AD866" s="77"/>
      <c r="AE866" s="76"/>
      <c r="AG866" s="77"/>
      <c r="AH866" s="76"/>
      <c r="AJ866" s="77"/>
      <c r="AK866" s="76"/>
      <c r="AM866" s="77"/>
      <c r="AN866" s="76"/>
      <c r="AP866" s="77"/>
      <c r="AQ866" s="76"/>
      <c r="AS866" s="77"/>
      <c r="AT866" s="76"/>
      <c r="AV866" s="77"/>
    </row>
    <row r="867">
      <c r="K867" s="1"/>
      <c r="L867" s="2"/>
      <c r="M867" s="1"/>
      <c r="N867" s="1"/>
      <c r="O867" s="1"/>
      <c r="Y867" s="76"/>
      <c r="AA867" s="77"/>
      <c r="AB867" s="76"/>
      <c r="AD867" s="77"/>
      <c r="AE867" s="76"/>
      <c r="AG867" s="77"/>
      <c r="AH867" s="76"/>
      <c r="AJ867" s="77"/>
      <c r="AK867" s="76"/>
      <c r="AM867" s="77"/>
      <c r="AN867" s="76"/>
      <c r="AP867" s="77"/>
      <c r="AQ867" s="76"/>
      <c r="AS867" s="77"/>
      <c r="AT867" s="76"/>
      <c r="AV867" s="77"/>
    </row>
    <row r="868">
      <c r="K868" s="1"/>
      <c r="L868" s="2"/>
      <c r="M868" s="1"/>
      <c r="N868" s="1"/>
      <c r="O868" s="1"/>
      <c r="Y868" s="76"/>
      <c r="AA868" s="77"/>
      <c r="AB868" s="76"/>
      <c r="AD868" s="77"/>
      <c r="AE868" s="76"/>
      <c r="AG868" s="77"/>
      <c r="AH868" s="76"/>
      <c r="AJ868" s="77"/>
      <c r="AK868" s="76"/>
      <c r="AM868" s="77"/>
      <c r="AN868" s="76"/>
      <c r="AP868" s="77"/>
      <c r="AQ868" s="76"/>
      <c r="AS868" s="77"/>
      <c r="AT868" s="76"/>
      <c r="AV868" s="77"/>
    </row>
    <row r="869">
      <c r="K869" s="1"/>
      <c r="L869" s="2"/>
      <c r="M869" s="1"/>
      <c r="N869" s="1"/>
      <c r="O869" s="1"/>
      <c r="Y869" s="76"/>
      <c r="AA869" s="77"/>
      <c r="AB869" s="76"/>
      <c r="AD869" s="77"/>
      <c r="AE869" s="76"/>
      <c r="AG869" s="77"/>
      <c r="AH869" s="76"/>
      <c r="AJ869" s="77"/>
      <c r="AK869" s="76"/>
      <c r="AM869" s="77"/>
      <c r="AN869" s="76"/>
      <c r="AP869" s="77"/>
      <c r="AQ869" s="76"/>
      <c r="AS869" s="77"/>
      <c r="AT869" s="76"/>
      <c r="AV869" s="77"/>
    </row>
    <row r="870">
      <c r="K870" s="1"/>
      <c r="L870" s="2"/>
      <c r="M870" s="1"/>
      <c r="N870" s="1"/>
      <c r="O870" s="1"/>
      <c r="Y870" s="76"/>
      <c r="AA870" s="77"/>
      <c r="AB870" s="76"/>
      <c r="AD870" s="77"/>
      <c r="AE870" s="76"/>
      <c r="AG870" s="77"/>
      <c r="AH870" s="76"/>
      <c r="AJ870" s="77"/>
      <c r="AK870" s="76"/>
      <c r="AM870" s="77"/>
      <c r="AN870" s="76"/>
      <c r="AP870" s="77"/>
      <c r="AQ870" s="76"/>
      <c r="AS870" s="77"/>
      <c r="AT870" s="76"/>
      <c r="AV870" s="77"/>
    </row>
    <row r="871">
      <c r="K871" s="1"/>
      <c r="L871" s="2"/>
      <c r="M871" s="1"/>
      <c r="N871" s="1"/>
      <c r="O871" s="1"/>
      <c r="Y871" s="76"/>
      <c r="AA871" s="77"/>
      <c r="AB871" s="76"/>
      <c r="AD871" s="77"/>
      <c r="AE871" s="76"/>
      <c r="AG871" s="77"/>
      <c r="AH871" s="76"/>
      <c r="AJ871" s="77"/>
      <c r="AK871" s="76"/>
      <c r="AM871" s="77"/>
      <c r="AN871" s="76"/>
      <c r="AP871" s="77"/>
      <c r="AQ871" s="76"/>
      <c r="AS871" s="77"/>
      <c r="AT871" s="76"/>
      <c r="AV871" s="77"/>
    </row>
    <row r="872">
      <c r="K872" s="1"/>
      <c r="L872" s="2"/>
      <c r="M872" s="1"/>
      <c r="N872" s="1"/>
      <c r="O872" s="1"/>
      <c r="Y872" s="76"/>
      <c r="AA872" s="77"/>
      <c r="AB872" s="76"/>
      <c r="AD872" s="77"/>
      <c r="AE872" s="76"/>
      <c r="AG872" s="77"/>
      <c r="AH872" s="76"/>
      <c r="AJ872" s="77"/>
      <c r="AK872" s="76"/>
      <c r="AM872" s="77"/>
      <c r="AN872" s="76"/>
      <c r="AP872" s="77"/>
      <c r="AQ872" s="76"/>
      <c r="AS872" s="77"/>
      <c r="AT872" s="76"/>
      <c r="AV872" s="77"/>
    </row>
    <row r="873">
      <c r="K873" s="1"/>
      <c r="L873" s="2"/>
      <c r="M873" s="1"/>
      <c r="N873" s="1"/>
      <c r="O873" s="1"/>
      <c r="Y873" s="76"/>
      <c r="AA873" s="77"/>
      <c r="AB873" s="76"/>
      <c r="AD873" s="77"/>
      <c r="AE873" s="76"/>
      <c r="AG873" s="77"/>
      <c r="AH873" s="76"/>
      <c r="AJ873" s="77"/>
      <c r="AK873" s="76"/>
      <c r="AM873" s="77"/>
      <c r="AN873" s="76"/>
      <c r="AP873" s="77"/>
      <c r="AQ873" s="76"/>
      <c r="AS873" s="77"/>
      <c r="AT873" s="76"/>
      <c r="AV873" s="77"/>
    </row>
    <row r="874">
      <c r="K874" s="1"/>
      <c r="L874" s="2"/>
      <c r="M874" s="1"/>
      <c r="N874" s="1"/>
      <c r="O874" s="1"/>
      <c r="Y874" s="76"/>
      <c r="AA874" s="77"/>
      <c r="AB874" s="76"/>
      <c r="AD874" s="77"/>
      <c r="AE874" s="76"/>
      <c r="AG874" s="77"/>
      <c r="AH874" s="76"/>
      <c r="AJ874" s="77"/>
      <c r="AK874" s="76"/>
      <c r="AM874" s="77"/>
      <c r="AN874" s="76"/>
      <c r="AP874" s="77"/>
      <c r="AQ874" s="76"/>
      <c r="AS874" s="77"/>
      <c r="AT874" s="76"/>
      <c r="AV874" s="77"/>
    </row>
    <row r="875">
      <c r="K875" s="1"/>
      <c r="L875" s="2"/>
      <c r="M875" s="1"/>
      <c r="N875" s="1"/>
      <c r="O875" s="1"/>
      <c r="Y875" s="76"/>
      <c r="AA875" s="77"/>
      <c r="AB875" s="76"/>
      <c r="AD875" s="77"/>
      <c r="AE875" s="76"/>
      <c r="AG875" s="77"/>
      <c r="AH875" s="76"/>
      <c r="AJ875" s="77"/>
      <c r="AK875" s="76"/>
      <c r="AM875" s="77"/>
      <c r="AN875" s="76"/>
      <c r="AP875" s="77"/>
      <c r="AQ875" s="76"/>
      <c r="AS875" s="77"/>
      <c r="AT875" s="76"/>
      <c r="AV875" s="77"/>
    </row>
    <row r="876">
      <c r="K876" s="1"/>
      <c r="L876" s="2"/>
      <c r="M876" s="1"/>
      <c r="N876" s="1"/>
      <c r="O876" s="1"/>
      <c r="Y876" s="76"/>
      <c r="AA876" s="77"/>
      <c r="AB876" s="76"/>
      <c r="AD876" s="77"/>
      <c r="AE876" s="76"/>
      <c r="AG876" s="77"/>
      <c r="AH876" s="76"/>
      <c r="AJ876" s="77"/>
      <c r="AK876" s="76"/>
      <c r="AM876" s="77"/>
      <c r="AN876" s="76"/>
      <c r="AP876" s="77"/>
      <c r="AQ876" s="76"/>
      <c r="AS876" s="77"/>
      <c r="AT876" s="76"/>
      <c r="AV876" s="77"/>
    </row>
    <row r="877">
      <c r="K877" s="1"/>
      <c r="L877" s="2"/>
      <c r="M877" s="1"/>
      <c r="N877" s="1"/>
      <c r="O877" s="1"/>
      <c r="Y877" s="76"/>
      <c r="AA877" s="77"/>
      <c r="AB877" s="76"/>
      <c r="AD877" s="77"/>
      <c r="AE877" s="76"/>
      <c r="AG877" s="77"/>
      <c r="AH877" s="76"/>
      <c r="AJ877" s="77"/>
      <c r="AK877" s="76"/>
      <c r="AM877" s="77"/>
      <c r="AN877" s="76"/>
      <c r="AP877" s="77"/>
      <c r="AQ877" s="76"/>
      <c r="AS877" s="77"/>
      <c r="AT877" s="76"/>
      <c r="AV877" s="77"/>
    </row>
    <row r="878">
      <c r="K878" s="1"/>
      <c r="L878" s="2"/>
      <c r="M878" s="1"/>
      <c r="N878" s="1"/>
      <c r="O878" s="1"/>
      <c r="Y878" s="76"/>
      <c r="AA878" s="77"/>
      <c r="AB878" s="76"/>
      <c r="AD878" s="77"/>
      <c r="AE878" s="76"/>
      <c r="AG878" s="77"/>
      <c r="AH878" s="76"/>
      <c r="AJ878" s="77"/>
      <c r="AK878" s="76"/>
      <c r="AM878" s="77"/>
      <c r="AN878" s="76"/>
      <c r="AP878" s="77"/>
      <c r="AQ878" s="76"/>
      <c r="AS878" s="77"/>
      <c r="AT878" s="76"/>
      <c r="AV878" s="77"/>
    </row>
    <row r="879">
      <c r="K879" s="1"/>
      <c r="L879" s="2"/>
      <c r="M879" s="1"/>
      <c r="N879" s="1"/>
      <c r="O879" s="1"/>
      <c r="Y879" s="76"/>
      <c r="AA879" s="77"/>
      <c r="AB879" s="76"/>
      <c r="AD879" s="77"/>
      <c r="AE879" s="76"/>
      <c r="AG879" s="77"/>
      <c r="AH879" s="76"/>
      <c r="AJ879" s="77"/>
      <c r="AK879" s="76"/>
      <c r="AM879" s="77"/>
      <c r="AN879" s="76"/>
      <c r="AP879" s="77"/>
      <c r="AQ879" s="76"/>
      <c r="AS879" s="77"/>
      <c r="AT879" s="76"/>
      <c r="AV879" s="77"/>
    </row>
    <row r="880">
      <c r="K880" s="1"/>
      <c r="L880" s="2"/>
      <c r="M880" s="1"/>
      <c r="N880" s="1"/>
      <c r="O880" s="1"/>
      <c r="Y880" s="76"/>
      <c r="AA880" s="77"/>
      <c r="AB880" s="76"/>
      <c r="AD880" s="77"/>
      <c r="AE880" s="76"/>
      <c r="AG880" s="77"/>
      <c r="AH880" s="76"/>
      <c r="AJ880" s="77"/>
      <c r="AK880" s="76"/>
      <c r="AM880" s="77"/>
      <c r="AN880" s="76"/>
      <c r="AP880" s="77"/>
      <c r="AQ880" s="76"/>
      <c r="AS880" s="77"/>
      <c r="AT880" s="76"/>
      <c r="AV880" s="77"/>
    </row>
    <row r="881">
      <c r="K881" s="1"/>
      <c r="L881" s="2"/>
      <c r="M881" s="1"/>
      <c r="N881" s="1"/>
      <c r="O881" s="1"/>
      <c r="Y881" s="76"/>
      <c r="AA881" s="77"/>
      <c r="AB881" s="76"/>
      <c r="AD881" s="77"/>
      <c r="AE881" s="76"/>
      <c r="AG881" s="77"/>
      <c r="AH881" s="76"/>
      <c r="AJ881" s="77"/>
      <c r="AK881" s="76"/>
      <c r="AM881" s="77"/>
      <c r="AN881" s="76"/>
      <c r="AP881" s="77"/>
      <c r="AQ881" s="76"/>
      <c r="AS881" s="77"/>
      <c r="AT881" s="76"/>
      <c r="AV881" s="77"/>
    </row>
    <row r="882">
      <c r="K882" s="1"/>
      <c r="L882" s="2"/>
      <c r="M882" s="1"/>
      <c r="N882" s="1"/>
      <c r="O882" s="1"/>
      <c r="Y882" s="76"/>
      <c r="AA882" s="77"/>
      <c r="AB882" s="76"/>
      <c r="AD882" s="77"/>
      <c r="AE882" s="76"/>
      <c r="AG882" s="77"/>
      <c r="AH882" s="76"/>
      <c r="AJ882" s="77"/>
      <c r="AK882" s="76"/>
      <c r="AM882" s="77"/>
      <c r="AN882" s="76"/>
      <c r="AP882" s="77"/>
      <c r="AQ882" s="76"/>
      <c r="AS882" s="77"/>
      <c r="AT882" s="76"/>
      <c r="AV882" s="77"/>
    </row>
    <row r="883">
      <c r="K883" s="1"/>
      <c r="L883" s="2"/>
      <c r="M883" s="1"/>
      <c r="N883" s="1"/>
      <c r="O883" s="1"/>
      <c r="Y883" s="76"/>
      <c r="AA883" s="77"/>
      <c r="AB883" s="76"/>
      <c r="AD883" s="77"/>
      <c r="AE883" s="76"/>
      <c r="AG883" s="77"/>
      <c r="AH883" s="76"/>
      <c r="AJ883" s="77"/>
      <c r="AK883" s="76"/>
      <c r="AM883" s="77"/>
      <c r="AN883" s="76"/>
      <c r="AP883" s="77"/>
      <c r="AQ883" s="76"/>
      <c r="AS883" s="77"/>
      <c r="AT883" s="76"/>
      <c r="AV883" s="77"/>
    </row>
    <row r="884">
      <c r="K884" s="1"/>
      <c r="L884" s="2"/>
      <c r="M884" s="1"/>
      <c r="N884" s="1"/>
      <c r="O884" s="1"/>
      <c r="Y884" s="76"/>
      <c r="AA884" s="77"/>
      <c r="AB884" s="76"/>
      <c r="AD884" s="77"/>
      <c r="AE884" s="76"/>
      <c r="AG884" s="77"/>
      <c r="AH884" s="76"/>
      <c r="AJ884" s="77"/>
      <c r="AK884" s="76"/>
      <c r="AM884" s="77"/>
      <c r="AN884" s="76"/>
      <c r="AP884" s="77"/>
      <c r="AQ884" s="76"/>
      <c r="AS884" s="77"/>
      <c r="AT884" s="76"/>
      <c r="AV884" s="77"/>
    </row>
    <row r="885">
      <c r="K885" s="1"/>
      <c r="L885" s="2"/>
      <c r="M885" s="1"/>
      <c r="N885" s="1"/>
      <c r="O885" s="1"/>
      <c r="Y885" s="76"/>
      <c r="AA885" s="77"/>
      <c r="AB885" s="76"/>
      <c r="AD885" s="77"/>
      <c r="AE885" s="76"/>
      <c r="AG885" s="77"/>
      <c r="AH885" s="76"/>
      <c r="AJ885" s="77"/>
      <c r="AK885" s="76"/>
      <c r="AM885" s="77"/>
      <c r="AN885" s="76"/>
      <c r="AP885" s="77"/>
      <c r="AQ885" s="76"/>
      <c r="AS885" s="77"/>
      <c r="AT885" s="76"/>
      <c r="AV885" s="77"/>
    </row>
    <row r="886">
      <c r="K886" s="1"/>
      <c r="L886" s="2"/>
      <c r="M886" s="1"/>
      <c r="N886" s="1"/>
      <c r="O886" s="1"/>
      <c r="Y886" s="76"/>
      <c r="AA886" s="77"/>
      <c r="AB886" s="76"/>
      <c r="AD886" s="77"/>
      <c r="AE886" s="76"/>
      <c r="AG886" s="77"/>
      <c r="AH886" s="76"/>
      <c r="AJ886" s="77"/>
      <c r="AK886" s="76"/>
      <c r="AM886" s="77"/>
      <c r="AN886" s="76"/>
      <c r="AP886" s="77"/>
      <c r="AQ886" s="76"/>
      <c r="AS886" s="77"/>
      <c r="AT886" s="76"/>
      <c r="AV886" s="77"/>
    </row>
    <row r="887">
      <c r="K887" s="1"/>
      <c r="L887" s="2"/>
      <c r="M887" s="1"/>
      <c r="N887" s="1"/>
      <c r="O887" s="1"/>
      <c r="Y887" s="76"/>
      <c r="AA887" s="77"/>
      <c r="AB887" s="76"/>
      <c r="AD887" s="77"/>
      <c r="AE887" s="76"/>
      <c r="AG887" s="77"/>
      <c r="AH887" s="76"/>
      <c r="AJ887" s="77"/>
      <c r="AK887" s="76"/>
      <c r="AM887" s="77"/>
      <c r="AN887" s="76"/>
      <c r="AP887" s="77"/>
      <c r="AQ887" s="76"/>
      <c r="AS887" s="77"/>
      <c r="AT887" s="76"/>
      <c r="AV887" s="77"/>
    </row>
    <row r="888">
      <c r="K888" s="1"/>
      <c r="L888" s="2"/>
      <c r="M888" s="1"/>
      <c r="N888" s="1"/>
      <c r="O888" s="1"/>
      <c r="Y888" s="76"/>
      <c r="AA888" s="77"/>
      <c r="AB888" s="76"/>
      <c r="AD888" s="77"/>
      <c r="AE888" s="76"/>
      <c r="AG888" s="77"/>
      <c r="AH888" s="76"/>
      <c r="AJ888" s="77"/>
      <c r="AK888" s="76"/>
      <c r="AM888" s="77"/>
      <c r="AN888" s="76"/>
      <c r="AP888" s="77"/>
      <c r="AQ888" s="76"/>
      <c r="AS888" s="77"/>
      <c r="AT888" s="76"/>
      <c r="AV888" s="77"/>
    </row>
    <row r="889">
      <c r="K889" s="1"/>
      <c r="L889" s="2"/>
      <c r="M889" s="1"/>
      <c r="N889" s="1"/>
      <c r="O889" s="1"/>
      <c r="Y889" s="76"/>
      <c r="AA889" s="77"/>
      <c r="AB889" s="76"/>
      <c r="AD889" s="77"/>
      <c r="AE889" s="76"/>
      <c r="AG889" s="77"/>
      <c r="AH889" s="76"/>
      <c r="AJ889" s="77"/>
      <c r="AK889" s="76"/>
      <c r="AM889" s="77"/>
      <c r="AN889" s="76"/>
      <c r="AP889" s="77"/>
      <c r="AQ889" s="76"/>
      <c r="AS889" s="77"/>
      <c r="AT889" s="76"/>
      <c r="AV889" s="77"/>
    </row>
    <row r="890">
      <c r="K890" s="1"/>
      <c r="L890" s="2"/>
      <c r="M890" s="1"/>
      <c r="N890" s="1"/>
      <c r="O890" s="1"/>
      <c r="Y890" s="76"/>
      <c r="AA890" s="77"/>
      <c r="AB890" s="76"/>
      <c r="AD890" s="77"/>
      <c r="AE890" s="76"/>
      <c r="AG890" s="77"/>
      <c r="AH890" s="76"/>
      <c r="AJ890" s="77"/>
      <c r="AK890" s="76"/>
      <c r="AM890" s="77"/>
      <c r="AN890" s="76"/>
      <c r="AP890" s="77"/>
      <c r="AQ890" s="76"/>
      <c r="AS890" s="77"/>
      <c r="AT890" s="76"/>
      <c r="AV890" s="77"/>
    </row>
    <row r="891">
      <c r="K891" s="1"/>
      <c r="L891" s="2"/>
      <c r="M891" s="1"/>
      <c r="N891" s="1"/>
      <c r="O891" s="1"/>
      <c r="Y891" s="76"/>
      <c r="AA891" s="77"/>
      <c r="AB891" s="76"/>
      <c r="AD891" s="77"/>
      <c r="AE891" s="76"/>
      <c r="AG891" s="77"/>
      <c r="AH891" s="76"/>
      <c r="AJ891" s="77"/>
      <c r="AK891" s="76"/>
      <c r="AM891" s="77"/>
      <c r="AN891" s="76"/>
      <c r="AP891" s="77"/>
      <c r="AQ891" s="76"/>
      <c r="AS891" s="77"/>
      <c r="AT891" s="76"/>
      <c r="AV891" s="77"/>
    </row>
    <row r="892">
      <c r="K892" s="1"/>
      <c r="L892" s="2"/>
      <c r="M892" s="1"/>
      <c r="N892" s="1"/>
      <c r="O892" s="1"/>
      <c r="Y892" s="76"/>
      <c r="AA892" s="77"/>
      <c r="AB892" s="76"/>
      <c r="AD892" s="77"/>
      <c r="AE892" s="76"/>
      <c r="AG892" s="77"/>
      <c r="AH892" s="76"/>
      <c r="AJ892" s="77"/>
      <c r="AK892" s="76"/>
      <c r="AM892" s="77"/>
      <c r="AN892" s="76"/>
      <c r="AP892" s="77"/>
      <c r="AQ892" s="76"/>
      <c r="AS892" s="77"/>
      <c r="AT892" s="76"/>
      <c r="AV892" s="77"/>
    </row>
    <row r="893">
      <c r="K893" s="1"/>
      <c r="L893" s="2"/>
      <c r="M893" s="1"/>
      <c r="N893" s="1"/>
      <c r="O893" s="1"/>
      <c r="Y893" s="76"/>
      <c r="AA893" s="77"/>
      <c r="AB893" s="76"/>
      <c r="AD893" s="77"/>
      <c r="AE893" s="76"/>
      <c r="AG893" s="77"/>
      <c r="AH893" s="76"/>
      <c r="AJ893" s="77"/>
      <c r="AK893" s="76"/>
      <c r="AM893" s="77"/>
      <c r="AN893" s="76"/>
      <c r="AP893" s="77"/>
      <c r="AQ893" s="76"/>
      <c r="AS893" s="77"/>
      <c r="AT893" s="76"/>
      <c r="AV893" s="77"/>
    </row>
    <row r="894">
      <c r="K894" s="1"/>
      <c r="L894" s="2"/>
      <c r="M894" s="1"/>
      <c r="N894" s="1"/>
      <c r="O894" s="1"/>
      <c r="Y894" s="76"/>
      <c r="AA894" s="77"/>
      <c r="AB894" s="76"/>
      <c r="AD894" s="77"/>
      <c r="AE894" s="76"/>
      <c r="AG894" s="77"/>
      <c r="AH894" s="76"/>
      <c r="AJ894" s="77"/>
      <c r="AK894" s="76"/>
      <c r="AM894" s="77"/>
      <c r="AN894" s="76"/>
      <c r="AP894" s="77"/>
      <c r="AQ894" s="76"/>
      <c r="AS894" s="77"/>
      <c r="AT894" s="76"/>
      <c r="AV894" s="77"/>
    </row>
    <row r="895">
      <c r="K895" s="1"/>
      <c r="L895" s="2"/>
      <c r="M895" s="1"/>
      <c r="N895" s="1"/>
      <c r="O895" s="1"/>
      <c r="Y895" s="76"/>
      <c r="AA895" s="77"/>
      <c r="AB895" s="76"/>
      <c r="AD895" s="77"/>
      <c r="AE895" s="76"/>
      <c r="AG895" s="77"/>
      <c r="AH895" s="76"/>
      <c r="AJ895" s="77"/>
      <c r="AK895" s="76"/>
      <c r="AM895" s="77"/>
      <c r="AN895" s="76"/>
      <c r="AP895" s="77"/>
      <c r="AQ895" s="76"/>
      <c r="AS895" s="77"/>
      <c r="AT895" s="76"/>
      <c r="AV895" s="77"/>
    </row>
    <row r="896">
      <c r="K896" s="1"/>
      <c r="L896" s="2"/>
      <c r="M896" s="1"/>
      <c r="N896" s="1"/>
      <c r="O896" s="1"/>
      <c r="Y896" s="76"/>
      <c r="AA896" s="77"/>
      <c r="AB896" s="76"/>
      <c r="AD896" s="77"/>
      <c r="AE896" s="76"/>
      <c r="AG896" s="77"/>
      <c r="AH896" s="76"/>
      <c r="AJ896" s="77"/>
      <c r="AK896" s="76"/>
      <c r="AM896" s="77"/>
      <c r="AN896" s="76"/>
      <c r="AP896" s="77"/>
      <c r="AQ896" s="76"/>
      <c r="AS896" s="77"/>
      <c r="AT896" s="76"/>
      <c r="AV896" s="77"/>
    </row>
    <row r="897">
      <c r="K897" s="1"/>
      <c r="L897" s="2"/>
      <c r="M897" s="1"/>
      <c r="N897" s="1"/>
      <c r="O897" s="1"/>
      <c r="Y897" s="76"/>
      <c r="AA897" s="77"/>
      <c r="AB897" s="76"/>
      <c r="AD897" s="77"/>
      <c r="AE897" s="76"/>
      <c r="AG897" s="77"/>
      <c r="AH897" s="76"/>
      <c r="AJ897" s="77"/>
      <c r="AK897" s="76"/>
      <c r="AM897" s="77"/>
      <c r="AN897" s="76"/>
      <c r="AP897" s="77"/>
      <c r="AQ897" s="76"/>
      <c r="AS897" s="77"/>
      <c r="AT897" s="76"/>
      <c r="AV897" s="77"/>
    </row>
    <row r="898">
      <c r="K898" s="1"/>
      <c r="L898" s="2"/>
      <c r="M898" s="1"/>
      <c r="N898" s="1"/>
      <c r="O898" s="1"/>
      <c r="Y898" s="76"/>
      <c r="AA898" s="77"/>
      <c r="AB898" s="76"/>
      <c r="AD898" s="77"/>
      <c r="AE898" s="76"/>
      <c r="AG898" s="77"/>
      <c r="AH898" s="76"/>
      <c r="AJ898" s="77"/>
      <c r="AK898" s="76"/>
      <c r="AM898" s="77"/>
      <c r="AN898" s="76"/>
      <c r="AP898" s="77"/>
      <c r="AQ898" s="76"/>
      <c r="AS898" s="77"/>
      <c r="AT898" s="76"/>
      <c r="AV898" s="77"/>
    </row>
    <row r="899">
      <c r="K899" s="1"/>
      <c r="L899" s="2"/>
      <c r="M899" s="1"/>
      <c r="N899" s="1"/>
      <c r="O899" s="1"/>
      <c r="Y899" s="76"/>
      <c r="AA899" s="77"/>
      <c r="AB899" s="76"/>
      <c r="AD899" s="77"/>
      <c r="AE899" s="76"/>
      <c r="AG899" s="77"/>
      <c r="AH899" s="76"/>
      <c r="AJ899" s="77"/>
      <c r="AK899" s="76"/>
      <c r="AM899" s="77"/>
      <c r="AN899" s="76"/>
      <c r="AP899" s="77"/>
      <c r="AQ899" s="76"/>
      <c r="AS899" s="77"/>
      <c r="AT899" s="76"/>
      <c r="AV899" s="77"/>
    </row>
    <row r="900">
      <c r="K900" s="1"/>
      <c r="L900" s="2"/>
      <c r="M900" s="1"/>
      <c r="N900" s="1"/>
      <c r="O900" s="1"/>
      <c r="Y900" s="76"/>
      <c r="AA900" s="77"/>
      <c r="AB900" s="76"/>
      <c r="AD900" s="77"/>
      <c r="AE900" s="76"/>
      <c r="AG900" s="77"/>
      <c r="AH900" s="76"/>
      <c r="AJ900" s="77"/>
      <c r="AK900" s="76"/>
      <c r="AM900" s="77"/>
      <c r="AN900" s="76"/>
      <c r="AP900" s="77"/>
      <c r="AQ900" s="76"/>
      <c r="AS900" s="77"/>
      <c r="AT900" s="76"/>
      <c r="AV900" s="77"/>
    </row>
    <row r="901">
      <c r="K901" s="1"/>
      <c r="L901" s="2"/>
      <c r="M901" s="1"/>
      <c r="N901" s="1"/>
      <c r="O901" s="1"/>
      <c r="Y901" s="76"/>
      <c r="AA901" s="77"/>
      <c r="AB901" s="76"/>
      <c r="AD901" s="77"/>
      <c r="AE901" s="76"/>
      <c r="AG901" s="77"/>
      <c r="AH901" s="76"/>
      <c r="AJ901" s="77"/>
      <c r="AK901" s="76"/>
      <c r="AM901" s="77"/>
      <c r="AN901" s="76"/>
      <c r="AP901" s="77"/>
      <c r="AQ901" s="76"/>
      <c r="AS901" s="77"/>
      <c r="AT901" s="76"/>
      <c r="AV901" s="77"/>
    </row>
    <row r="902">
      <c r="K902" s="1"/>
      <c r="L902" s="2"/>
      <c r="M902" s="1"/>
      <c r="N902" s="1"/>
      <c r="O902" s="1"/>
      <c r="Y902" s="76"/>
      <c r="AA902" s="77"/>
      <c r="AB902" s="76"/>
      <c r="AD902" s="77"/>
      <c r="AE902" s="76"/>
      <c r="AG902" s="77"/>
      <c r="AH902" s="76"/>
      <c r="AJ902" s="77"/>
      <c r="AK902" s="76"/>
      <c r="AM902" s="77"/>
      <c r="AN902" s="76"/>
      <c r="AP902" s="77"/>
      <c r="AQ902" s="76"/>
      <c r="AS902" s="77"/>
      <c r="AT902" s="76"/>
      <c r="AV902" s="77"/>
    </row>
    <row r="903">
      <c r="K903" s="1"/>
      <c r="L903" s="2"/>
      <c r="M903" s="1"/>
      <c r="N903" s="1"/>
      <c r="O903" s="1"/>
      <c r="Y903" s="76"/>
      <c r="AA903" s="77"/>
      <c r="AB903" s="76"/>
      <c r="AD903" s="77"/>
      <c r="AE903" s="76"/>
      <c r="AG903" s="77"/>
      <c r="AH903" s="76"/>
      <c r="AJ903" s="77"/>
      <c r="AK903" s="76"/>
      <c r="AM903" s="77"/>
      <c r="AN903" s="76"/>
      <c r="AP903" s="77"/>
      <c r="AQ903" s="76"/>
      <c r="AS903" s="77"/>
      <c r="AT903" s="76"/>
      <c r="AV903" s="77"/>
    </row>
    <row r="904">
      <c r="K904" s="1"/>
      <c r="L904" s="2"/>
      <c r="M904" s="1"/>
      <c r="N904" s="1"/>
      <c r="O904" s="1"/>
      <c r="Y904" s="76"/>
      <c r="AA904" s="77"/>
      <c r="AB904" s="76"/>
      <c r="AD904" s="77"/>
      <c r="AE904" s="76"/>
      <c r="AG904" s="77"/>
      <c r="AH904" s="76"/>
      <c r="AJ904" s="77"/>
      <c r="AK904" s="76"/>
      <c r="AM904" s="77"/>
      <c r="AN904" s="76"/>
      <c r="AP904" s="77"/>
      <c r="AQ904" s="76"/>
      <c r="AS904" s="77"/>
      <c r="AT904" s="76"/>
      <c r="AV904" s="77"/>
    </row>
    <row r="905">
      <c r="K905" s="1"/>
      <c r="L905" s="2"/>
      <c r="M905" s="1"/>
      <c r="N905" s="1"/>
      <c r="O905" s="1"/>
      <c r="Y905" s="76"/>
      <c r="AA905" s="77"/>
      <c r="AB905" s="76"/>
      <c r="AD905" s="77"/>
      <c r="AE905" s="76"/>
      <c r="AG905" s="77"/>
      <c r="AH905" s="76"/>
      <c r="AJ905" s="77"/>
      <c r="AK905" s="76"/>
      <c r="AM905" s="77"/>
      <c r="AN905" s="76"/>
      <c r="AP905" s="77"/>
      <c r="AQ905" s="76"/>
      <c r="AS905" s="77"/>
      <c r="AT905" s="76"/>
      <c r="AV905" s="77"/>
    </row>
    <row r="906">
      <c r="K906" s="1"/>
      <c r="L906" s="2"/>
      <c r="M906" s="1"/>
      <c r="N906" s="1"/>
      <c r="O906" s="1"/>
      <c r="Y906" s="76"/>
      <c r="AA906" s="77"/>
      <c r="AB906" s="76"/>
      <c r="AD906" s="77"/>
      <c r="AE906" s="76"/>
      <c r="AG906" s="77"/>
      <c r="AH906" s="76"/>
      <c r="AJ906" s="77"/>
      <c r="AK906" s="76"/>
      <c r="AM906" s="77"/>
      <c r="AN906" s="76"/>
      <c r="AP906" s="77"/>
      <c r="AQ906" s="76"/>
      <c r="AS906" s="77"/>
      <c r="AT906" s="76"/>
      <c r="AV906" s="77"/>
    </row>
    <row r="907">
      <c r="K907" s="1"/>
      <c r="L907" s="2"/>
      <c r="M907" s="1"/>
      <c r="N907" s="1"/>
      <c r="O907" s="1"/>
      <c r="Y907" s="76"/>
      <c r="AA907" s="77"/>
      <c r="AB907" s="76"/>
      <c r="AD907" s="77"/>
      <c r="AE907" s="76"/>
      <c r="AG907" s="77"/>
      <c r="AH907" s="76"/>
      <c r="AJ907" s="77"/>
      <c r="AK907" s="76"/>
      <c r="AM907" s="77"/>
      <c r="AN907" s="76"/>
      <c r="AP907" s="77"/>
      <c r="AQ907" s="76"/>
      <c r="AS907" s="77"/>
      <c r="AT907" s="76"/>
      <c r="AV907" s="77"/>
    </row>
    <row r="908">
      <c r="K908" s="1"/>
      <c r="L908" s="2"/>
      <c r="M908" s="1"/>
      <c r="N908" s="1"/>
      <c r="O908" s="1"/>
      <c r="Y908" s="76"/>
      <c r="AA908" s="77"/>
      <c r="AB908" s="76"/>
      <c r="AD908" s="77"/>
      <c r="AE908" s="76"/>
      <c r="AG908" s="77"/>
      <c r="AH908" s="76"/>
      <c r="AJ908" s="77"/>
      <c r="AK908" s="76"/>
      <c r="AM908" s="77"/>
      <c r="AN908" s="76"/>
      <c r="AP908" s="77"/>
      <c r="AQ908" s="76"/>
      <c r="AS908" s="77"/>
      <c r="AT908" s="76"/>
      <c r="AV908" s="77"/>
    </row>
    <row r="909">
      <c r="K909" s="1"/>
      <c r="L909" s="2"/>
      <c r="M909" s="1"/>
      <c r="N909" s="1"/>
      <c r="O909" s="1"/>
      <c r="Y909" s="76"/>
      <c r="AA909" s="77"/>
      <c r="AB909" s="76"/>
      <c r="AD909" s="77"/>
      <c r="AE909" s="76"/>
      <c r="AG909" s="77"/>
      <c r="AH909" s="76"/>
      <c r="AJ909" s="77"/>
      <c r="AK909" s="76"/>
      <c r="AM909" s="77"/>
      <c r="AN909" s="76"/>
      <c r="AP909" s="77"/>
      <c r="AQ909" s="76"/>
      <c r="AS909" s="77"/>
      <c r="AT909" s="76"/>
      <c r="AV909" s="77"/>
    </row>
    <row r="910">
      <c r="K910" s="1"/>
      <c r="L910" s="2"/>
      <c r="M910" s="1"/>
      <c r="N910" s="1"/>
      <c r="O910" s="1"/>
      <c r="Y910" s="76"/>
      <c r="AA910" s="77"/>
      <c r="AB910" s="76"/>
      <c r="AD910" s="77"/>
      <c r="AE910" s="76"/>
      <c r="AG910" s="77"/>
      <c r="AH910" s="76"/>
      <c r="AJ910" s="77"/>
      <c r="AK910" s="76"/>
      <c r="AM910" s="77"/>
      <c r="AN910" s="76"/>
      <c r="AP910" s="77"/>
      <c r="AQ910" s="76"/>
      <c r="AS910" s="77"/>
      <c r="AT910" s="76"/>
      <c r="AV910" s="77"/>
    </row>
    <row r="911">
      <c r="K911" s="1"/>
      <c r="L911" s="2"/>
      <c r="M911" s="1"/>
      <c r="N911" s="1"/>
      <c r="O911" s="1"/>
      <c r="Y911" s="76"/>
      <c r="AA911" s="77"/>
      <c r="AB911" s="76"/>
      <c r="AD911" s="77"/>
      <c r="AE911" s="76"/>
      <c r="AG911" s="77"/>
      <c r="AH911" s="76"/>
      <c r="AJ911" s="77"/>
      <c r="AK911" s="76"/>
      <c r="AM911" s="77"/>
      <c r="AN911" s="76"/>
      <c r="AP911" s="77"/>
      <c r="AQ911" s="76"/>
      <c r="AS911" s="77"/>
      <c r="AT911" s="76"/>
      <c r="AV911" s="77"/>
    </row>
    <row r="912">
      <c r="K912" s="1"/>
      <c r="L912" s="2"/>
      <c r="M912" s="1"/>
      <c r="N912" s="1"/>
      <c r="O912" s="1"/>
      <c r="Y912" s="76"/>
      <c r="AA912" s="77"/>
      <c r="AB912" s="76"/>
      <c r="AD912" s="77"/>
      <c r="AE912" s="76"/>
      <c r="AG912" s="77"/>
      <c r="AH912" s="76"/>
      <c r="AJ912" s="77"/>
      <c r="AK912" s="76"/>
      <c r="AM912" s="77"/>
      <c r="AN912" s="76"/>
      <c r="AP912" s="77"/>
      <c r="AQ912" s="76"/>
      <c r="AS912" s="77"/>
      <c r="AT912" s="76"/>
      <c r="AV912" s="77"/>
    </row>
    <row r="913">
      <c r="K913" s="1"/>
      <c r="L913" s="2"/>
      <c r="M913" s="1"/>
      <c r="N913" s="1"/>
      <c r="O913" s="1"/>
      <c r="Y913" s="76"/>
      <c r="AA913" s="77"/>
      <c r="AB913" s="76"/>
      <c r="AD913" s="77"/>
      <c r="AE913" s="76"/>
      <c r="AG913" s="77"/>
      <c r="AH913" s="76"/>
      <c r="AJ913" s="77"/>
      <c r="AK913" s="76"/>
      <c r="AM913" s="77"/>
      <c r="AN913" s="76"/>
      <c r="AP913" s="77"/>
      <c r="AQ913" s="76"/>
      <c r="AS913" s="77"/>
      <c r="AT913" s="76"/>
      <c r="AV913" s="77"/>
    </row>
    <row r="914">
      <c r="K914" s="1"/>
      <c r="L914" s="2"/>
      <c r="M914" s="1"/>
      <c r="N914" s="1"/>
      <c r="O914" s="1"/>
      <c r="Y914" s="76"/>
      <c r="AA914" s="77"/>
      <c r="AB914" s="76"/>
      <c r="AD914" s="77"/>
      <c r="AE914" s="76"/>
      <c r="AG914" s="77"/>
      <c r="AH914" s="76"/>
      <c r="AJ914" s="77"/>
      <c r="AK914" s="76"/>
      <c r="AM914" s="77"/>
      <c r="AN914" s="76"/>
      <c r="AP914" s="77"/>
      <c r="AQ914" s="76"/>
      <c r="AS914" s="77"/>
      <c r="AT914" s="76"/>
      <c r="AV914" s="77"/>
    </row>
    <row r="915">
      <c r="K915" s="1"/>
      <c r="L915" s="2"/>
      <c r="M915" s="1"/>
      <c r="N915" s="1"/>
      <c r="O915" s="1"/>
      <c r="Y915" s="76"/>
      <c r="AA915" s="77"/>
      <c r="AB915" s="76"/>
      <c r="AD915" s="77"/>
      <c r="AE915" s="76"/>
      <c r="AG915" s="77"/>
      <c r="AH915" s="76"/>
      <c r="AJ915" s="77"/>
      <c r="AK915" s="76"/>
      <c r="AM915" s="77"/>
      <c r="AN915" s="76"/>
      <c r="AP915" s="77"/>
      <c r="AQ915" s="76"/>
      <c r="AS915" s="77"/>
      <c r="AT915" s="76"/>
      <c r="AV915" s="77"/>
    </row>
    <row r="916">
      <c r="K916" s="1"/>
      <c r="L916" s="2"/>
      <c r="M916" s="1"/>
      <c r="N916" s="1"/>
      <c r="O916" s="1"/>
      <c r="Y916" s="76"/>
      <c r="AA916" s="77"/>
      <c r="AB916" s="76"/>
      <c r="AD916" s="77"/>
      <c r="AE916" s="76"/>
      <c r="AG916" s="77"/>
      <c r="AH916" s="76"/>
      <c r="AJ916" s="77"/>
      <c r="AK916" s="76"/>
      <c r="AM916" s="77"/>
      <c r="AN916" s="76"/>
      <c r="AP916" s="77"/>
      <c r="AQ916" s="76"/>
      <c r="AS916" s="77"/>
      <c r="AT916" s="76"/>
      <c r="AV916" s="77"/>
    </row>
    <row r="917">
      <c r="K917" s="1"/>
      <c r="L917" s="2"/>
      <c r="M917" s="1"/>
      <c r="N917" s="1"/>
      <c r="O917" s="1"/>
      <c r="Y917" s="76"/>
      <c r="AA917" s="77"/>
      <c r="AB917" s="76"/>
      <c r="AD917" s="77"/>
      <c r="AE917" s="76"/>
      <c r="AG917" s="77"/>
      <c r="AH917" s="76"/>
      <c r="AJ917" s="77"/>
      <c r="AK917" s="76"/>
      <c r="AM917" s="77"/>
      <c r="AN917" s="76"/>
      <c r="AP917" s="77"/>
      <c r="AQ917" s="76"/>
      <c r="AS917" s="77"/>
      <c r="AT917" s="76"/>
      <c r="AV917" s="77"/>
    </row>
    <row r="918">
      <c r="K918" s="1"/>
      <c r="L918" s="2"/>
      <c r="M918" s="1"/>
      <c r="N918" s="1"/>
      <c r="O918" s="1"/>
      <c r="Y918" s="76"/>
      <c r="AA918" s="77"/>
      <c r="AB918" s="76"/>
      <c r="AD918" s="77"/>
      <c r="AE918" s="76"/>
      <c r="AG918" s="77"/>
      <c r="AH918" s="76"/>
      <c r="AJ918" s="77"/>
      <c r="AK918" s="76"/>
      <c r="AM918" s="77"/>
      <c r="AN918" s="76"/>
      <c r="AP918" s="77"/>
      <c r="AQ918" s="76"/>
      <c r="AS918" s="77"/>
      <c r="AT918" s="76"/>
      <c r="AV918" s="77"/>
    </row>
    <row r="919">
      <c r="K919" s="1"/>
      <c r="L919" s="2"/>
      <c r="M919" s="1"/>
      <c r="N919" s="1"/>
      <c r="O919" s="1"/>
      <c r="Y919" s="76"/>
      <c r="AA919" s="77"/>
      <c r="AB919" s="76"/>
      <c r="AD919" s="77"/>
      <c r="AE919" s="76"/>
      <c r="AG919" s="77"/>
      <c r="AH919" s="76"/>
      <c r="AJ919" s="77"/>
      <c r="AK919" s="76"/>
      <c r="AM919" s="77"/>
      <c r="AN919" s="76"/>
      <c r="AP919" s="77"/>
      <c r="AQ919" s="76"/>
      <c r="AS919" s="77"/>
      <c r="AT919" s="76"/>
      <c r="AV919" s="77"/>
    </row>
    <row r="920">
      <c r="K920" s="1"/>
      <c r="L920" s="2"/>
      <c r="M920" s="1"/>
      <c r="N920" s="1"/>
      <c r="O920" s="1"/>
      <c r="Y920" s="76"/>
      <c r="AA920" s="77"/>
      <c r="AB920" s="76"/>
      <c r="AD920" s="77"/>
      <c r="AE920" s="76"/>
      <c r="AG920" s="77"/>
      <c r="AH920" s="76"/>
      <c r="AJ920" s="77"/>
      <c r="AK920" s="76"/>
      <c r="AM920" s="77"/>
      <c r="AN920" s="76"/>
      <c r="AP920" s="77"/>
      <c r="AQ920" s="76"/>
      <c r="AS920" s="77"/>
      <c r="AT920" s="76"/>
      <c r="AV920" s="77"/>
    </row>
    <row r="921">
      <c r="K921" s="1"/>
      <c r="L921" s="2"/>
      <c r="M921" s="1"/>
      <c r="N921" s="1"/>
      <c r="O921" s="1"/>
      <c r="Y921" s="76"/>
      <c r="AA921" s="77"/>
      <c r="AB921" s="76"/>
      <c r="AD921" s="77"/>
      <c r="AE921" s="76"/>
      <c r="AG921" s="77"/>
      <c r="AH921" s="76"/>
      <c r="AJ921" s="77"/>
      <c r="AK921" s="76"/>
      <c r="AM921" s="77"/>
      <c r="AN921" s="76"/>
      <c r="AP921" s="77"/>
      <c r="AQ921" s="76"/>
      <c r="AS921" s="77"/>
      <c r="AT921" s="76"/>
      <c r="AV921" s="77"/>
    </row>
    <row r="922">
      <c r="K922" s="1"/>
      <c r="L922" s="2"/>
      <c r="M922" s="1"/>
      <c r="N922" s="1"/>
      <c r="O922" s="1"/>
      <c r="Y922" s="76"/>
      <c r="AA922" s="77"/>
      <c r="AB922" s="76"/>
      <c r="AD922" s="77"/>
      <c r="AE922" s="76"/>
      <c r="AG922" s="77"/>
      <c r="AH922" s="76"/>
      <c r="AJ922" s="77"/>
      <c r="AK922" s="76"/>
      <c r="AM922" s="77"/>
      <c r="AN922" s="76"/>
      <c r="AP922" s="77"/>
      <c r="AQ922" s="76"/>
      <c r="AS922" s="77"/>
      <c r="AT922" s="76"/>
      <c r="AV922" s="77"/>
    </row>
    <row r="923">
      <c r="K923" s="1"/>
      <c r="L923" s="2"/>
      <c r="M923" s="1"/>
      <c r="N923" s="1"/>
      <c r="O923" s="1"/>
      <c r="Y923" s="76"/>
      <c r="AA923" s="77"/>
      <c r="AB923" s="76"/>
      <c r="AD923" s="77"/>
      <c r="AE923" s="76"/>
      <c r="AG923" s="77"/>
      <c r="AH923" s="76"/>
      <c r="AJ923" s="77"/>
      <c r="AK923" s="76"/>
      <c r="AM923" s="77"/>
      <c r="AN923" s="76"/>
      <c r="AP923" s="77"/>
      <c r="AQ923" s="76"/>
      <c r="AS923" s="77"/>
      <c r="AT923" s="76"/>
      <c r="AV923" s="77"/>
    </row>
    <row r="924">
      <c r="K924" s="1"/>
      <c r="L924" s="2"/>
      <c r="M924" s="1"/>
      <c r="N924" s="1"/>
      <c r="O924" s="1"/>
      <c r="Y924" s="76"/>
      <c r="AA924" s="77"/>
      <c r="AB924" s="76"/>
      <c r="AD924" s="77"/>
      <c r="AE924" s="76"/>
      <c r="AG924" s="77"/>
      <c r="AH924" s="76"/>
      <c r="AJ924" s="77"/>
      <c r="AK924" s="76"/>
      <c r="AM924" s="77"/>
      <c r="AN924" s="76"/>
      <c r="AP924" s="77"/>
      <c r="AQ924" s="76"/>
      <c r="AS924" s="77"/>
      <c r="AT924" s="76"/>
      <c r="AV924" s="77"/>
    </row>
    <row r="925">
      <c r="K925" s="1"/>
      <c r="L925" s="2"/>
      <c r="M925" s="1"/>
      <c r="N925" s="1"/>
      <c r="O925" s="1"/>
      <c r="Y925" s="76"/>
      <c r="AA925" s="77"/>
      <c r="AB925" s="76"/>
      <c r="AD925" s="77"/>
      <c r="AE925" s="76"/>
      <c r="AG925" s="77"/>
      <c r="AH925" s="76"/>
      <c r="AJ925" s="77"/>
      <c r="AK925" s="76"/>
      <c r="AM925" s="77"/>
      <c r="AN925" s="76"/>
      <c r="AP925" s="77"/>
      <c r="AQ925" s="76"/>
      <c r="AS925" s="77"/>
      <c r="AT925" s="76"/>
      <c r="AV925" s="77"/>
    </row>
    <row r="926">
      <c r="K926" s="1"/>
      <c r="L926" s="2"/>
      <c r="M926" s="1"/>
      <c r="N926" s="1"/>
      <c r="O926" s="1"/>
      <c r="Y926" s="76"/>
      <c r="AA926" s="77"/>
      <c r="AB926" s="76"/>
      <c r="AD926" s="77"/>
      <c r="AE926" s="76"/>
      <c r="AG926" s="77"/>
      <c r="AH926" s="76"/>
      <c r="AJ926" s="77"/>
      <c r="AK926" s="76"/>
      <c r="AM926" s="77"/>
      <c r="AN926" s="76"/>
      <c r="AP926" s="77"/>
      <c r="AQ926" s="76"/>
      <c r="AS926" s="77"/>
      <c r="AT926" s="76"/>
      <c r="AV926" s="77"/>
    </row>
    <row r="927">
      <c r="K927" s="1"/>
      <c r="L927" s="2"/>
      <c r="M927" s="1"/>
      <c r="N927" s="1"/>
      <c r="O927" s="1"/>
      <c r="Y927" s="76"/>
      <c r="AA927" s="77"/>
      <c r="AB927" s="76"/>
      <c r="AD927" s="77"/>
      <c r="AE927" s="76"/>
      <c r="AG927" s="77"/>
      <c r="AH927" s="76"/>
      <c r="AJ927" s="77"/>
      <c r="AK927" s="76"/>
      <c r="AM927" s="77"/>
      <c r="AN927" s="76"/>
      <c r="AP927" s="77"/>
      <c r="AQ927" s="76"/>
      <c r="AS927" s="77"/>
      <c r="AT927" s="76"/>
      <c r="AV927" s="77"/>
    </row>
    <row r="928">
      <c r="K928" s="1"/>
      <c r="L928" s="2"/>
      <c r="M928" s="1"/>
      <c r="N928" s="1"/>
      <c r="O928" s="1"/>
      <c r="Y928" s="76"/>
      <c r="AA928" s="77"/>
      <c r="AB928" s="76"/>
      <c r="AD928" s="77"/>
      <c r="AE928" s="76"/>
      <c r="AG928" s="77"/>
      <c r="AH928" s="76"/>
      <c r="AJ928" s="77"/>
      <c r="AK928" s="76"/>
      <c r="AM928" s="77"/>
      <c r="AN928" s="76"/>
      <c r="AP928" s="77"/>
      <c r="AQ928" s="76"/>
      <c r="AS928" s="77"/>
      <c r="AT928" s="76"/>
      <c r="AV928" s="77"/>
    </row>
    <row r="929">
      <c r="K929" s="1"/>
      <c r="L929" s="2"/>
      <c r="M929" s="1"/>
      <c r="N929" s="1"/>
      <c r="O929" s="1"/>
      <c r="Y929" s="76"/>
      <c r="AA929" s="77"/>
      <c r="AB929" s="76"/>
      <c r="AD929" s="77"/>
      <c r="AE929" s="76"/>
      <c r="AG929" s="77"/>
      <c r="AH929" s="76"/>
      <c r="AJ929" s="77"/>
      <c r="AK929" s="76"/>
      <c r="AM929" s="77"/>
      <c r="AN929" s="76"/>
      <c r="AP929" s="77"/>
      <c r="AQ929" s="76"/>
      <c r="AS929" s="77"/>
      <c r="AT929" s="76"/>
      <c r="AV929" s="77"/>
    </row>
    <row r="930">
      <c r="K930" s="1"/>
      <c r="L930" s="2"/>
      <c r="M930" s="1"/>
      <c r="N930" s="1"/>
      <c r="O930" s="1"/>
      <c r="Y930" s="76"/>
      <c r="AA930" s="77"/>
      <c r="AB930" s="76"/>
      <c r="AD930" s="77"/>
      <c r="AE930" s="76"/>
      <c r="AG930" s="77"/>
      <c r="AH930" s="76"/>
      <c r="AJ930" s="77"/>
      <c r="AK930" s="76"/>
      <c r="AM930" s="77"/>
      <c r="AN930" s="76"/>
      <c r="AP930" s="77"/>
      <c r="AQ930" s="76"/>
      <c r="AS930" s="77"/>
      <c r="AT930" s="76"/>
      <c r="AV930" s="77"/>
    </row>
    <row r="931">
      <c r="K931" s="1"/>
      <c r="L931" s="2"/>
      <c r="M931" s="1"/>
      <c r="N931" s="1"/>
      <c r="O931" s="1"/>
      <c r="Y931" s="76"/>
      <c r="AA931" s="77"/>
      <c r="AB931" s="76"/>
      <c r="AD931" s="77"/>
      <c r="AE931" s="76"/>
      <c r="AG931" s="77"/>
      <c r="AH931" s="76"/>
      <c r="AJ931" s="77"/>
      <c r="AK931" s="76"/>
      <c r="AM931" s="77"/>
      <c r="AN931" s="76"/>
      <c r="AP931" s="77"/>
      <c r="AQ931" s="76"/>
      <c r="AS931" s="77"/>
      <c r="AT931" s="76"/>
      <c r="AV931" s="77"/>
    </row>
    <row r="932">
      <c r="K932" s="1"/>
      <c r="L932" s="2"/>
      <c r="M932" s="1"/>
      <c r="N932" s="1"/>
      <c r="O932" s="1"/>
      <c r="Y932" s="76"/>
      <c r="AA932" s="77"/>
      <c r="AB932" s="76"/>
      <c r="AD932" s="77"/>
      <c r="AE932" s="76"/>
      <c r="AG932" s="77"/>
      <c r="AH932" s="76"/>
      <c r="AJ932" s="77"/>
      <c r="AK932" s="76"/>
      <c r="AM932" s="77"/>
      <c r="AN932" s="76"/>
      <c r="AP932" s="77"/>
      <c r="AQ932" s="76"/>
      <c r="AS932" s="77"/>
      <c r="AT932" s="76"/>
      <c r="AV932" s="77"/>
    </row>
    <row r="933">
      <c r="K933" s="1"/>
      <c r="L933" s="2"/>
      <c r="M933" s="1"/>
      <c r="N933" s="1"/>
      <c r="O933" s="1"/>
      <c r="Y933" s="76"/>
      <c r="AA933" s="77"/>
      <c r="AB933" s="76"/>
      <c r="AD933" s="77"/>
      <c r="AE933" s="76"/>
      <c r="AG933" s="77"/>
      <c r="AH933" s="76"/>
      <c r="AJ933" s="77"/>
      <c r="AK933" s="76"/>
      <c r="AM933" s="77"/>
      <c r="AN933" s="76"/>
      <c r="AP933" s="77"/>
      <c r="AQ933" s="76"/>
      <c r="AS933" s="77"/>
      <c r="AT933" s="76"/>
      <c r="AV933" s="77"/>
    </row>
    <row r="934">
      <c r="K934" s="1"/>
      <c r="L934" s="2"/>
      <c r="M934" s="1"/>
      <c r="N934" s="1"/>
      <c r="O934" s="1"/>
      <c r="Y934" s="76"/>
      <c r="AA934" s="77"/>
      <c r="AB934" s="76"/>
      <c r="AD934" s="77"/>
      <c r="AE934" s="76"/>
      <c r="AG934" s="77"/>
      <c r="AH934" s="76"/>
      <c r="AJ934" s="77"/>
      <c r="AK934" s="76"/>
      <c r="AM934" s="77"/>
      <c r="AN934" s="76"/>
      <c r="AP934" s="77"/>
      <c r="AQ934" s="76"/>
      <c r="AS934" s="77"/>
      <c r="AT934" s="76"/>
      <c r="AV934" s="77"/>
    </row>
    <row r="935">
      <c r="K935" s="1"/>
      <c r="L935" s="2"/>
      <c r="M935" s="1"/>
      <c r="N935" s="1"/>
      <c r="O935" s="1"/>
      <c r="Y935" s="76"/>
      <c r="AA935" s="77"/>
      <c r="AB935" s="76"/>
      <c r="AD935" s="77"/>
      <c r="AE935" s="76"/>
      <c r="AG935" s="77"/>
      <c r="AH935" s="76"/>
      <c r="AJ935" s="77"/>
      <c r="AK935" s="76"/>
      <c r="AM935" s="77"/>
      <c r="AN935" s="76"/>
      <c r="AP935" s="77"/>
      <c r="AQ935" s="76"/>
      <c r="AS935" s="77"/>
      <c r="AT935" s="76"/>
      <c r="AV935" s="77"/>
    </row>
    <row r="936">
      <c r="K936" s="1"/>
      <c r="L936" s="2"/>
      <c r="M936" s="1"/>
      <c r="N936" s="1"/>
      <c r="O936" s="1"/>
      <c r="Y936" s="76"/>
      <c r="AA936" s="77"/>
      <c r="AB936" s="76"/>
      <c r="AD936" s="77"/>
      <c r="AE936" s="76"/>
      <c r="AG936" s="77"/>
      <c r="AH936" s="76"/>
      <c r="AJ936" s="77"/>
      <c r="AK936" s="76"/>
      <c r="AM936" s="77"/>
      <c r="AN936" s="76"/>
      <c r="AP936" s="77"/>
      <c r="AQ936" s="76"/>
      <c r="AS936" s="77"/>
      <c r="AT936" s="76"/>
      <c r="AV936" s="77"/>
    </row>
    <row r="937">
      <c r="K937" s="1"/>
      <c r="L937" s="2"/>
      <c r="M937" s="1"/>
      <c r="N937" s="1"/>
      <c r="O937" s="1"/>
      <c r="Y937" s="76"/>
      <c r="AA937" s="77"/>
      <c r="AB937" s="76"/>
      <c r="AD937" s="77"/>
      <c r="AE937" s="76"/>
      <c r="AG937" s="77"/>
      <c r="AH937" s="76"/>
      <c r="AJ937" s="77"/>
      <c r="AK937" s="76"/>
      <c r="AM937" s="77"/>
      <c r="AN937" s="76"/>
      <c r="AP937" s="77"/>
      <c r="AQ937" s="76"/>
      <c r="AS937" s="77"/>
      <c r="AT937" s="76"/>
      <c r="AV937" s="77"/>
    </row>
    <row r="938">
      <c r="K938" s="1"/>
      <c r="L938" s="2"/>
      <c r="M938" s="1"/>
      <c r="N938" s="1"/>
      <c r="O938" s="1"/>
      <c r="Y938" s="76"/>
      <c r="AA938" s="77"/>
      <c r="AB938" s="76"/>
      <c r="AD938" s="77"/>
      <c r="AE938" s="76"/>
      <c r="AG938" s="77"/>
      <c r="AH938" s="76"/>
      <c r="AJ938" s="77"/>
      <c r="AK938" s="76"/>
      <c r="AM938" s="77"/>
      <c r="AN938" s="76"/>
      <c r="AP938" s="77"/>
      <c r="AQ938" s="76"/>
      <c r="AS938" s="77"/>
      <c r="AT938" s="76"/>
      <c r="AV938" s="77"/>
    </row>
    <row r="939">
      <c r="K939" s="1"/>
      <c r="L939" s="2"/>
      <c r="M939" s="1"/>
      <c r="N939" s="1"/>
      <c r="O939" s="1"/>
      <c r="Y939" s="76"/>
      <c r="AA939" s="77"/>
      <c r="AB939" s="76"/>
      <c r="AD939" s="77"/>
      <c r="AE939" s="76"/>
      <c r="AG939" s="77"/>
      <c r="AH939" s="76"/>
      <c r="AJ939" s="77"/>
      <c r="AK939" s="76"/>
      <c r="AM939" s="77"/>
      <c r="AN939" s="76"/>
      <c r="AP939" s="77"/>
      <c r="AQ939" s="76"/>
      <c r="AS939" s="77"/>
      <c r="AT939" s="76"/>
      <c r="AV939" s="77"/>
    </row>
    <row r="940">
      <c r="K940" s="1"/>
      <c r="L940" s="2"/>
      <c r="M940" s="1"/>
      <c r="N940" s="1"/>
      <c r="O940" s="1"/>
      <c r="Y940" s="76"/>
      <c r="AA940" s="77"/>
      <c r="AB940" s="76"/>
      <c r="AD940" s="77"/>
      <c r="AE940" s="76"/>
      <c r="AG940" s="77"/>
      <c r="AH940" s="76"/>
      <c r="AJ940" s="77"/>
      <c r="AK940" s="76"/>
      <c r="AM940" s="77"/>
      <c r="AN940" s="76"/>
      <c r="AP940" s="77"/>
      <c r="AQ940" s="76"/>
      <c r="AS940" s="77"/>
      <c r="AT940" s="76"/>
      <c r="AV940" s="77"/>
    </row>
    <row r="941">
      <c r="K941" s="1"/>
      <c r="L941" s="2"/>
      <c r="M941" s="1"/>
      <c r="N941" s="1"/>
      <c r="O941" s="1"/>
      <c r="Y941" s="76"/>
      <c r="AA941" s="77"/>
      <c r="AB941" s="76"/>
      <c r="AD941" s="77"/>
      <c r="AE941" s="76"/>
      <c r="AG941" s="77"/>
      <c r="AH941" s="76"/>
      <c r="AJ941" s="77"/>
      <c r="AK941" s="76"/>
      <c r="AM941" s="77"/>
      <c r="AN941" s="76"/>
      <c r="AP941" s="77"/>
      <c r="AQ941" s="76"/>
      <c r="AS941" s="77"/>
      <c r="AT941" s="76"/>
      <c r="AV941" s="77"/>
    </row>
    <row r="942">
      <c r="K942" s="1"/>
      <c r="L942" s="2"/>
      <c r="M942" s="1"/>
      <c r="N942" s="1"/>
      <c r="O942" s="1"/>
      <c r="Y942" s="76"/>
      <c r="AA942" s="77"/>
      <c r="AB942" s="76"/>
      <c r="AD942" s="77"/>
      <c r="AE942" s="76"/>
      <c r="AG942" s="77"/>
      <c r="AH942" s="76"/>
      <c r="AJ942" s="77"/>
      <c r="AK942" s="76"/>
      <c r="AM942" s="77"/>
      <c r="AN942" s="76"/>
      <c r="AP942" s="77"/>
      <c r="AQ942" s="76"/>
      <c r="AS942" s="77"/>
      <c r="AT942" s="76"/>
      <c r="AV942" s="77"/>
    </row>
    <row r="943">
      <c r="K943" s="1"/>
      <c r="L943" s="2"/>
      <c r="M943" s="1"/>
      <c r="N943" s="1"/>
      <c r="O943" s="1"/>
      <c r="Y943" s="76"/>
      <c r="AA943" s="77"/>
      <c r="AB943" s="76"/>
      <c r="AD943" s="77"/>
      <c r="AE943" s="76"/>
      <c r="AG943" s="77"/>
      <c r="AH943" s="76"/>
      <c r="AJ943" s="77"/>
      <c r="AK943" s="76"/>
      <c r="AM943" s="77"/>
      <c r="AN943" s="76"/>
      <c r="AP943" s="77"/>
      <c r="AQ943" s="76"/>
      <c r="AS943" s="77"/>
      <c r="AT943" s="76"/>
      <c r="AV943" s="77"/>
    </row>
    <row r="944">
      <c r="K944" s="1"/>
      <c r="L944" s="2"/>
      <c r="M944" s="1"/>
      <c r="N944" s="1"/>
      <c r="O944" s="1"/>
      <c r="Y944" s="76"/>
      <c r="AA944" s="77"/>
      <c r="AB944" s="76"/>
      <c r="AD944" s="77"/>
      <c r="AE944" s="76"/>
      <c r="AG944" s="77"/>
      <c r="AH944" s="76"/>
      <c r="AJ944" s="77"/>
      <c r="AK944" s="76"/>
      <c r="AM944" s="77"/>
      <c r="AN944" s="76"/>
      <c r="AP944" s="77"/>
      <c r="AQ944" s="76"/>
      <c r="AS944" s="77"/>
      <c r="AT944" s="76"/>
      <c r="AV944" s="77"/>
    </row>
    <row r="945">
      <c r="K945" s="1"/>
      <c r="L945" s="2"/>
      <c r="M945" s="1"/>
      <c r="N945" s="1"/>
      <c r="O945" s="1"/>
      <c r="Y945" s="76"/>
      <c r="AA945" s="77"/>
      <c r="AB945" s="76"/>
      <c r="AD945" s="77"/>
      <c r="AE945" s="76"/>
      <c r="AG945" s="77"/>
      <c r="AH945" s="76"/>
      <c r="AJ945" s="77"/>
      <c r="AK945" s="76"/>
      <c r="AM945" s="77"/>
      <c r="AN945" s="76"/>
      <c r="AP945" s="77"/>
      <c r="AQ945" s="76"/>
      <c r="AS945" s="77"/>
      <c r="AT945" s="76"/>
      <c r="AV945" s="77"/>
    </row>
    <row r="946">
      <c r="K946" s="1"/>
      <c r="L946" s="2"/>
      <c r="M946" s="1"/>
      <c r="N946" s="1"/>
      <c r="O946" s="1"/>
      <c r="Y946" s="76"/>
      <c r="AA946" s="77"/>
      <c r="AB946" s="76"/>
      <c r="AD946" s="77"/>
      <c r="AE946" s="76"/>
      <c r="AG946" s="77"/>
      <c r="AH946" s="76"/>
      <c r="AJ946" s="77"/>
      <c r="AK946" s="76"/>
      <c r="AM946" s="77"/>
      <c r="AN946" s="76"/>
      <c r="AP946" s="77"/>
      <c r="AQ946" s="76"/>
      <c r="AS946" s="77"/>
      <c r="AT946" s="76"/>
      <c r="AV946" s="77"/>
    </row>
    <row r="947">
      <c r="K947" s="1"/>
      <c r="L947" s="2"/>
      <c r="M947" s="1"/>
      <c r="N947" s="1"/>
      <c r="O947" s="1"/>
      <c r="Y947" s="76"/>
      <c r="AA947" s="77"/>
      <c r="AB947" s="76"/>
      <c r="AD947" s="77"/>
      <c r="AE947" s="76"/>
      <c r="AG947" s="77"/>
      <c r="AH947" s="76"/>
      <c r="AJ947" s="77"/>
      <c r="AK947" s="76"/>
      <c r="AM947" s="77"/>
      <c r="AN947" s="76"/>
      <c r="AP947" s="77"/>
      <c r="AQ947" s="76"/>
      <c r="AS947" s="77"/>
      <c r="AT947" s="76"/>
      <c r="AV947" s="77"/>
    </row>
    <row r="948">
      <c r="K948" s="1"/>
      <c r="L948" s="2"/>
      <c r="M948" s="1"/>
      <c r="N948" s="1"/>
      <c r="O948" s="1"/>
      <c r="Y948" s="76"/>
      <c r="AA948" s="77"/>
      <c r="AB948" s="76"/>
      <c r="AD948" s="77"/>
      <c r="AE948" s="76"/>
      <c r="AG948" s="77"/>
      <c r="AH948" s="76"/>
      <c r="AJ948" s="77"/>
      <c r="AK948" s="76"/>
      <c r="AM948" s="77"/>
      <c r="AN948" s="76"/>
      <c r="AP948" s="77"/>
      <c r="AQ948" s="76"/>
      <c r="AS948" s="77"/>
      <c r="AT948" s="76"/>
      <c r="AV948" s="77"/>
    </row>
    <row r="949">
      <c r="K949" s="1"/>
      <c r="L949" s="2"/>
      <c r="M949" s="1"/>
      <c r="N949" s="1"/>
      <c r="O949" s="1"/>
      <c r="Y949" s="76"/>
      <c r="AA949" s="77"/>
      <c r="AB949" s="76"/>
      <c r="AD949" s="77"/>
      <c r="AE949" s="76"/>
      <c r="AG949" s="77"/>
      <c r="AH949" s="76"/>
      <c r="AJ949" s="77"/>
      <c r="AK949" s="76"/>
      <c r="AM949" s="77"/>
      <c r="AN949" s="76"/>
      <c r="AP949" s="77"/>
      <c r="AQ949" s="76"/>
      <c r="AS949" s="77"/>
      <c r="AT949" s="76"/>
      <c r="AV949" s="77"/>
    </row>
    <row r="950">
      <c r="K950" s="1"/>
      <c r="L950" s="2"/>
      <c r="M950" s="1"/>
      <c r="N950" s="1"/>
      <c r="O950" s="1"/>
      <c r="Y950" s="76"/>
      <c r="AA950" s="77"/>
      <c r="AB950" s="76"/>
      <c r="AD950" s="77"/>
      <c r="AE950" s="76"/>
      <c r="AG950" s="77"/>
      <c r="AH950" s="76"/>
      <c r="AJ950" s="77"/>
      <c r="AK950" s="76"/>
      <c r="AM950" s="77"/>
      <c r="AN950" s="76"/>
      <c r="AP950" s="77"/>
      <c r="AQ950" s="76"/>
      <c r="AS950" s="77"/>
      <c r="AT950" s="76"/>
      <c r="AV950" s="77"/>
    </row>
    <row r="951">
      <c r="K951" s="1"/>
      <c r="L951" s="2"/>
      <c r="M951" s="1"/>
      <c r="N951" s="1"/>
      <c r="O951" s="1"/>
      <c r="Y951" s="76"/>
      <c r="AA951" s="77"/>
      <c r="AB951" s="76"/>
      <c r="AD951" s="77"/>
      <c r="AE951" s="76"/>
      <c r="AG951" s="77"/>
      <c r="AH951" s="76"/>
      <c r="AJ951" s="77"/>
      <c r="AK951" s="76"/>
      <c r="AM951" s="77"/>
      <c r="AN951" s="76"/>
      <c r="AP951" s="77"/>
      <c r="AQ951" s="76"/>
      <c r="AS951" s="77"/>
      <c r="AT951" s="76"/>
      <c r="AV951" s="77"/>
    </row>
    <row r="952">
      <c r="K952" s="1"/>
      <c r="L952" s="2"/>
      <c r="M952" s="1"/>
      <c r="N952" s="1"/>
      <c r="O952" s="1"/>
      <c r="Y952" s="76"/>
      <c r="AA952" s="77"/>
      <c r="AB952" s="76"/>
      <c r="AD952" s="77"/>
      <c r="AE952" s="76"/>
      <c r="AG952" s="77"/>
      <c r="AH952" s="76"/>
      <c r="AJ952" s="77"/>
      <c r="AK952" s="76"/>
      <c r="AM952" s="77"/>
      <c r="AN952" s="76"/>
      <c r="AP952" s="77"/>
      <c r="AQ952" s="76"/>
      <c r="AS952" s="77"/>
      <c r="AT952" s="76"/>
      <c r="AV952" s="77"/>
    </row>
    <row r="953">
      <c r="K953" s="1"/>
      <c r="L953" s="2"/>
      <c r="M953" s="1"/>
      <c r="N953" s="1"/>
      <c r="O953" s="1"/>
      <c r="Y953" s="76"/>
      <c r="AA953" s="77"/>
      <c r="AB953" s="76"/>
      <c r="AD953" s="77"/>
      <c r="AE953" s="76"/>
      <c r="AG953" s="77"/>
      <c r="AH953" s="76"/>
      <c r="AJ953" s="77"/>
      <c r="AK953" s="76"/>
      <c r="AM953" s="77"/>
      <c r="AN953" s="76"/>
      <c r="AP953" s="77"/>
      <c r="AQ953" s="76"/>
      <c r="AS953" s="77"/>
      <c r="AT953" s="76"/>
      <c r="AV953" s="77"/>
    </row>
    <row r="954">
      <c r="K954" s="1"/>
      <c r="L954" s="2"/>
      <c r="M954" s="1"/>
      <c r="N954" s="1"/>
      <c r="O954" s="1"/>
      <c r="Y954" s="76"/>
      <c r="AA954" s="77"/>
      <c r="AB954" s="76"/>
      <c r="AD954" s="77"/>
      <c r="AE954" s="76"/>
      <c r="AG954" s="77"/>
      <c r="AH954" s="76"/>
      <c r="AJ954" s="77"/>
      <c r="AK954" s="76"/>
      <c r="AM954" s="77"/>
      <c r="AN954" s="76"/>
      <c r="AP954" s="77"/>
      <c r="AQ954" s="76"/>
      <c r="AS954" s="77"/>
      <c r="AT954" s="76"/>
      <c r="AV954" s="77"/>
    </row>
    <row r="955">
      <c r="K955" s="1"/>
      <c r="L955" s="2"/>
      <c r="M955" s="1"/>
      <c r="N955" s="1"/>
      <c r="O955" s="1"/>
      <c r="Y955" s="76"/>
      <c r="AA955" s="77"/>
      <c r="AB955" s="76"/>
      <c r="AD955" s="77"/>
      <c r="AE955" s="76"/>
      <c r="AG955" s="77"/>
      <c r="AH955" s="76"/>
      <c r="AJ955" s="77"/>
      <c r="AK955" s="76"/>
      <c r="AM955" s="77"/>
      <c r="AN955" s="76"/>
      <c r="AP955" s="77"/>
      <c r="AQ955" s="76"/>
      <c r="AS955" s="77"/>
      <c r="AT955" s="76"/>
      <c r="AV955" s="77"/>
    </row>
    <row r="956">
      <c r="K956" s="1"/>
      <c r="L956" s="2"/>
      <c r="M956" s="1"/>
      <c r="N956" s="1"/>
      <c r="O956" s="1"/>
      <c r="Y956" s="76"/>
      <c r="AA956" s="77"/>
      <c r="AB956" s="76"/>
      <c r="AD956" s="77"/>
      <c r="AE956" s="76"/>
      <c r="AG956" s="77"/>
      <c r="AH956" s="76"/>
      <c r="AJ956" s="77"/>
      <c r="AK956" s="76"/>
      <c r="AM956" s="77"/>
      <c r="AN956" s="76"/>
      <c r="AP956" s="77"/>
      <c r="AQ956" s="76"/>
      <c r="AS956" s="77"/>
      <c r="AT956" s="76"/>
      <c r="AV956" s="77"/>
    </row>
    <row r="957">
      <c r="K957" s="1"/>
      <c r="L957" s="2"/>
      <c r="M957" s="1"/>
      <c r="N957" s="1"/>
      <c r="O957" s="1"/>
      <c r="Y957" s="76"/>
      <c r="AA957" s="77"/>
      <c r="AB957" s="76"/>
      <c r="AD957" s="77"/>
      <c r="AE957" s="76"/>
      <c r="AG957" s="77"/>
      <c r="AH957" s="76"/>
      <c r="AJ957" s="77"/>
      <c r="AK957" s="76"/>
      <c r="AM957" s="77"/>
      <c r="AN957" s="76"/>
      <c r="AP957" s="77"/>
      <c r="AQ957" s="76"/>
      <c r="AS957" s="77"/>
      <c r="AT957" s="76"/>
      <c r="AV957" s="77"/>
    </row>
    <row r="958">
      <c r="K958" s="1"/>
      <c r="L958" s="2"/>
      <c r="M958" s="1"/>
      <c r="N958" s="1"/>
      <c r="O958" s="1"/>
      <c r="Y958" s="76"/>
      <c r="AA958" s="77"/>
      <c r="AB958" s="76"/>
      <c r="AD958" s="77"/>
      <c r="AE958" s="76"/>
      <c r="AG958" s="77"/>
      <c r="AH958" s="76"/>
      <c r="AJ958" s="77"/>
      <c r="AK958" s="76"/>
      <c r="AM958" s="77"/>
      <c r="AN958" s="76"/>
      <c r="AP958" s="77"/>
      <c r="AQ958" s="76"/>
      <c r="AS958" s="77"/>
      <c r="AT958" s="76"/>
      <c r="AV958" s="77"/>
    </row>
    <row r="959">
      <c r="K959" s="1"/>
      <c r="L959" s="2"/>
      <c r="M959" s="1"/>
      <c r="N959" s="1"/>
      <c r="O959" s="1"/>
      <c r="Y959" s="76"/>
      <c r="AA959" s="77"/>
      <c r="AB959" s="76"/>
      <c r="AD959" s="77"/>
      <c r="AE959" s="76"/>
      <c r="AG959" s="77"/>
      <c r="AH959" s="76"/>
      <c r="AJ959" s="77"/>
      <c r="AK959" s="76"/>
      <c r="AM959" s="77"/>
      <c r="AN959" s="76"/>
      <c r="AP959" s="77"/>
      <c r="AQ959" s="76"/>
      <c r="AS959" s="77"/>
      <c r="AT959" s="76"/>
      <c r="AV959" s="77"/>
    </row>
    <row r="960">
      <c r="K960" s="1"/>
      <c r="L960" s="2"/>
      <c r="M960" s="1"/>
      <c r="N960" s="1"/>
      <c r="O960" s="1"/>
      <c r="Y960" s="76"/>
      <c r="AA960" s="77"/>
      <c r="AB960" s="76"/>
      <c r="AD960" s="77"/>
      <c r="AE960" s="76"/>
      <c r="AG960" s="77"/>
      <c r="AH960" s="76"/>
      <c r="AJ960" s="77"/>
      <c r="AK960" s="76"/>
      <c r="AM960" s="77"/>
      <c r="AN960" s="76"/>
      <c r="AP960" s="77"/>
      <c r="AQ960" s="76"/>
      <c r="AS960" s="77"/>
      <c r="AT960" s="76"/>
      <c r="AV960" s="77"/>
    </row>
    <row r="961">
      <c r="K961" s="1"/>
      <c r="L961" s="2"/>
      <c r="M961" s="1"/>
      <c r="N961" s="1"/>
      <c r="O961" s="1"/>
      <c r="Y961" s="76"/>
      <c r="AA961" s="77"/>
      <c r="AB961" s="76"/>
      <c r="AD961" s="77"/>
      <c r="AE961" s="76"/>
      <c r="AG961" s="77"/>
      <c r="AH961" s="76"/>
      <c r="AJ961" s="77"/>
      <c r="AK961" s="76"/>
      <c r="AM961" s="77"/>
      <c r="AN961" s="76"/>
      <c r="AP961" s="77"/>
      <c r="AQ961" s="76"/>
      <c r="AS961" s="77"/>
      <c r="AT961" s="76"/>
      <c r="AV961" s="77"/>
    </row>
    <row r="962">
      <c r="K962" s="1"/>
      <c r="L962" s="2"/>
      <c r="M962" s="1"/>
      <c r="N962" s="1"/>
      <c r="O962" s="1"/>
      <c r="Y962" s="76"/>
      <c r="AA962" s="77"/>
      <c r="AB962" s="76"/>
      <c r="AD962" s="77"/>
      <c r="AE962" s="76"/>
      <c r="AG962" s="77"/>
      <c r="AH962" s="76"/>
      <c r="AJ962" s="77"/>
      <c r="AK962" s="76"/>
      <c r="AM962" s="77"/>
      <c r="AN962" s="76"/>
      <c r="AP962" s="77"/>
      <c r="AQ962" s="76"/>
      <c r="AS962" s="77"/>
      <c r="AT962" s="76"/>
      <c r="AV962" s="77"/>
    </row>
    <row r="963">
      <c r="K963" s="1"/>
      <c r="L963" s="2"/>
      <c r="M963" s="1"/>
      <c r="N963" s="1"/>
      <c r="O963" s="1"/>
      <c r="Y963" s="76"/>
      <c r="AA963" s="77"/>
      <c r="AB963" s="76"/>
      <c r="AD963" s="77"/>
      <c r="AE963" s="76"/>
      <c r="AG963" s="77"/>
      <c r="AH963" s="76"/>
      <c r="AJ963" s="77"/>
      <c r="AK963" s="76"/>
      <c r="AM963" s="77"/>
      <c r="AN963" s="76"/>
      <c r="AP963" s="77"/>
      <c r="AQ963" s="76"/>
      <c r="AS963" s="77"/>
      <c r="AT963" s="76"/>
      <c r="AV963" s="77"/>
    </row>
    <row r="964">
      <c r="K964" s="1"/>
      <c r="L964" s="2"/>
      <c r="M964" s="1"/>
      <c r="N964" s="1"/>
      <c r="O964" s="1"/>
      <c r="Y964" s="76"/>
      <c r="AA964" s="77"/>
      <c r="AB964" s="76"/>
      <c r="AD964" s="77"/>
      <c r="AE964" s="76"/>
      <c r="AG964" s="77"/>
      <c r="AH964" s="76"/>
      <c r="AJ964" s="77"/>
      <c r="AK964" s="76"/>
      <c r="AM964" s="77"/>
      <c r="AN964" s="76"/>
      <c r="AP964" s="77"/>
      <c r="AQ964" s="76"/>
      <c r="AS964" s="77"/>
      <c r="AT964" s="76"/>
      <c r="AV964" s="77"/>
    </row>
    <row r="965">
      <c r="K965" s="1"/>
      <c r="L965" s="2"/>
      <c r="M965" s="1"/>
      <c r="N965" s="1"/>
      <c r="O965" s="1"/>
      <c r="Y965" s="76"/>
      <c r="AA965" s="77"/>
      <c r="AB965" s="76"/>
      <c r="AD965" s="77"/>
      <c r="AE965" s="76"/>
      <c r="AG965" s="77"/>
      <c r="AH965" s="76"/>
      <c r="AJ965" s="77"/>
      <c r="AK965" s="76"/>
      <c r="AM965" s="77"/>
      <c r="AN965" s="76"/>
      <c r="AP965" s="77"/>
      <c r="AQ965" s="76"/>
      <c r="AS965" s="77"/>
      <c r="AT965" s="76"/>
      <c r="AV965" s="77"/>
    </row>
    <row r="966">
      <c r="K966" s="1"/>
      <c r="L966" s="2"/>
      <c r="M966" s="1"/>
      <c r="N966" s="1"/>
      <c r="O966" s="1"/>
      <c r="Y966" s="76"/>
      <c r="AA966" s="77"/>
      <c r="AB966" s="76"/>
      <c r="AD966" s="77"/>
      <c r="AE966" s="76"/>
      <c r="AG966" s="77"/>
      <c r="AH966" s="76"/>
      <c r="AJ966" s="77"/>
      <c r="AK966" s="76"/>
      <c r="AM966" s="77"/>
      <c r="AN966" s="76"/>
      <c r="AP966" s="77"/>
      <c r="AQ966" s="76"/>
      <c r="AS966" s="77"/>
      <c r="AT966" s="76"/>
      <c r="AV966" s="77"/>
    </row>
    <row r="967">
      <c r="K967" s="1"/>
      <c r="L967" s="2"/>
      <c r="M967" s="1"/>
      <c r="N967" s="1"/>
      <c r="O967" s="1"/>
      <c r="Y967" s="76"/>
      <c r="AA967" s="77"/>
      <c r="AB967" s="76"/>
      <c r="AD967" s="77"/>
      <c r="AE967" s="76"/>
      <c r="AG967" s="77"/>
      <c r="AH967" s="76"/>
      <c r="AJ967" s="77"/>
      <c r="AK967" s="76"/>
      <c r="AM967" s="77"/>
      <c r="AN967" s="76"/>
      <c r="AP967" s="77"/>
      <c r="AQ967" s="76"/>
      <c r="AS967" s="77"/>
      <c r="AT967" s="76"/>
      <c r="AV967" s="77"/>
    </row>
    <row r="968">
      <c r="K968" s="1"/>
      <c r="L968" s="2"/>
      <c r="M968" s="1"/>
      <c r="N968" s="1"/>
      <c r="O968" s="1"/>
      <c r="Y968" s="76"/>
      <c r="AA968" s="77"/>
      <c r="AB968" s="76"/>
      <c r="AD968" s="77"/>
      <c r="AE968" s="76"/>
      <c r="AG968" s="77"/>
      <c r="AH968" s="76"/>
      <c r="AJ968" s="77"/>
      <c r="AK968" s="76"/>
      <c r="AM968" s="77"/>
      <c r="AN968" s="76"/>
      <c r="AP968" s="77"/>
      <c r="AQ968" s="76"/>
      <c r="AS968" s="77"/>
      <c r="AT968" s="76"/>
      <c r="AV968" s="77"/>
    </row>
    <row r="969">
      <c r="K969" s="1"/>
      <c r="L969" s="2"/>
      <c r="M969" s="1"/>
      <c r="N969" s="1"/>
      <c r="O969" s="1"/>
      <c r="Y969" s="76"/>
      <c r="AA969" s="77"/>
      <c r="AB969" s="76"/>
      <c r="AD969" s="77"/>
      <c r="AE969" s="76"/>
      <c r="AG969" s="77"/>
      <c r="AH969" s="76"/>
      <c r="AJ969" s="77"/>
      <c r="AK969" s="76"/>
      <c r="AM969" s="77"/>
      <c r="AN969" s="76"/>
      <c r="AP969" s="77"/>
      <c r="AQ969" s="76"/>
      <c r="AS969" s="77"/>
      <c r="AT969" s="76"/>
      <c r="AV969" s="77"/>
    </row>
    <row r="970">
      <c r="K970" s="1"/>
      <c r="L970" s="2"/>
      <c r="M970" s="1"/>
      <c r="N970" s="1"/>
      <c r="O970" s="1"/>
      <c r="Y970" s="76"/>
      <c r="AA970" s="77"/>
      <c r="AB970" s="76"/>
      <c r="AD970" s="77"/>
      <c r="AE970" s="76"/>
      <c r="AG970" s="77"/>
      <c r="AH970" s="76"/>
      <c r="AJ970" s="77"/>
      <c r="AK970" s="76"/>
      <c r="AM970" s="77"/>
      <c r="AN970" s="76"/>
      <c r="AP970" s="77"/>
      <c r="AQ970" s="76"/>
      <c r="AS970" s="77"/>
      <c r="AT970" s="76"/>
      <c r="AV970" s="77"/>
    </row>
    <row r="971">
      <c r="K971" s="1"/>
      <c r="L971" s="2"/>
      <c r="M971" s="1"/>
      <c r="N971" s="1"/>
      <c r="O971" s="1"/>
      <c r="Y971" s="76"/>
      <c r="AA971" s="77"/>
      <c r="AB971" s="76"/>
      <c r="AD971" s="77"/>
      <c r="AE971" s="76"/>
      <c r="AG971" s="77"/>
      <c r="AH971" s="76"/>
      <c r="AJ971" s="77"/>
      <c r="AK971" s="76"/>
      <c r="AM971" s="77"/>
      <c r="AN971" s="76"/>
      <c r="AP971" s="77"/>
      <c r="AQ971" s="76"/>
      <c r="AS971" s="77"/>
      <c r="AT971" s="76"/>
      <c r="AV971" s="77"/>
    </row>
    <row r="972">
      <c r="K972" s="1"/>
      <c r="L972" s="2"/>
      <c r="M972" s="1"/>
      <c r="N972" s="1"/>
      <c r="O972" s="1"/>
      <c r="Y972" s="76"/>
      <c r="AA972" s="77"/>
      <c r="AB972" s="76"/>
      <c r="AD972" s="77"/>
      <c r="AE972" s="76"/>
      <c r="AG972" s="77"/>
      <c r="AH972" s="76"/>
      <c r="AJ972" s="77"/>
      <c r="AK972" s="76"/>
      <c r="AM972" s="77"/>
      <c r="AN972" s="76"/>
      <c r="AP972" s="77"/>
      <c r="AQ972" s="76"/>
      <c r="AS972" s="77"/>
      <c r="AT972" s="76"/>
      <c r="AV972" s="77"/>
    </row>
    <row r="973">
      <c r="K973" s="1"/>
      <c r="L973" s="2"/>
      <c r="M973" s="1"/>
      <c r="N973" s="1"/>
      <c r="O973" s="1"/>
      <c r="Y973" s="76"/>
      <c r="AA973" s="77"/>
      <c r="AB973" s="76"/>
      <c r="AD973" s="77"/>
      <c r="AE973" s="76"/>
      <c r="AG973" s="77"/>
      <c r="AH973" s="76"/>
      <c r="AJ973" s="77"/>
      <c r="AK973" s="76"/>
      <c r="AM973" s="77"/>
      <c r="AN973" s="76"/>
      <c r="AP973" s="77"/>
      <c r="AQ973" s="76"/>
      <c r="AS973" s="77"/>
      <c r="AT973" s="76"/>
      <c r="AV973" s="77"/>
    </row>
    <row r="974">
      <c r="K974" s="1"/>
      <c r="L974" s="2"/>
      <c r="M974" s="1"/>
      <c r="N974" s="1"/>
      <c r="O974" s="1"/>
      <c r="Y974" s="76"/>
      <c r="AA974" s="77"/>
      <c r="AB974" s="76"/>
      <c r="AD974" s="77"/>
      <c r="AE974" s="76"/>
      <c r="AG974" s="77"/>
      <c r="AH974" s="76"/>
      <c r="AJ974" s="77"/>
      <c r="AK974" s="76"/>
      <c r="AM974" s="77"/>
      <c r="AN974" s="76"/>
      <c r="AP974" s="77"/>
      <c r="AQ974" s="76"/>
      <c r="AS974" s="77"/>
      <c r="AT974" s="76"/>
      <c r="AV974" s="77"/>
    </row>
    <row r="975">
      <c r="K975" s="1"/>
      <c r="L975" s="2"/>
      <c r="M975" s="1"/>
      <c r="N975" s="1"/>
      <c r="O975" s="1"/>
      <c r="Y975" s="76"/>
      <c r="AA975" s="77"/>
      <c r="AB975" s="76"/>
      <c r="AD975" s="77"/>
      <c r="AE975" s="76"/>
      <c r="AG975" s="77"/>
      <c r="AH975" s="76"/>
      <c r="AJ975" s="77"/>
      <c r="AK975" s="76"/>
      <c r="AM975" s="77"/>
      <c r="AN975" s="76"/>
      <c r="AP975" s="77"/>
      <c r="AQ975" s="76"/>
      <c r="AS975" s="77"/>
      <c r="AT975" s="76"/>
      <c r="AV975" s="77"/>
    </row>
    <row r="976">
      <c r="K976" s="1"/>
      <c r="L976" s="2"/>
      <c r="M976" s="1"/>
      <c r="N976" s="1"/>
      <c r="O976" s="1"/>
      <c r="Y976" s="76"/>
      <c r="AA976" s="77"/>
      <c r="AB976" s="76"/>
      <c r="AD976" s="77"/>
      <c r="AE976" s="76"/>
      <c r="AG976" s="77"/>
      <c r="AH976" s="76"/>
      <c r="AJ976" s="77"/>
      <c r="AK976" s="76"/>
      <c r="AM976" s="77"/>
      <c r="AN976" s="76"/>
      <c r="AP976" s="77"/>
      <c r="AQ976" s="76"/>
      <c r="AS976" s="77"/>
      <c r="AT976" s="76"/>
      <c r="AV976" s="77"/>
    </row>
    <row r="977">
      <c r="K977" s="1"/>
      <c r="L977" s="2"/>
      <c r="M977" s="1"/>
      <c r="N977" s="1"/>
      <c r="O977" s="1"/>
      <c r="Y977" s="76"/>
      <c r="AA977" s="77"/>
      <c r="AB977" s="76"/>
      <c r="AD977" s="77"/>
      <c r="AE977" s="76"/>
      <c r="AG977" s="77"/>
      <c r="AH977" s="76"/>
      <c r="AJ977" s="77"/>
      <c r="AK977" s="76"/>
      <c r="AM977" s="77"/>
      <c r="AN977" s="76"/>
      <c r="AP977" s="77"/>
      <c r="AQ977" s="76"/>
      <c r="AS977" s="77"/>
      <c r="AT977" s="76"/>
      <c r="AV977" s="77"/>
    </row>
    <row r="978">
      <c r="K978" s="1"/>
      <c r="L978" s="2"/>
      <c r="M978" s="1"/>
      <c r="N978" s="1"/>
      <c r="O978" s="1"/>
      <c r="Y978" s="76"/>
      <c r="AA978" s="77"/>
      <c r="AB978" s="76"/>
      <c r="AD978" s="77"/>
      <c r="AE978" s="76"/>
      <c r="AG978" s="77"/>
      <c r="AH978" s="76"/>
      <c r="AJ978" s="77"/>
      <c r="AK978" s="76"/>
      <c r="AM978" s="77"/>
      <c r="AN978" s="76"/>
      <c r="AP978" s="77"/>
      <c r="AQ978" s="76"/>
      <c r="AS978" s="77"/>
      <c r="AT978" s="76"/>
      <c r="AV978" s="77"/>
    </row>
    <row r="979">
      <c r="K979" s="1"/>
      <c r="L979" s="2"/>
      <c r="M979" s="1"/>
      <c r="N979" s="1"/>
      <c r="O979" s="1"/>
      <c r="Y979" s="76"/>
      <c r="AA979" s="77"/>
      <c r="AB979" s="76"/>
      <c r="AD979" s="77"/>
      <c r="AE979" s="76"/>
      <c r="AG979" s="77"/>
      <c r="AH979" s="76"/>
      <c r="AJ979" s="77"/>
      <c r="AK979" s="76"/>
      <c r="AM979" s="77"/>
      <c r="AN979" s="76"/>
      <c r="AP979" s="77"/>
      <c r="AQ979" s="76"/>
      <c r="AS979" s="77"/>
      <c r="AT979" s="76"/>
      <c r="AV979" s="77"/>
    </row>
    <row r="980">
      <c r="K980" s="1"/>
      <c r="L980" s="2"/>
      <c r="M980" s="1"/>
      <c r="N980" s="1"/>
      <c r="O980" s="1"/>
      <c r="Y980" s="76"/>
      <c r="AA980" s="77"/>
      <c r="AB980" s="76"/>
      <c r="AD980" s="77"/>
      <c r="AE980" s="76"/>
      <c r="AG980" s="77"/>
      <c r="AH980" s="76"/>
      <c r="AJ980" s="77"/>
      <c r="AK980" s="76"/>
      <c r="AM980" s="77"/>
      <c r="AN980" s="76"/>
      <c r="AP980" s="77"/>
      <c r="AQ980" s="76"/>
      <c r="AS980" s="77"/>
      <c r="AT980" s="76"/>
      <c r="AV980" s="77"/>
    </row>
    <row r="981">
      <c r="K981" s="1"/>
      <c r="L981" s="2"/>
      <c r="M981" s="1"/>
      <c r="N981" s="1"/>
      <c r="O981" s="1"/>
      <c r="Y981" s="76"/>
      <c r="AA981" s="77"/>
      <c r="AB981" s="76"/>
      <c r="AD981" s="77"/>
      <c r="AE981" s="76"/>
      <c r="AG981" s="77"/>
      <c r="AH981" s="76"/>
      <c r="AJ981" s="77"/>
      <c r="AK981" s="76"/>
      <c r="AM981" s="77"/>
      <c r="AN981" s="76"/>
      <c r="AP981" s="77"/>
      <c r="AQ981" s="76"/>
      <c r="AS981" s="77"/>
      <c r="AT981" s="76"/>
      <c r="AV981" s="77"/>
    </row>
    <row r="982">
      <c r="K982" s="1"/>
      <c r="L982" s="2"/>
      <c r="M982" s="1"/>
      <c r="N982" s="1"/>
      <c r="O982" s="1"/>
      <c r="Y982" s="76"/>
      <c r="AA982" s="77"/>
      <c r="AB982" s="76"/>
      <c r="AD982" s="77"/>
      <c r="AE982" s="76"/>
      <c r="AG982" s="77"/>
      <c r="AH982" s="76"/>
      <c r="AJ982" s="77"/>
      <c r="AK982" s="76"/>
      <c r="AM982" s="77"/>
      <c r="AN982" s="76"/>
      <c r="AP982" s="77"/>
      <c r="AQ982" s="76"/>
      <c r="AS982" s="77"/>
      <c r="AT982" s="76"/>
      <c r="AV982" s="77"/>
    </row>
    <row r="983">
      <c r="K983" s="1"/>
      <c r="L983" s="2"/>
      <c r="M983" s="1"/>
      <c r="N983" s="1"/>
      <c r="O983" s="1"/>
      <c r="Y983" s="185"/>
      <c r="Z983" s="186"/>
      <c r="AA983" s="187"/>
      <c r="AB983" s="185"/>
      <c r="AC983" s="186"/>
      <c r="AD983" s="187"/>
      <c r="AE983" s="185"/>
      <c r="AF983" s="186"/>
      <c r="AG983" s="187"/>
      <c r="AH983" s="185"/>
      <c r="AI983" s="186"/>
      <c r="AJ983" s="187"/>
      <c r="AK983" s="185"/>
      <c r="AL983" s="186"/>
      <c r="AM983" s="187"/>
      <c r="AN983" s="185"/>
      <c r="AO983" s="186"/>
      <c r="AP983" s="187"/>
      <c r="AQ983" s="185"/>
      <c r="AR983" s="186"/>
      <c r="AS983" s="187"/>
      <c r="AT983" s="185"/>
      <c r="AU983" s="186"/>
      <c r="AV983" s="18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22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2.88347999999999E-9</v>
      </c>
      <c r="L6" s="11">
        <v>3.54060087350361E-11</v>
      </c>
      <c r="M6" s="10">
        <f t="shared" ref="M6:M66" si="1">K6*1000000</f>
        <v>0.00288348</v>
      </c>
      <c r="N6" s="10">
        <v>2.99E-6</v>
      </c>
      <c r="O6" s="10">
        <v>0.001600364</v>
      </c>
      <c r="P6" s="10">
        <v>3.711E-6</v>
      </c>
      <c r="Q6" s="12">
        <f t="shared" ref="Q6:Q66" si="2">(O6-M6)/M6</f>
        <v>-0.4449886942</v>
      </c>
      <c r="R6" s="13">
        <f t="shared" ref="R6:R66" si="3">(O6-M6)/sqrt(N6*N6+P6*P6)</f>
        <v>-269.2414088</v>
      </c>
      <c r="S6" s="8"/>
      <c r="T6" s="14">
        <f t="shared" ref="T6:T66" si="4">K6/$K$14</f>
        <v>0.01141434334</v>
      </c>
      <c r="U6" s="14">
        <f t="shared" ref="U6:U12" si="5">K6/$K$7</f>
        <v>0.1317842991</v>
      </c>
      <c r="V6" s="10">
        <f t="shared" ref="V6:V66" si="6">M6/O6</f>
        <v>1.801765098</v>
      </c>
      <c r="W6" s="8">
        <f t="shared" ref="W6:W66" si="7">IF(abs(1/V6-1)&lt;$W$5, 1, 0)</f>
        <v>0</v>
      </c>
      <c r="X6" s="8">
        <f t="shared" ref="X6:X66" si="8">B6</f>
        <v>1</v>
      </c>
      <c r="Y6" s="15"/>
      <c r="Z6" s="66">
        <f t="shared" ref="Z6:Z66" si="9">M6*0.001</f>
        <v>0.00000288348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2.18802999999999E-8</v>
      </c>
      <c r="L7" s="11">
        <v>2.20708020477349E-10</v>
      </c>
      <c r="M7" s="10">
        <f t="shared" si="1"/>
        <v>0.0218803</v>
      </c>
      <c r="N7" s="10">
        <v>2.4439E-5</v>
      </c>
      <c r="O7" s="10">
        <v>0.015791247</v>
      </c>
      <c r="P7" s="10">
        <v>1.787E-5</v>
      </c>
      <c r="Q7" s="12">
        <f t="shared" si="2"/>
        <v>-0.2782892831</v>
      </c>
      <c r="R7" s="13">
        <f t="shared" si="3"/>
        <v>-201.1219373</v>
      </c>
      <c r="S7" s="8"/>
      <c r="T7" s="14">
        <f t="shared" si="4"/>
        <v>0.08661383348</v>
      </c>
      <c r="U7" s="14">
        <f t="shared" si="5"/>
        <v>1</v>
      </c>
      <c r="V7" s="10">
        <f t="shared" si="6"/>
        <v>1.385596717</v>
      </c>
      <c r="W7" s="8">
        <f t="shared" si="7"/>
        <v>0</v>
      </c>
      <c r="X7" s="8">
        <f t="shared" si="8"/>
        <v>2</v>
      </c>
      <c r="Y7" s="15"/>
      <c r="Z7" s="67">
        <f t="shared" si="9"/>
        <v>0.0000218803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2.0891E-7</v>
      </c>
      <c r="L8" s="11">
        <v>2.11772223739268E-9</v>
      </c>
      <c r="M8" s="10">
        <f t="shared" si="1"/>
        <v>0.20891</v>
      </c>
      <c r="N8" s="10">
        <v>2.32007E-4</v>
      </c>
      <c r="O8" s="10">
        <v>0.176499501</v>
      </c>
      <c r="P8" s="10">
        <v>3.25161E-4</v>
      </c>
      <c r="Q8" s="12">
        <f t="shared" si="2"/>
        <v>-0.155140965</v>
      </c>
      <c r="R8" s="13">
        <f t="shared" si="3"/>
        <v>-81.13867101</v>
      </c>
      <c r="S8" s="8"/>
      <c r="T8" s="14">
        <f t="shared" si="4"/>
        <v>0.8269765932</v>
      </c>
      <c r="U8" s="14">
        <f t="shared" si="5"/>
        <v>9.547858119</v>
      </c>
      <c r="V8" s="10">
        <f t="shared" si="6"/>
        <v>1.183629409</v>
      </c>
      <c r="W8" s="8">
        <f t="shared" si="7"/>
        <v>0</v>
      </c>
      <c r="X8" s="8">
        <f t="shared" si="8"/>
        <v>3</v>
      </c>
      <c r="Y8" s="15"/>
      <c r="Z8" s="68">
        <f t="shared" si="9"/>
        <v>0.00020891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9.04366999999999E-7</v>
      </c>
      <c r="L9" s="11">
        <v>7.55610736992656E-9</v>
      </c>
      <c r="M9" s="10">
        <f t="shared" si="1"/>
        <v>0.904367</v>
      </c>
      <c r="N9" s="10">
        <v>9.95529E-4</v>
      </c>
      <c r="O9" s="10">
        <v>0.834330976</v>
      </c>
      <c r="P9" s="10">
        <v>0.002242423</v>
      </c>
      <c r="Q9" s="12">
        <f t="shared" si="2"/>
        <v>-0.07744203846</v>
      </c>
      <c r="R9" s="13">
        <f t="shared" si="3"/>
        <v>-28.54564564</v>
      </c>
      <c r="S9" s="8"/>
      <c r="T9" s="14">
        <f t="shared" si="4"/>
        <v>3.579964294</v>
      </c>
      <c r="U9" s="14">
        <f t="shared" si="5"/>
        <v>41.33247716</v>
      </c>
      <c r="V9" s="10">
        <f t="shared" si="6"/>
        <v>1.083942735</v>
      </c>
      <c r="W9" s="8">
        <f t="shared" si="7"/>
        <v>1</v>
      </c>
      <c r="X9" s="8">
        <f t="shared" si="8"/>
        <v>4</v>
      </c>
      <c r="Y9" s="15"/>
      <c r="Z9" s="68">
        <f t="shared" si="9"/>
        <v>0.000904367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2.74235999999999E-6</v>
      </c>
      <c r="L10" s="11">
        <v>2.70933738964144E-8</v>
      </c>
      <c r="M10" s="10">
        <f t="shared" si="1"/>
        <v>2.74236</v>
      </c>
      <c r="N10" s="10">
        <v>0.003005906</v>
      </c>
      <c r="O10" s="10">
        <v>2.685214758</v>
      </c>
      <c r="P10" s="10">
        <v>0.008374096</v>
      </c>
      <c r="Q10" s="12">
        <f t="shared" si="2"/>
        <v>-0.0208379797</v>
      </c>
      <c r="R10" s="13">
        <f t="shared" si="3"/>
        <v>-6.422802453</v>
      </c>
      <c r="S10" s="8"/>
      <c r="T10" s="14">
        <f t="shared" si="4"/>
        <v>10.85571552</v>
      </c>
      <c r="U10" s="14">
        <f t="shared" si="5"/>
        <v>125.3346618</v>
      </c>
      <c r="V10" s="10">
        <f t="shared" si="6"/>
        <v>1.021281442</v>
      </c>
      <c r="W10" s="8">
        <f t="shared" si="7"/>
        <v>1</v>
      </c>
      <c r="X10" s="8">
        <f t="shared" si="8"/>
        <v>5</v>
      </c>
      <c r="Y10" s="15"/>
      <c r="Z10" s="69">
        <f t="shared" si="9"/>
        <v>0.00274236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6.70469E-6</v>
      </c>
      <c r="L11" s="11">
        <v>6.09788330554798E-8</v>
      </c>
      <c r="M11" s="10">
        <f t="shared" si="1"/>
        <v>6.70469</v>
      </c>
      <c r="N11" s="10">
        <v>0.007331467</v>
      </c>
      <c r="O11" s="10">
        <v>6.704174042</v>
      </c>
      <c r="P11" s="10">
        <v>0.022582325</v>
      </c>
      <c r="Q11" s="12">
        <f t="shared" si="2"/>
        <v>-0.00007695478836</v>
      </c>
      <c r="R11" s="13">
        <f t="shared" si="3"/>
        <v>-0.02173130382</v>
      </c>
      <c r="S11" s="8"/>
      <c r="T11" s="14">
        <f t="shared" si="4"/>
        <v>26.54071942</v>
      </c>
      <c r="U11" s="14">
        <f t="shared" si="5"/>
        <v>306.4258717</v>
      </c>
      <c r="V11" s="10">
        <f t="shared" si="6"/>
        <v>1.000076961</v>
      </c>
      <c r="W11" s="8">
        <f t="shared" si="7"/>
        <v>1</v>
      </c>
      <c r="X11" s="8">
        <f t="shared" si="8"/>
        <v>6</v>
      </c>
      <c r="Y11" s="15"/>
      <c r="Z11" s="69">
        <f t="shared" si="9"/>
        <v>0.00670469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1.40674E-5</v>
      </c>
      <c r="L12" s="11">
        <v>1.14659090658818E-7</v>
      </c>
      <c r="M12" s="10">
        <f t="shared" si="1"/>
        <v>14.0674</v>
      </c>
      <c r="N12" s="10">
        <v>0.01536067</v>
      </c>
      <c r="O12" s="10">
        <v>14.295722008</v>
      </c>
      <c r="P12" s="10">
        <v>0.049997026</v>
      </c>
      <c r="Q12" s="12">
        <f t="shared" si="2"/>
        <v>0.01623057623</v>
      </c>
      <c r="R12" s="13">
        <f t="shared" si="3"/>
        <v>4.365332082</v>
      </c>
      <c r="S12" s="8"/>
      <c r="T12" s="14">
        <f t="shared" si="4"/>
        <v>55.68623104</v>
      </c>
      <c r="U12" s="14">
        <f t="shared" si="5"/>
        <v>642.9253712</v>
      </c>
      <c r="V12" s="10">
        <f t="shared" si="6"/>
        <v>0.984028648</v>
      </c>
      <c r="W12" s="8">
        <f t="shared" si="7"/>
        <v>1</v>
      </c>
      <c r="X12" s="8">
        <f t="shared" si="8"/>
        <v>7</v>
      </c>
      <c r="Y12" s="15"/>
      <c r="Z12" s="70">
        <f t="shared" si="9"/>
        <v>0.0140674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2.58284999999999E-8</v>
      </c>
      <c r="L13" s="24">
        <v>2.6026162051119E-10</v>
      </c>
      <c r="M13" s="23">
        <f t="shared" si="1"/>
        <v>0.0258285</v>
      </c>
      <c r="N13" s="23">
        <v>2.7425E-5</v>
      </c>
      <c r="O13" s="23">
        <v>0.025605818</v>
      </c>
      <c r="P13" s="23">
        <v>5.9371E-5</v>
      </c>
      <c r="Q13" s="26">
        <f t="shared" si="2"/>
        <v>-0.008621561453</v>
      </c>
      <c r="R13" s="27">
        <f t="shared" si="3"/>
        <v>-3.404968818</v>
      </c>
      <c r="S13" s="22"/>
      <c r="T13" s="28">
        <f t="shared" si="4"/>
        <v>0.1022429033</v>
      </c>
      <c r="U13" s="28">
        <f t="shared" ref="U13:U19" si="10">K13/$K$14</f>
        <v>0.1022429033</v>
      </c>
      <c r="V13" s="23">
        <f t="shared" si="6"/>
        <v>1.008696539</v>
      </c>
      <c r="W13" s="22">
        <f t="shared" si="7"/>
        <v>1</v>
      </c>
      <c r="X13" s="22">
        <f t="shared" si="8"/>
        <v>8</v>
      </c>
      <c r="Y13" s="71"/>
      <c r="Z13" s="67">
        <f t="shared" si="9"/>
        <v>0.0000258285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2.52618999999999E-7</v>
      </c>
      <c r="L14" s="31">
        <v>2.51141615649639E-9</v>
      </c>
      <c r="M14" s="30">
        <f t="shared" si="1"/>
        <v>0.252619</v>
      </c>
      <c r="N14" s="30">
        <v>2.85926E-4</v>
      </c>
      <c r="O14" s="30">
        <v>0.252659947</v>
      </c>
      <c r="P14" s="30">
        <v>2.85926E-4</v>
      </c>
      <c r="Q14" s="32">
        <f t="shared" si="2"/>
        <v>0.0001620899457</v>
      </c>
      <c r="R14" s="34">
        <f t="shared" si="3"/>
        <v>0.1012636185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0.9998379363</v>
      </c>
      <c r="W14" s="29">
        <f t="shared" si="7"/>
        <v>1</v>
      </c>
      <c r="X14" s="29">
        <f t="shared" si="8"/>
        <v>9</v>
      </c>
      <c r="Y14" s="72"/>
      <c r="Z14" s="68">
        <f t="shared" si="9"/>
        <v>0.000252619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2.77787E-6</v>
      </c>
      <c r="L15" s="24">
        <v>2.56005267464747E-8</v>
      </c>
      <c r="M15" s="23">
        <f t="shared" si="1"/>
        <v>2.77787</v>
      </c>
      <c r="N15" s="23">
        <v>0.003099197</v>
      </c>
      <c r="O15" s="23">
        <v>2.823992014</v>
      </c>
      <c r="P15" s="23">
        <v>0.00520258</v>
      </c>
      <c r="Q15" s="26">
        <f t="shared" si="2"/>
        <v>0.01660337381</v>
      </c>
      <c r="R15" s="27">
        <f t="shared" si="3"/>
        <v>7.616260505</v>
      </c>
      <c r="S15" s="22"/>
      <c r="T15" s="28">
        <f t="shared" si="4"/>
        <v>10.99628294</v>
      </c>
      <c r="U15" s="28">
        <f t="shared" si="10"/>
        <v>10.99628294</v>
      </c>
      <c r="V15" s="23">
        <f t="shared" si="6"/>
        <v>0.9836677959</v>
      </c>
      <c r="W15" s="22">
        <f t="shared" si="7"/>
        <v>1</v>
      </c>
      <c r="X15" s="22">
        <f t="shared" si="8"/>
        <v>10</v>
      </c>
      <c r="Y15" s="71"/>
      <c r="Z15" s="69">
        <f t="shared" si="9"/>
        <v>0.00277787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1.30495E-5</v>
      </c>
      <c r="L16" s="24">
        <v>1.24611517537626E-7</v>
      </c>
      <c r="M16" s="23">
        <f t="shared" si="1"/>
        <v>13.0495</v>
      </c>
      <c r="N16" s="23">
        <v>0.014416253</v>
      </c>
      <c r="O16" s="23">
        <v>13.349297523</v>
      </c>
      <c r="P16" s="23">
        <v>0.035878775</v>
      </c>
      <c r="Q16" s="26">
        <f t="shared" si="2"/>
        <v>0.02297387049</v>
      </c>
      <c r="R16" s="27">
        <f t="shared" si="3"/>
        <v>7.753374531</v>
      </c>
      <c r="S16" s="22"/>
      <c r="T16" s="28">
        <f t="shared" si="4"/>
        <v>51.65684291</v>
      </c>
      <c r="U16" s="28">
        <f t="shared" si="10"/>
        <v>51.65684291</v>
      </c>
      <c r="V16" s="23">
        <f t="shared" si="6"/>
        <v>0.977542075</v>
      </c>
      <c r="W16" s="22">
        <f t="shared" si="7"/>
        <v>1</v>
      </c>
      <c r="X16" s="22">
        <f t="shared" si="8"/>
        <v>11</v>
      </c>
      <c r="Y16" s="71"/>
      <c r="Z16" s="70">
        <f t="shared" si="9"/>
        <v>0.0130495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4.13206E-5</v>
      </c>
      <c r="L17" s="24">
        <v>3.63286958397097E-7</v>
      </c>
      <c r="M17" s="23">
        <f t="shared" si="1"/>
        <v>41.3206</v>
      </c>
      <c r="N17" s="23">
        <v>0.045350135</v>
      </c>
      <c r="O17" s="23">
        <v>42.963436127</v>
      </c>
      <c r="P17" s="23">
        <v>0.133985543</v>
      </c>
      <c r="Q17" s="26">
        <f t="shared" si="2"/>
        <v>0.03975828345</v>
      </c>
      <c r="R17" s="27">
        <f t="shared" si="3"/>
        <v>11.61406232</v>
      </c>
      <c r="S17" s="22"/>
      <c r="T17" s="28">
        <f t="shared" si="4"/>
        <v>163.5688527</v>
      </c>
      <c r="U17" s="28">
        <f t="shared" si="10"/>
        <v>163.5688527</v>
      </c>
      <c r="V17" s="23">
        <f t="shared" si="6"/>
        <v>0.961761994</v>
      </c>
      <c r="W17" s="22">
        <f t="shared" si="7"/>
        <v>1</v>
      </c>
      <c r="X17" s="22">
        <f t="shared" si="8"/>
        <v>12</v>
      </c>
      <c r="Y17" s="71"/>
      <c r="Z17" s="70">
        <f t="shared" si="9"/>
        <v>0.0413206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1.018704E-4</v>
      </c>
      <c r="L18" s="24">
        <v>1.05565042423229E-6</v>
      </c>
      <c r="M18" s="23">
        <f t="shared" si="1"/>
        <v>101.8704</v>
      </c>
      <c r="N18" s="23">
        <v>0.111455222</v>
      </c>
      <c r="O18" s="23">
        <v>107.266784668</v>
      </c>
      <c r="P18" s="23">
        <v>0.361317201</v>
      </c>
      <c r="Q18" s="26">
        <f t="shared" si="2"/>
        <v>0.05297303896</v>
      </c>
      <c r="R18" s="27">
        <f t="shared" si="3"/>
        <v>14.27173644</v>
      </c>
      <c r="S18" s="22"/>
      <c r="T18" s="28">
        <f t="shared" si="4"/>
        <v>403.2570788</v>
      </c>
      <c r="U18" s="28">
        <f t="shared" si="10"/>
        <v>403.2570788</v>
      </c>
      <c r="V18" s="23">
        <f t="shared" si="6"/>
        <v>0.9496919323</v>
      </c>
      <c r="W18" s="22">
        <f t="shared" si="7"/>
        <v>1</v>
      </c>
      <c r="X18" s="22">
        <f t="shared" si="8"/>
        <v>13</v>
      </c>
      <c r="Y18" s="71"/>
      <c r="Z18" s="79">
        <f t="shared" si="9"/>
        <v>0.1018704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2.09556E-4</v>
      </c>
      <c r="L19" s="24">
        <v>2.14821137721876E-6</v>
      </c>
      <c r="M19" s="23">
        <f t="shared" si="1"/>
        <v>209.556</v>
      </c>
      <c r="N19" s="23">
        <v>0.228731896</v>
      </c>
      <c r="O19" s="23">
        <v>228.731552124</v>
      </c>
      <c r="P19" s="23">
        <v>0.799952417</v>
      </c>
      <c r="Q19" s="26">
        <f t="shared" si="2"/>
        <v>0.091505622</v>
      </c>
      <c r="R19" s="27">
        <f t="shared" si="3"/>
        <v>23.04723647</v>
      </c>
      <c r="S19" s="22"/>
      <c r="T19" s="28">
        <f t="shared" si="4"/>
        <v>829.5338039</v>
      </c>
      <c r="U19" s="28">
        <f t="shared" si="10"/>
        <v>829.5338039</v>
      </c>
      <c r="V19" s="23">
        <f t="shared" si="6"/>
        <v>0.9161656888</v>
      </c>
      <c r="W19" s="22">
        <f t="shared" si="7"/>
        <v>1</v>
      </c>
      <c r="X19" s="22">
        <f t="shared" si="8"/>
        <v>14</v>
      </c>
      <c r="Y19" s="71"/>
      <c r="Z19" s="79">
        <f t="shared" si="9"/>
        <v>0.209556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1.12859E-7</v>
      </c>
      <c r="L20" s="39">
        <v>8.81011241744853E-10</v>
      </c>
      <c r="M20" s="38">
        <f t="shared" si="1"/>
        <v>0.112859</v>
      </c>
      <c r="N20" s="38">
        <v>1.20608E-4</v>
      </c>
      <c r="O20" s="38">
        <v>0.129770994</v>
      </c>
      <c r="P20" s="38">
        <v>3.00565E-4</v>
      </c>
      <c r="Q20" s="40">
        <f t="shared" si="2"/>
        <v>0.1498506455</v>
      </c>
      <c r="R20" s="41">
        <f t="shared" si="3"/>
        <v>52.21999958</v>
      </c>
      <c r="S20" s="37"/>
      <c r="T20" s="42">
        <f t="shared" si="4"/>
        <v>0.4467557864</v>
      </c>
      <c r="U20" s="42">
        <f t="shared" ref="U20:U26" si="11">K20/$K$21</f>
        <v>0.09222088757</v>
      </c>
      <c r="V20" s="38">
        <f t="shared" si="6"/>
        <v>0.8696781655</v>
      </c>
      <c r="W20" s="37">
        <f t="shared" si="7"/>
        <v>0</v>
      </c>
      <c r="X20" s="37">
        <f t="shared" si="8"/>
        <v>15</v>
      </c>
      <c r="Y20" s="81"/>
      <c r="Z20" s="68">
        <f t="shared" si="9"/>
        <v>0.000112859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1.22379E-6</v>
      </c>
      <c r="L21" s="39">
        <v>1.2243567678375E-8</v>
      </c>
      <c r="M21" s="38">
        <f t="shared" si="1"/>
        <v>1.22379</v>
      </c>
      <c r="N21" s="38">
        <v>0.001386186</v>
      </c>
      <c r="O21" s="38">
        <v>1.281175733</v>
      </c>
      <c r="P21" s="38">
        <v>0.001447502</v>
      </c>
      <c r="Q21" s="40">
        <f t="shared" si="2"/>
        <v>0.04689181396</v>
      </c>
      <c r="R21" s="41">
        <f t="shared" si="3"/>
        <v>28.63289448</v>
      </c>
      <c r="S21" s="37"/>
      <c r="T21" s="42">
        <f t="shared" si="4"/>
        <v>4.844409961</v>
      </c>
      <c r="U21" s="42">
        <f t="shared" si="11"/>
        <v>1</v>
      </c>
      <c r="V21" s="38">
        <f t="shared" si="6"/>
        <v>0.9552085389</v>
      </c>
      <c r="W21" s="37">
        <f t="shared" si="7"/>
        <v>1</v>
      </c>
      <c r="X21" s="37">
        <f t="shared" si="8"/>
        <v>16</v>
      </c>
      <c r="Y21" s="81"/>
      <c r="Z21" s="69">
        <f t="shared" si="9"/>
        <v>0.00122379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1.37473999999999E-5</v>
      </c>
      <c r="L22" s="39">
        <v>1.35203699668464E-7</v>
      </c>
      <c r="M22" s="38">
        <f t="shared" si="1"/>
        <v>13.7474</v>
      </c>
      <c r="N22" s="38">
        <v>0.015353996</v>
      </c>
      <c r="O22" s="38">
        <v>14.327843666</v>
      </c>
      <c r="P22" s="38">
        <v>0.026338063</v>
      </c>
      <c r="Q22" s="40">
        <f t="shared" si="2"/>
        <v>0.04222206861</v>
      </c>
      <c r="R22" s="41">
        <f t="shared" si="3"/>
        <v>19.03924347</v>
      </c>
      <c r="S22" s="37"/>
      <c r="T22" s="42">
        <f t="shared" si="4"/>
        <v>54.4195013</v>
      </c>
      <c r="U22" s="42">
        <f t="shared" si="11"/>
        <v>11.23346326</v>
      </c>
      <c r="V22" s="38">
        <f t="shared" si="6"/>
        <v>0.9594884143</v>
      </c>
      <c r="W22" s="37">
        <f t="shared" si="7"/>
        <v>1</v>
      </c>
      <c r="X22" s="37">
        <f t="shared" si="8"/>
        <v>17</v>
      </c>
      <c r="Y22" s="81"/>
      <c r="Z22" s="70">
        <f t="shared" si="9"/>
        <v>0.0137474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6.37093E-5</v>
      </c>
      <c r="L23" s="39">
        <v>5.24543582266496E-7</v>
      </c>
      <c r="M23" s="38">
        <f t="shared" si="1"/>
        <v>63.7093</v>
      </c>
      <c r="N23" s="38">
        <v>0.070364516</v>
      </c>
      <c r="O23" s="38">
        <v>67.616828918</v>
      </c>
      <c r="P23" s="38">
        <v>0.181636298</v>
      </c>
      <c r="Q23" s="40">
        <f t="shared" si="2"/>
        <v>0.06133372864</v>
      </c>
      <c r="R23" s="41">
        <f t="shared" si="3"/>
        <v>20.06027506</v>
      </c>
      <c r="S23" s="37"/>
      <c r="T23" s="42">
        <f t="shared" si="4"/>
        <v>252.1952031</v>
      </c>
      <c r="U23" s="42">
        <f t="shared" si="11"/>
        <v>52.05901339</v>
      </c>
      <c r="V23" s="38">
        <f t="shared" si="6"/>
        <v>0.9422107043</v>
      </c>
      <c r="W23" s="37">
        <f t="shared" si="7"/>
        <v>1</v>
      </c>
      <c r="X23" s="37">
        <f t="shared" si="8"/>
        <v>18</v>
      </c>
      <c r="Y23" s="81"/>
      <c r="Z23" s="70">
        <f t="shared" si="9"/>
        <v>0.0637093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1.98625E-4</v>
      </c>
      <c r="L24" s="39">
        <v>1.75806223674898E-6</v>
      </c>
      <c r="M24" s="38">
        <f t="shared" si="1"/>
        <v>198.625</v>
      </c>
      <c r="N24" s="38">
        <v>0.21795569</v>
      </c>
      <c r="O24" s="38">
        <v>216.82901001</v>
      </c>
      <c r="P24" s="38">
        <v>0.678301811</v>
      </c>
      <c r="Q24" s="40">
        <f t="shared" si="2"/>
        <v>0.0916501448</v>
      </c>
      <c r="R24" s="41">
        <f t="shared" si="3"/>
        <v>25.55095293</v>
      </c>
      <c r="S24" s="37"/>
      <c r="T24" s="42">
        <f t="shared" si="4"/>
        <v>786.2631077</v>
      </c>
      <c r="U24" s="42">
        <f t="shared" si="11"/>
        <v>162.3031729</v>
      </c>
      <c r="V24" s="38">
        <f t="shared" si="6"/>
        <v>0.9160443983</v>
      </c>
      <c r="W24" s="37">
        <f t="shared" si="7"/>
        <v>1</v>
      </c>
      <c r="X24" s="37">
        <f t="shared" si="8"/>
        <v>19</v>
      </c>
      <c r="Y24" s="81"/>
      <c r="Z24" s="79">
        <f t="shared" si="9"/>
        <v>0.198625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5.32164E-4</v>
      </c>
      <c r="L25" s="39">
        <v>5.06605897472123E-6</v>
      </c>
      <c r="M25" s="38">
        <f t="shared" si="1"/>
        <v>532.164</v>
      </c>
      <c r="N25" s="38">
        <v>0.582666982</v>
      </c>
      <c r="O25" s="38">
        <v>545.426696777</v>
      </c>
      <c r="P25" s="38">
        <v>1.829168334</v>
      </c>
      <c r="Q25" s="40">
        <f t="shared" si="2"/>
        <v>0.02492219838</v>
      </c>
      <c r="R25" s="41">
        <f t="shared" si="3"/>
        <v>6.908631409</v>
      </c>
      <c r="S25" s="37"/>
      <c r="T25" s="42">
        <f t="shared" si="4"/>
        <v>2106.58739</v>
      </c>
      <c r="U25" s="42">
        <f t="shared" si="11"/>
        <v>434.8491163</v>
      </c>
      <c r="V25" s="38">
        <f t="shared" si="6"/>
        <v>0.9756838144</v>
      </c>
      <c r="W25" s="37">
        <f t="shared" si="7"/>
        <v>1</v>
      </c>
      <c r="X25" s="37">
        <f t="shared" si="8"/>
        <v>20</v>
      </c>
      <c r="Y25" s="81"/>
      <c r="Z25" s="79">
        <f t="shared" si="9"/>
        <v>0.532164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0.00113619999999999</v>
      </c>
      <c r="L26" s="39">
        <v>1.1595018087284E-5</v>
      </c>
      <c r="M26" s="38">
        <f t="shared" si="1"/>
        <v>1136.2</v>
      </c>
      <c r="N26" s="38">
        <v>1.241694464</v>
      </c>
      <c r="O26" s="38">
        <v>1159.158813477</v>
      </c>
      <c r="P26" s="38">
        <v>4.049759115</v>
      </c>
      <c r="Q26" s="40">
        <f t="shared" si="2"/>
        <v>0.02020666562</v>
      </c>
      <c r="R26" s="41">
        <f t="shared" si="3"/>
        <v>5.420130322</v>
      </c>
      <c r="S26" s="37"/>
      <c r="T26" s="42">
        <f t="shared" si="4"/>
        <v>4497.68228</v>
      </c>
      <c r="U26" s="42">
        <f t="shared" si="11"/>
        <v>928.4272628</v>
      </c>
      <c r="V26" s="38">
        <f t="shared" si="6"/>
        <v>0.9801935566</v>
      </c>
      <c r="W26" s="37">
        <f t="shared" si="7"/>
        <v>1</v>
      </c>
      <c r="X26" s="37">
        <f t="shared" si="8"/>
        <v>21</v>
      </c>
      <c r="Y26" s="81"/>
      <c r="Z26" s="14">
        <f t="shared" si="9"/>
        <v>1.1362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3.36233999999999E-7</v>
      </c>
      <c r="L27" s="46">
        <v>3.2773548092104E-9</v>
      </c>
      <c r="M27" s="45">
        <f t="shared" si="1"/>
        <v>0.336234</v>
      </c>
      <c r="N27" s="45">
        <v>3.59748E-4</v>
      </c>
      <c r="O27" s="45">
        <v>0.409693092</v>
      </c>
      <c r="P27" s="45">
        <v>9.49935E-4</v>
      </c>
      <c r="Q27" s="47">
        <f t="shared" si="2"/>
        <v>0.218476097</v>
      </c>
      <c r="R27" s="48">
        <f t="shared" si="3"/>
        <v>72.31840174</v>
      </c>
      <c r="S27" s="44"/>
      <c r="T27" s="49">
        <f t="shared" si="4"/>
        <v>1.330992522</v>
      </c>
      <c r="U27" s="49">
        <f t="shared" ref="U27:U33" si="12">K27/$K$28</f>
        <v>0.08902073852</v>
      </c>
      <c r="V27" s="45">
        <f t="shared" si="6"/>
        <v>0.8206972648</v>
      </c>
      <c r="W27" s="44">
        <f t="shared" si="7"/>
        <v>0</v>
      </c>
      <c r="X27" s="44">
        <f t="shared" si="8"/>
        <v>22</v>
      </c>
      <c r="Y27" s="85"/>
      <c r="Z27" s="68">
        <f t="shared" si="9"/>
        <v>0.000336234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3.77703E-6</v>
      </c>
      <c r="L28" s="46">
        <v>3.35096714518074E-8</v>
      </c>
      <c r="M28" s="45">
        <f t="shared" si="1"/>
        <v>3.77703</v>
      </c>
      <c r="N28" s="45">
        <v>0.004275602</v>
      </c>
      <c r="O28" s="45">
        <v>4.042559147</v>
      </c>
      <c r="P28" s="45">
        <v>0.004574822</v>
      </c>
      <c r="Q28" s="47">
        <f t="shared" si="2"/>
        <v>0.07030104262</v>
      </c>
      <c r="R28" s="48">
        <f t="shared" si="3"/>
        <v>42.40480394</v>
      </c>
      <c r="S28" s="44"/>
      <c r="T28" s="49">
        <f t="shared" si="4"/>
        <v>14.95148821</v>
      </c>
      <c r="U28" s="49">
        <f t="shared" si="12"/>
        <v>1</v>
      </c>
      <c r="V28" s="45">
        <f t="shared" si="6"/>
        <v>0.9343165709</v>
      </c>
      <c r="W28" s="44">
        <f t="shared" si="7"/>
        <v>1</v>
      </c>
      <c r="X28" s="44">
        <f t="shared" si="8"/>
        <v>23</v>
      </c>
      <c r="Y28" s="85"/>
      <c r="Z28" s="69">
        <f t="shared" si="9"/>
        <v>0.00377703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4.09283999999999E-5</v>
      </c>
      <c r="L29" s="46">
        <v>3.64635475924971E-7</v>
      </c>
      <c r="M29" s="45">
        <f t="shared" si="1"/>
        <v>40.9284</v>
      </c>
      <c r="N29" s="45">
        <v>0.045709251</v>
      </c>
      <c r="O29" s="45">
        <v>45.183872223</v>
      </c>
      <c r="P29" s="45">
        <v>0.083241285</v>
      </c>
      <c r="Q29" s="47">
        <f t="shared" si="2"/>
        <v>0.1039735788</v>
      </c>
      <c r="R29" s="48">
        <f t="shared" si="3"/>
        <v>44.81071542</v>
      </c>
      <c r="S29" s="44"/>
      <c r="T29" s="49">
        <f t="shared" si="4"/>
        <v>162.0163171</v>
      </c>
      <c r="U29" s="49">
        <f t="shared" si="12"/>
        <v>10.83613315</v>
      </c>
      <c r="V29" s="45">
        <f t="shared" si="6"/>
        <v>0.9058187797</v>
      </c>
      <c r="W29" s="44">
        <f t="shared" si="7"/>
        <v>0</v>
      </c>
      <c r="X29" s="44">
        <f t="shared" si="8"/>
        <v>24</v>
      </c>
      <c r="Y29" s="85"/>
      <c r="Z29" s="70">
        <f t="shared" si="9"/>
        <v>0.0409284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2.09647E-4</v>
      </c>
      <c r="L30" s="46">
        <v>1.84283789714438E-6</v>
      </c>
      <c r="M30" s="45">
        <f t="shared" si="1"/>
        <v>209.647</v>
      </c>
      <c r="N30" s="45">
        <v>0.231466764</v>
      </c>
      <c r="O30" s="45">
        <v>213.588760376</v>
      </c>
      <c r="P30" s="45">
        <v>0.5740604</v>
      </c>
      <c r="Q30" s="47">
        <f t="shared" si="2"/>
        <v>0.01880189259</v>
      </c>
      <c r="R30" s="48">
        <f t="shared" si="3"/>
        <v>6.368271307</v>
      </c>
      <c r="S30" s="44"/>
      <c r="T30" s="49">
        <f t="shared" si="4"/>
        <v>829.8940301</v>
      </c>
      <c r="U30" s="49">
        <f t="shared" si="12"/>
        <v>55.505781</v>
      </c>
      <c r="V30" s="45">
        <f t="shared" si="6"/>
        <v>0.9815450946</v>
      </c>
      <c r="W30" s="44">
        <f t="shared" si="7"/>
        <v>1</v>
      </c>
      <c r="X30" s="44">
        <f t="shared" si="8"/>
        <v>25</v>
      </c>
      <c r="Y30" s="85"/>
      <c r="Z30" s="79">
        <f t="shared" si="9"/>
        <v>0.209647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6.73781999999999E-4</v>
      </c>
      <c r="L31" s="46">
        <v>6.66891446953851E-6</v>
      </c>
      <c r="M31" s="45">
        <f t="shared" si="1"/>
        <v>673.782</v>
      </c>
      <c r="N31" s="45">
        <v>0.740193101</v>
      </c>
      <c r="O31" s="45">
        <v>687.414978027</v>
      </c>
      <c r="P31" s="45">
        <v>2.14376869</v>
      </c>
      <c r="Q31" s="47">
        <f t="shared" si="2"/>
        <v>0.02023351474</v>
      </c>
      <c r="R31" s="48">
        <f t="shared" si="3"/>
        <v>6.011126582</v>
      </c>
      <c r="S31" s="44"/>
      <c r="T31" s="49">
        <f t="shared" si="4"/>
        <v>2667.186554</v>
      </c>
      <c r="U31" s="49">
        <f t="shared" si="12"/>
        <v>178.3893694</v>
      </c>
      <c r="V31" s="45">
        <f t="shared" si="6"/>
        <v>0.9801677612</v>
      </c>
      <c r="W31" s="44">
        <f t="shared" si="7"/>
        <v>1</v>
      </c>
      <c r="X31" s="44">
        <f t="shared" si="8"/>
        <v>26</v>
      </c>
      <c r="Y31" s="85"/>
      <c r="Z31" s="79">
        <f t="shared" si="9"/>
        <v>0.673782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0.00170347</v>
      </c>
      <c r="L32" s="46">
        <v>1.52205702119124E-5</v>
      </c>
      <c r="M32" s="45">
        <f t="shared" si="1"/>
        <v>1703.47</v>
      </c>
      <c r="N32" s="45">
        <v>1.864432994</v>
      </c>
      <c r="O32" s="45">
        <v>1716.268554688</v>
      </c>
      <c r="P32" s="45">
        <v>5.781075218</v>
      </c>
      <c r="Q32" s="47">
        <f t="shared" si="2"/>
        <v>0.007513225762</v>
      </c>
      <c r="R32" s="48">
        <f t="shared" si="3"/>
        <v>2.107005878</v>
      </c>
      <c r="S32" s="44"/>
      <c r="T32" s="49">
        <f t="shared" si="4"/>
        <v>6743.23784</v>
      </c>
      <c r="U32" s="49">
        <f t="shared" si="12"/>
        <v>451.0078024</v>
      </c>
      <c r="V32" s="45">
        <f t="shared" si="6"/>
        <v>0.9925428019</v>
      </c>
      <c r="W32" s="44">
        <f t="shared" si="7"/>
        <v>1</v>
      </c>
      <c r="X32" s="44">
        <f t="shared" si="8"/>
        <v>27</v>
      </c>
      <c r="Y32" s="85"/>
      <c r="Z32" s="14">
        <f t="shared" si="9"/>
        <v>1.70347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0.00370126</v>
      </c>
      <c r="L33" s="46">
        <v>3.12146753882842E-5</v>
      </c>
      <c r="M33" s="45">
        <f t="shared" si="1"/>
        <v>3701.26</v>
      </c>
      <c r="N33" s="45">
        <v>4.041916084</v>
      </c>
      <c r="O33" s="45">
        <v>3659.704833984</v>
      </c>
      <c r="P33" s="45">
        <v>12.799238666</v>
      </c>
      <c r="Q33" s="47">
        <f t="shared" si="2"/>
        <v>-0.0112273026</v>
      </c>
      <c r="R33" s="48">
        <f t="shared" si="3"/>
        <v>-3.095984178</v>
      </c>
      <c r="S33" s="44"/>
      <c r="T33" s="49">
        <f t="shared" si="4"/>
        <v>14651.55036</v>
      </c>
      <c r="U33" s="49">
        <f t="shared" si="12"/>
        <v>979.9392644</v>
      </c>
      <c r="V33" s="45">
        <f t="shared" si="6"/>
        <v>1.011354786</v>
      </c>
      <c r="W33" s="44">
        <f t="shared" si="7"/>
        <v>1</v>
      </c>
      <c r="X33" s="44">
        <f t="shared" si="8"/>
        <v>28</v>
      </c>
      <c r="Y33" s="85"/>
      <c r="Z33" s="14">
        <f t="shared" si="9"/>
        <v>3.70126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7.83855999999999E-7</v>
      </c>
      <c r="L34" s="53">
        <v>7.78822369239791E-9</v>
      </c>
      <c r="M34" s="52">
        <f t="shared" si="1"/>
        <v>0.783856</v>
      </c>
      <c r="N34" s="52">
        <v>8.37627E-4</v>
      </c>
      <c r="O34" s="52">
        <v>0.992939293</v>
      </c>
      <c r="P34" s="52">
        <v>0.002319176</v>
      </c>
      <c r="Q34" s="54">
        <f t="shared" si="2"/>
        <v>0.2667368662</v>
      </c>
      <c r="R34" s="55">
        <f t="shared" si="3"/>
        <v>84.79310343</v>
      </c>
      <c r="S34" s="51"/>
      <c r="T34" s="56">
        <f t="shared" si="4"/>
        <v>3.102917833</v>
      </c>
      <c r="U34" s="56">
        <f t="shared" ref="U34:U40" si="13">K34/$K$35</f>
        <v>0.08922683945</v>
      </c>
      <c r="V34" s="52">
        <f t="shared" si="6"/>
        <v>0.7894299335</v>
      </c>
      <c r="W34" s="51">
        <f t="shared" si="7"/>
        <v>0</v>
      </c>
      <c r="X34" s="51">
        <f t="shared" si="8"/>
        <v>29</v>
      </c>
      <c r="Y34" s="87"/>
      <c r="Z34" s="68">
        <f t="shared" si="9"/>
        <v>0.000783856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8.78498E-6</v>
      </c>
      <c r="L35" s="53">
        <v>8.66142009025066E-8</v>
      </c>
      <c r="M35" s="52">
        <f t="shared" si="1"/>
        <v>8.78498</v>
      </c>
      <c r="N35" s="52">
        <v>0.009958959</v>
      </c>
      <c r="O35" s="52">
        <v>9.866352081</v>
      </c>
      <c r="P35" s="52">
        <v>0.011168999</v>
      </c>
      <c r="Q35" s="54">
        <f t="shared" si="2"/>
        <v>0.1230932889</v>
      </c>
      <c r="R35" s="55">
        <f t="shared" si="3"/>
        <v>72.26392242</v>
      </c>
      <c r="S35" s="51"/>
      <c r="T35" s="56">
        <f t="shared" si="4"/>
        <v>34.7756107</v>
      </c>
      <c r="U35" s="56">
        <f t="shared" si="13"/>
        <v>1</v>
      </c>
      <c r="V35" s="52">
        <f t="shared" si="6"/>
        <v>0.8903979838</v>
      </c>
      <c r="W35" s="51">
        <f t="shared" si="7"/>
        <v>0</v>
      </c>
      <c r="X35" s="51">
        <f t="shared" si="8"/>
        <v>30</v>
      </c>
      <c r="Y35" s="87"/>
      <c r="Z35" s="69">
        <f t="shared" si="9"/>
        <v>0.00878498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1.07839999999999E-4</v>
      </c>
      <c r="L36" s="53">
        <v>9.81443999030165E-7</v>
      </c>
      <c r="M36" s="52">
        <f t="shared" si="1"/>
        <v>107.84</v>
      </c>
      <c r="N36" s="52">
        <v>0.120403709</v>
      </c>
      <c r="O36" s="52">
        <v>109.910003662</v>
      </c>
      <c r="P36" s="52">
        <v>0.203225794</v>
      </c>
      <c r="Q36" s="54">
        <f t="shared" si="2"/>
        <v>0.01919513782</v>
      </c>
      <c r="R36" s="55">
        <f t="shared" si="3"/>
        <v>8.763198865</v>
      </c>
      <c r="S36" s="51"/>
      <c r="T36" s="56">
        <f t="shared" si="4"/>
        <v>426.8879221</v>
      </c>
      <c r="U36" s="56">
        <f t="shared" si="13"/>
        <v>12.2754975</v>
      </c>
      <c r="V36" s="52">
        <f t="shared" si="6"/>
        <v>0.9811663762</v>
      </c>
      <c r="W36" s="51">
        <f t="shared" si="7"/>
        <v>1</v>
      </c>
      <c r="X36" s="51">
        <f t="shared" si="8"/>
        <v>31</v>
      </c>
      <c r="Y36" s="87"/>
      <c r="Z36" s="79">
        <f t="shared" si="9"/>
        <v>0.10784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5.13264E-4</v>
      </c>
      <c r="L37" s="53">
        <v>4.5320301157094E-6</v>
      </c>
      <c r="M37" s="52">
        <f t="shared" si="1"/>
        <v>513.264</v>
      </c>
      <c r="N37" s="52">
        <v>0.566487308</v>
      </c>
      <c r="O37" s="52">
        <v>522.797058105</v>
      </c>
      <c r="P37" s="52">
        <v>1.401514648</v>
      </c>
      <c r="Q37" s="54">
        <f t="shared" si="2"/>
        <v>0.01857340103</v>
      </c>
      <c r="R37" s="55">
        <f t="shared" si="3"/>
        <v>6.306302101</v>
      </c>
      <c r="S37" s="51"/>
      <c r="T37" s="56">
        <f t="shared" si="4"/>
        <v>2031.771165</v>
      </c>
      <c r="U37" s="56">
        <f t="shared" si="13"/>
        <v>58.4251757</v>
      </c>
      <c r="V37" s="52">
        <f t="shared" si="6"/>
        <v>0.9817652797</v>
      </c>
      <c r="W37" s="51">
        <f t="shared" si="7"/>
        <v>1</v>
      </c>
      <c r="X37" s="51">
        <f t="shared" si="8"/>
        <v>32</v>
      </c>
      <c r="Y37" s="87"/>
      <c r="Z37" s="79">
        <f t="shared" si="9"/>
        <v>0.513264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0.00166541</v>
      </c>
      <c r="L38" s="53">
        <v>1.53630114629951E-5</v>
      </c>
      <c r="M38" s="52">
        <f t="shared" si="1"/>
        <v>1665.41</v>
      </c>
      <c r="N38" s="52">
        <v>1.827213693</v>
      </c>
      <c r="O38" s="52">
        <v>1675.058105469</v>
      </c>
      <c r="P38" s="52">
        <v>5.233810276</v>
      </c>
      <c r="Q38" s="54">
        <f t="shared" si="2"/>
        <v>0.005793231378</v>
      </c>
      <c r="R38" s="55">
        <f t="shared" si="3"/>
        <v>1.740404931</v>
      </c>
      <c r="S38" s="51"/>
      <c r="T38" s="56">
        <f t="shared" si="4"/>
        <v>6592.576172</v>
      </c>
      <c r="U38" s="56">
        <f t="shared" si="13"/>
        <v>189.5747059</v>
      </c>
      <c r="V38" s="52">
        <f t="shared" si="6"/>
        <v>0.9942401368</v>
      </c>
      <c r="W38" s="51">
        <f t="shared" si="7"/>
        <v>1</v>
      </c>
      <c r="X38" s="51">
        <f t="shared" si="8"/>
        <v>33</v>
      </c>
      <c r="Y38" s="87"/>
      <c r="Z38" s="14">
        <f t="shared" si="9"/>
        <v>1.66541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0.00429229</v>
      </c>
      <c r="L39" s="53">
        <v>3.7103267029231E-5</v>
      </c>
      <c r="M39" s="52">
        <f t="shared" si="1"/>
        <v>4292.29</v>
      </c>
      <c r="N39" s="52">
        <v>4.697736635</v>
      </c>
      <c r="O39" s="52">
        <v>4212.764648438</v>
      </c>
      <c r="P39" s="52">
        <v>14.113953174</v>
      </c>
      <c r="Q39" s="54">
        <f t="shared" si="2"/>
        <v>-0.01852748802</v>
      </c>
      <c r="R39" s="55">
        <f t="shared" si="3"/>
        <v>-5.34616023</v>
      </c>
      <c r="S39" s="51"/>
      <c r="T39" s="56">
        <f t="shared" si="4"/>
        <v>16991.1606</v>
      </c>
      <c r="U39" s="56">
        <f t="shared" si="13"/>
        <v>488.5941687</v>
      </c>
      <c r="V39" s="52">
        <f t="shared" si="6"/>
        <v>1.018877236</v>
      </c>
      <c r="W39" s="51">
        <f t="shared" si="7"/>
        <v>1</v>
      </c>
      <c r="X39" s="51">
        <f t="shared" si="8"/>
        <v>34</v>
      </c>
      <c r="Y39" s="87"/>
      <c r="Z39" s="14">
        <f t="shared" si="9"/>
        <v>4.29229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0.00949239</v>
      </c>
      <c r="L40" s="53">
        <v>8.67338777846094E-5</v>
      </c>
      <c r="M40" s="52">
        <f t="shared" si="1"/>
        <v>9492.39</v>
      </c>
      <c r="N40" s="52">
        <v>10.363766682</v>
      </c>
      <c r="O40" s="52">
        <v>8928.399414062</v>
      </c>
      <c r="P40" s="52">
        <v>31.24814127</v>
      </c>
      <c r="Q40" s="54">
        <f t="shared" si="2"/>
        <v>-0.05941502466</v>
      </c>
      <c r="R40" s="55">
        <f t="shared" si="3"/>
        <v>-17.13114788</v>
      </c>
      <c r="S40" s="51"/>
      <c r="T40" s="56">
        <f t="shared" si="4"/>
        <v>37575.91472</v>
      </c>
      <c r="U40" s="56">
        <f t="shared" si="13"/>
        <v>1080.524941</v>
      </c>
      <c r="V40" s="52">
        <f t="shared" si="6"/>
        <v>1.063168163</v>
      </c>
      <c r="W40" s="51">
        <f t="shared" si="7"/>
        <v>1</v>
      </c>
      <c r="X40" s="51">
        <f t="shared" si="8"/>
        <v>35</v>
      </c>
      <c r="Y40" s="87"/>
      <c r="Z40" s="14">
        <f t="shared" si="9"/>
        <v>9.49239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1.6619E-6</v>
      </c>
      <c r="L41" s="60">
        <v>1.59895799402819E-8</v>
      </c>
      <c r="M41" s="59">
        <f t="shared" si="1"/>
        <v>1.6619</v>
      </c>
      <c r="N41" s="59">
        <v>0.001783746</v>
      </c>
      <c r="O41" s="59">
        <v>2.076335907</v>
      </c>
      <c r="P41" s="59">
        <v>0.004809043</v>
      </c>
      <c r="Q41" s="61">
        <f t="shared" si="2"/>
        <v>0.249374756</v>
      </c>
      <c r="R41" s="62">
        <f t="shared" si="3"/>
        <v>80.79940092</v>
      </c>
      <c r="S41" s="58"/>
      <c r="T41" s="63">
        <f t="shared" si="4"/>
        <v>6.57868173</v>
      </c>
      <c r="U41" s="63">
        <f t="shared" ref="U41:U47" si="14">K41/$K$42</f>
        <v>0.08487872644</v>
      </c>
      <c r="V41" s="59">
        <f t="shared" si="6"/>
        <v>0.8004003564</v>
      </c>
      <c r="W41" s="58">
        <f t="shared" si="7"/>
        <v>0</v>
      </c>
      <c r="X41" s="58">
        <f t="shared" si="8"/>
        <v>36</v>
      </c>
      <c r="Y41" s="89"/>
      <c r="Z41" s="69">
        <f t="shared" si="9"/>
        <v>0.0016619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1.95797E-5</v>
      </c>
      <c r="L42" s="60">
        <v>1.92161837306921E-7</v>
      </c>
      <c r="M42" s="59">
        <f t="shared" si="1"/>
        <v>19.5797</v>
      </c>
      <c r="N42" s="59">
        <v>0.022146483</v>
      </c>
      <c r="O42" s="59">
        <v>20.498811722</v>
      </c>
      <c r="P42" s="59">
        <v>0.023160036</v>
      </c>
      <c r="Q42" s="61">
        <f t="shared" si="2"/>
        <v>0.04694207378</v>
      </c>
      <c r="R42" s="62">
        <f t="shared" si="3"/>
        <v>28.6822991</v>
      </c>
      <c r="S42" s="58"/>
      <c r="T42" s="63">
        <f t="shared" si="4"/>
        <v>77.50683836</v>
      </c>
      <c r="U42" s="63">
        <f t="shared" si="14"/>
        <v>1</v>
      </c>
      <c r="V42" s="59">
        <f t="shared" si="6"/>
        <v>0.9551626829</v>
      </c>
      <c r="W42" s="58">
        <f t="shared" si="7"/>
        <v>1</v>
      </c>
      <c r="X42" s="58">
        <f t="shared" si="8"/>
        <v>37</v>
      </c>
      <c r="Y42" s="89"/>
      <c r="Z42" s="70">
        <f t="shared" si="9"/>
        <v>0.0195797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2.23448E-4</v>
      </c>
      <c r="L43" s="60">
        <v>2.11275491558612E-6</v>
      </c>
      <c r="M43" s="59">
        <f t="shared" si="1"/>
        <v>223.448</v>
      </c>
      <c r="N43" s="59">
        <v>0.249207558</v>
      </c>
      <c r="O43" s="59">
        <v>229.245498657</v>
      </c>
      <c r="P43" s="59">
        <v>0.421409004</v>
      </c>
      <c r="Q43" s="61">
        <f t="shared" si="2"/>
        <v>0.02594562787</v>
      </c>
      <c r="R43" s="62">
        <f t="shared" si="3"/>
        <v>11.84174594</v>
      </c>
      <c r="S43" s="58"/>
      <c r="T43" s="63">
        <f t="shared" si="4"/>
        <v>884.5257087</v>
      </c>
      <c r="U43" s="63">
        <f t="shared" si="14"/>
        <v>11.41222797</v>
      </c>
      <c r="V43" s="59">
        <f t="shared" si="6"/>
        <v>0.9747105235</v>
      </c>
      <c r="W43" s="58">
        <f t="shared" si="7"/>
        <v>1</v>
      </c>
      <c r="X43" s="58">
        <f t="shared" si="8"/>
        <v>38</v>
      </c>
      <c r="Y43" s="89"/>
      <c r="Z43" s="79">
        <f t="shared" si="9"/>
        <v>0.223448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0.00107838</v>
      </c>
      <c r="L44" s="60">
        <v>9.36119218860072E-6</v>
      </c>
      <c r="M44" s="59">
        <f t="shared" si="1"/>
        <v>1078.38</v>
      </c>
      <c r="N44" s="59">
        <v>1.189640671</v>
      </c>
      <c r="O44" s="59">
        <v>1081.869262695</v>
      </c>
      <c r="P44" s="59">
        <v>2.906180774</v>
      </c>
      <c r="Q44" s="61">
        <f t="shared" si="2"/>
        <v>0.00323565227</v>
      </c>
      <c r="R44" s="62">
        <f t="shared" si="3"/>
        <v>1.111143857</v>
      </c>
      <c r="S44" s="58"/>
      <c r="T44" s="63">
        <f t="shared" si="4"/>
        <v>4268.800051</v>
      </c>
      <c r="U44" s="63">
        <f t="shared" si="14"/>
        <v>55.0764312</v>
      </c>
      <c r="V44" s="59">
        <f t="shared" si="6"/>
        <v>0.9967747834</v>
      </c>
      <c r="W44" s="58">
        <f t="shared" si="7"/>
        <v>1</v>
      </c>
      <c r="X44" s="58">
        <f t="shared" si="8"/>
        <v>39</v>
      </c>
      <c r="Y44" s="89"/>
      <c r="Z44" s="14">
        <f t="shared" si="9"/>
        <v>1.07838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0.00355444999999999</v>
      </c>
      <c r="L45" s="60">
        <v>3.50556195872568E-5</v>
      </c>
      <c r="M45" s="59">
        <f t="shared" si="1"/>
        <v>3554.45</v>
      </c>
      <c r="N45" s="59">
        <v>3.899992749</v>
      </c>
      <c r="O45" s="59">
        <v>3469.264160156</v>
      </c>
      <c r="P45" s="59">
        <v>10.852828972</v>
      </c>
      <c r="Q45" s="61">
        <f t="shared" si="2"/>
        <v>-0.02396596937</v>
      </c>
      <c r="R45" s="62">
        <f t="shared" si="3"/>
        <v>-7.386720158</v>
      </c>
      <c r="S45" s="58"/>
      <c r="T45" s="63">
        <f t="shared" si="4"/>
        <v>14070.39851</v>
      </c>
      <c r="U45" s="63">
        <f t="shared" si="14"/>
        <v>181.5375108</v>
      </c>
      <c r="V45" s="59">
        <f t="shared" si="6"/>
        <v>1.02455444</v>
      </c>
      <c r="W45" s="58">
        <f t="shared" si="7"/>
        <v>1</v>
      </c>
      <c r="X45" s="58">
        <f t="shared" si="8"/>
        <v>40</v>
      </c>
      <c r="Y45" s="89"/>
      <c r="Z45" s="14">
        <f t="shared" si="9"/>
        <v>3.55445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0.00930368999999999</v>
      </c>
      <c r="L46" s="60">
        <v>8.96278157356037E-5</v>
      </c>
      <c r="M46" s="59">
        <f t="shared" si="1"/>
        <v>9303.69</v>
      </c>
      <c r="N46" s="59">
        <v>10.174927595</v>
      </c>
      <c r="O46" s="59">
        <v>8726.827148438</v>
      </c>
      <c r="P46" s="59">
        <v>29.266693283</v>
      </c>
      <c r="Q46" s="61">
        <f t="shared" si="2"/>
        <v>-0.06200366216</v>
      </c>
      <c r="R46" s="62">
        <f t="shared" si="3"/>
        <v>-18.61750439</v>
      </c>
      <c r="S46" s="58"/>
      <c r="T46" s="63">
        <f t="shared" si="4"/>
        <v>36828.94002</v>
      </c>
      <c r="U46" s="63">
        <f t="shared" si="14"/>
        <v>475.1702018</v>
      </c>
      <c r="V46" s="59">
        <f t="shared" si="6"/>
        <v>1.066102243</v>
      </c>
      <c r="W46" s="58">
        <f t="shared" si="7"/>
        <v>1</v>
      </c>
      <c r="X46" s="58">
        <f t="shared" si="8"/>
        <v>41</v>
      </c>
      <c r="Y46" s="89"/>
      <c r="Z46" s="14">
        <f t="shared" si="9"/>
        <v>9.30369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0.0208828</v>
      </c>
      <c r="L47" s="60">
        <v>1.82994618235155E-4</v>
      </c>
      <c r="M47" s="59">
        <f t="shared" si="1"/>
        <v>20882.8</v>
      </c>
      <c r="N47" s="59">
        <v>22.770643632</v>
      </c>
      <c r="O47" s="59">
        <v>18546.541015625</v>
      </c>
      <c r="P47" s="59">
        <v>64.796145662</v>
      </c>
      <c r="Q47" s="61">
        <f t="shared" si="2"/>
        <v>-0.1118747957</v>
      </c>
      <c r="R47" s="62">
        <f t="shared" si="3"/>
        <v>-34.01622226</v>
      </c>
      <c r="S47" s="58"/>
      <c r="T47" s="63">
        <f t="shared" si="4"/>
        <v>82665.19937</v>
      </c>
      <c r="U47" s="63">
        <f t="shared" si="14"/>
        <v>1066.553624</v>
      </c>
      <c r="V47" s="59">
        <f t="shared" si="6"/>
        <v>1.125967369</v>
      </c>
      <c r="W47" s="58">
        <f t="shared" si="7"/>
        <v>0</v>
      </c>
      <c r="X47" s="58">
        <f t="shared" si="8"/>
        <v>42</v>
      </c>
      <c r="Y47" s="89"/>
      <c r="Z47" s="93">
        <f t="shared" si="9"/>
        <v>20.8828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5.09682E-6</v>
      </c>
      <c r="L48" s="96">
        <v>4.43638263781325E-8</v>
      </c>
      <c r="M48" s="95">
        <f t="shared" si="1"/>
        <v>5.09682</v>
      </c>
      <c r="N48" s="95">
        <v>0.005487183</v>
      </c>
      <c r="O48" s="95">
        <v>6.555089474</v>
      </c>
      <c r="P48" s="95">
        <v>0.015198952</v>
      </c>
      <c r="Q48" s="97">
        <f t="shared" si="2"/>
        <v>0.2861135912</v>
      </c>
      <c r="R48" s="98">
        <f t="shared" si="3"/>
        <v>90.2443343</v>
      </c>
      <c r="S48" s="94"/>
      <c r="T48" s="99">
        <f t="shared" si="4"/>
        <v>20.17591709</v>
      </c>
      <c r="U48" s="99">
        <f t="shared" ref="U48:U54" si="15">K48/$K$49</f>
        <v>0.08154103113</v>
      </c>
      <c r="V48" s="95">
        <f t="shared" si="6"/>
        <v>0.7775362976</v>
      </c>
      <c r="W48" s="94">
        <f t="shared" si="7"/>
        <v>0</v>
      </c>
      <c r="X48" s="94">
        <f t="shared" si="8"/>
        <v>43</v>
      </c>
      <c r="Y48" s="100"/>
      <c r="Z48" s="69">
        <f t="shared" si="9"/>
        <v>0.00509682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6.25062E-5</v>
      </c>
      <c r="L49" s="96">
        <v>5.60832317978278E-7</v>
      </c>
      <c r="M49" s="95">
        <f t="shared" si="1"/>
        <v>62.5062</v>
      </c>
      <c r="N49" s="95">
        <v>0.070624329</v>
      </c>
      <c r="O49" s="95">
        <v>64.68094635</v>
      </c>
      <c r="P49" s="95">
        <v>0.073197151</v>
      </c>
      <c r="Q49" s="97">
        <f t="shared" si="2"/>
        <v>0.03479249018</v>
      </c>
      <c r="R49" s="98">
        <f t="shared" si="3"/>
        <v>21.38111628</v>
      </c>
      <c r="S49" s="94"/>
      <c r="T49" s="99">
        <f t="shared" si="4"/>
        <v>247.4326951</v>
      </c>
      <c r="U49" s="99">
        <f t="shared" si="15"/>
        <v>1</v>
      </c>
      <c r="V49" s="95">
        <f t="shared" si="6"/>
        <v>0.9663773264</v>
      </c>
      <c r="W49" s="94">
        <f t="shared" si="7"/>
        <v>1</v>
      </c>
      <c r="X49" s="94">
        <f t="shared" si="8"/>
        <v>44</v>
      </c>
      <c r="Y49" s="100"/>
      <c r="Z49" s="70">
        <f t="shared" si="9"/>
        <v>0.0625062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7.23562E-4</v>
      </c>
      <c r="L50" s="96">
        <v>6.66567841159988E-6</v>
      </c>
      <c r="M50" s="95">
        <f t="shared" si="1"/>
        <v>723.562</v>
      </c>
      <c r="N50" s="95">
        <v>0.807054111</v>
      </c>
      <c r="O50" s="95">
        <v>722.941955566</v>
      </c>
      <c r="P50" s="95">
        <v>1.331860557</v>
      </c>
      <c r="Q50" s="97">
        <f t="shared" si="2"/>
        <v>-0.0008569333851</v>
      </c>
      <c r="R50" s="98">
        <f t="shared" si="3"/>
        <v>-0.3981530336</v>
      </c>
      <c r="S50" s="94"/>
      <c r="T50" s="99">
        <f t="shared" si="4"/>
        <v>2864.242199</v>
      </c>
      <c r="U50" s="99">
        <f t="shared" si="15"/>
        <v>11.57584368</v>
      </c>
      <c r="V50" s="95">
        <f t="shared" si="6"/>
        <v>1.000857668</v>
      </c>
      <c r="W50" s="94">
        <f t="shared" si="7"/>
        <v>1</v>
      </c>
      <c r="X50" s="94">
        <f t="shared" si="8"/>
        <v>45</v>
      </c>
      <c r="Y50" s="100"/>
      <c r="Z50" s="79">
        <f t="shared" si="9"/>
        <v>0.723562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0.00357133</v>
      </c>
      <c r="L51" s="96">
        <v>3.56605927991652E-5</v>
      </c>
      <c r="M51" s="95">
        <f t="shared" si="1"/>
        <v>3571.33</v>
      </c>
      <c r="N51" s="95">
        <v>3.935238296</v>
      </c>
      <c r="O51" s="95">
        <v>3417.419677734</v>
      </c>
      <c r="P51" s="95">
        <v>9.1849664</v>
      </c>
      <c r="Q51" s="97">
        <f t="shared" si="2"/>
        <v>-0.04309607969</v>
      </c>
      <c r="R51" s="98">
        <f t="shared" si="3"/>
        <v>-15.40261101</v>
      </c>
      <c r="S51" s="94"/>
      <c r="T51" s="99">
        <f t="shared" si="4"/>
        <v>14137.2185</v>
      </c>
      <c r="U51" s="99">
        <f t="shared" si="15"/>
        <v>57.13561215</v>
      </c>
      <c r="V51" s="95">
        <f t="shared" si="6"/>
        <v>1.045036998</v>
      </c>
      <c r="W51" s="94">
        <f t="shared" si="7"/>
        <v>1</v>
      </c>
      <c r="X51" s="94">
        <f t="shared" si="8"/>
        <v>46</v>
      </c>
      <c r="Y51" s="100"/>
      <c r="Z51" s="14">
        <f t="shared" si="9"/>
        <v>3.57133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0.0121495</v>
      </c>
      <c r="L52" s="96">
        <v>1.14012005393017E-4</v>
      </c>
      <c r="M52" s="95">
        <f t="shared" si="1"/>
        <v>12149.5</v>
      </c>
      <c r="N52" s="95">
        <v>13.306887376</v>
      </c>
      <c r="O52" s="95">
        <v>10998.639648438</v>
      </c>
      <c r="P52" s="95">
        <v>34.300299037</v>
      </c>
      <c r="Q52" s="97">
        <f t="shared" si="2"/>
        <v>-0.09472491473</v>
      </c>
      <c r="R52" s="98">
        <f t="shared" si="3"/>
        <v>-31.28095906</v>
      </c>
      <c r="S52" s="94"/>
      <c r="T52" s="99">
        <f t="shared" si="4"/>
        <v>48094.16552</v>
      </c>
      <c r="U52" s="99">
        <f t="shared" si="15"/>
        <v>194.3727182</v>
      </c>
      <c r="V52" s="95">
        <f t="shared" si="6"/>
        <v>1.104636609</v>
      </c>
      <c r="W52" s="94">
        <f t="shared" si="7"/>
        <v>1</v>
      </c>
      <c r="X52" s="94">
        <f t="shared" si="8"/>
        <v>47</v>
      </c>
      <c r="Y52" s="100"/>
      <c r="Z52" s="93">
        <f t="shared" si="9"/>
        <v>12.1495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0.0325061999999999</v>
      </c>
      <c r="L53" s="96">
        <v>3.32528665127253E-4</v>
      </c>
      <c r="M53" s="95">
        <f t="shared" si="1"/>
        <v>32506.2</v>
      </c>
      <c r="N53" s="95">
        <v>35.472951492</v>
      </c>
      <c r="O53" s="95">
        <v>27460.296875</v>
      </c>
      <c r="P53" s="95">
        <v>92.497203436</v>
      </c>
      <c r="Q53" s="97">
        <f t="shared" si="2"/>
        <v>-0.1552289448</v>
      </c>
      <c r="R53" s="98">
        <f t="shared" si="3"/>
        <v>-50.93478638</v>
      </c>
      <c r="S53" s="94"/>
      <c r="T53" s="99">
        <f t="shared" si="4"/>
        <v>128676.782</v>
      </c>
      <c r="U53" s="99">
        <f t="shared" si="15"/>
        <v>520.0476113</v>
      </c>
      <c r="V53" s="95">
        <f t="shared" si="6"/>
        <v>1.183752679</v>
      </c>
      <c r="W53" s="94">
        <f t="shared" si="7"/>
        <v>0</v>
      </c>
      <c r="X53" s="94">
        <f t="shared" si="8"/>
        <v>48</v>
      </c>
      <c r="Y53" s="100"/>
      <c r="Z53" s="93">
        <f t="shared" si="9"/>
        <v>32.5062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0.073086</v>
      </c>
      <c r="L54" s="96">
        <v>7.38228838627846E-4</v>
      </c>
      <c r="M54" s="95">
        <f t="shared" si="1"/>
        <v>73086</v>
      </c>
      <c r="N54" s="95">
        <v>79.528165554</v>
      </c>
      <c r="O54" s="95">
        <v>58555.27734375</v>
      </c>
      <c r="P54" s="95">
        <v>204.787818672</v>
      </c>
      <c r="Q54" s="97">
        <f t="shared" si="2"/>
        <v>-0.1988167728</v>
      </c>
      <c r="R54" s="98">
        <f t="shared" si="3"/>
        <v>-66.14256723</v>
      </c>
      <c r="S54" s="94"/>
      <c r="T54" s="99">
        <f t="shared" si="4"/>
        <v>289313.1554</v>
      </c>
      <c r="U54" s="99">
        <f t="shared" si="15"/>
        <v>1169.260009</v>
      </c>
      <c r="V54" s="95">
        <f t="shared" si="6"/>
        <v>1.248153938</v>
      </c>
      <c r="W54" s="94">
        <f t="shared" si="7"/>
        <v>0</v>
      </c>
      <c r="X54" s="94">
        <f t="shared" si="8"/>
        <v>49</v>
      </c>
      <c r="Y54" s="100"/>
      <c r="Z54" s="93">
        <f t="shared" si="9"/>
        <v>73.086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1.20995E-5</v>
      </c>
      <c r="L55" s="103">
        <v>1.10584991766696E-7</v>
      </c>
      <c r="M55" s="102">
        <f t="shared" si="1"/>
        <v>12.0995</v>
      </c>
      <c r="N55" s="102">
        <v>0.013043716</v>
      </c>
      <c r="O55" s="102">
        <v>15.887028694</v>
      </c>
      <c r="P55" s="102">
        <v>0.037106817</v>
      </c>
      <c r="Q55" s="104">
        <f t="shared" si="2"/>
        <v>0.3130318355</v>
      </c>
      <c r="R55" s="106">
        <f t="shared" si="3"/>
        <v>96.29486746</v>
      </c>
      <c r="S55" s="101"/>
      <c r="T55" s="108">
        <f t="shared" si="4"/>
        <v>47.896239</v>
      </c>
      <c r="U55" s="108">
        <f t="shared" ref="U55:U61" si="16">K55/$K$56</f>
        <v>0.07742540298</v>
      </c>
      <c r="V55" s="102">
        <f t="shared" si="6"/>
        <v>0.761596157</v>
      </c>
      <c r="W55" s="101">
        <f t="shared" si="7"/>
        <v>0</v>
      </c>
      <c r="X55" s="101">
        <f t="shared" si="8"/>
        <v>50</v>
      </c>
      <c r="Y55" s="110"/>
      <c r="Z55" s="70">
        <f t="shared" si="9"/>
        <v>0.0120995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1.56273E-4</v>
      </c>
      <c r="L56" s="103">
        <v>1.54578965469615E-6</v>
      </c>
      <c r="M56" s="102">
        <f t="shared" si="1"/>
        <v>156.273</v>
      </c>
      <c r="N56" s="102">
        <v>0.176355648</v>
      </c>
      <c r="O56" s="102">
        <v>157.861663818</v>
      </c>
      <c r="P56" s="102">
        <v>0.178703981</v>
      </c>
      <c r="Q56" s="104">
        <f t="shared" si="2"/>
        <v>0.01016595201</v>
      </c>
      <c r="R56" s="106">
        <f t="shared" si="3"/>
        <v>6.327559079</v>
      </c>
      <c r="S56" s="101"/>
      <c r="T56" s="108">
        <f t="shared" si="4"/>
        <v>618.6114267</v>
      </c>
      <c r="U56" s="108">
        <f t="shared" si="16"/>
        <v>1</v>
      </c>
      <c r="V56" s="102">
        <f t="shared" si="6"/>
        <v>0.9899363545</v>
      </c>
      <c r="W56" s="101">
        <f t="shared" si="7"/>
        <v>1</v>
      </c>
      <c r="X56" s="101">
        <f t="shared" si="8"/>
        <v>51</v>
      </c>
      <c r="Y56" s="110"/>
      <c r="Z56" s="79">
        <f t="shared" si="9"/>
        <v>0.156273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0.00184706</v>
      </c>
      <c r="L57" s="103">
        <v>1.7332645674005E-5</v>
      </c>
      <c r="M57" s="102">
        <f t="shared" si="1"/>
        <v>1847.06</v>
      </c>
      <c r="N57" s="102">
        <v>2.054146768</v>
      </c>
      <c r="O57" s="102">
        <v>1758.560058594</v>
      </c>
      <c r="P57" s="102">
        <v>3.251612694</v>
      </c>
      <c r="Q57" s="104">
        <f t="shared" si="2"/>
        <v>-0.0479139505</v>
      </c>
      <c r="R57" s="106">
        <f t="shared" si="3"/>
        <v>-23.01029225</v>
      </c>
      <c r="S57" s="101"/>
      <c r="T57" s="108">
        <f t="shared" si="4"/>
        <v>7311.643226</v>
      </c>
      <c r="U57" s="108">
        <f t="shared" si="16"/>
        <v>11.81944418</v>
      </c>
      <c r="V57" s="102">
        <f t="shared" si="6"/>
        <v>1.050325231</v>
      </c>
      <c r="W57" s="101">
        <f t="shared" si="7"/>
        <v>1</v>
      </c>
      <c r="X57" s="101">
        <f t="shared" si="8"/>
        <v>52</v>
      </c>
      <c r="Y57" s="110"/>
      <c r="Z57" s="14">
        <f t="shared" si="9"/>
        <v>1.84706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0.0093381</v>
      </c>
      <c r="L58" s="103">
        <v>9.12449804901423E-5</v>
      </c>
      <c r="M58" s="102">
        <f t="shared" si="1"/>
        <v>9338.1</v>
      </c>
      <c r="N58" s="102">
        <v>10.274388324</v>
      </c>
      <c r="O58" s="102">
        <v>8364.752929688</v>
      </c>
      <c r="P58" s="102">
        <v>22.424234372</v>
      </c>
      <c r="Q58" s="104">
        <f t="shared" si="2"/>
        <v>-0.1042339523</v>
      </c>
      <c r="R58" s="106">
        <f t="shared" si="3"/>
        <v>-39.46115466</v>
      </c>
      <c r="S58" s="101"/>
      <c r="T58" s="108">
        <f t="shared" si="4"/>
        <v>36965.15306</v>
      </c>
      <c r="U58" s="108">
        <f t="shared" si="16"/>
        <v>59.75504406</v>
      </c>
      <c r="V58" s="102">
        <f t="shared" si="6"/>
        <v>1.116362919</v>
      </c>
      <c r="W58" s="101">
        <f t="shared" si="7"/>
        <v>0</v>
      </c>
      <c r="X58" s="101">
        <f t="shared" si="8"/>
        <v>53</v>
      </c>
      <c r="Y58" s="110"/>
      <c r="Z58" s="14">
        <f t="shared" si="9"/>
        <v>9.3381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0.0322283</v>
      </c>
      <c r="L59" s="103">
        <v>2.65208341962436E-4</v>
      </c>
      <c r="M59" s="102">
        <f t="shared" si="1"/>
        <v>32228.3</v>
      </c>
      <c r="N59" s="102">
        <v>35.247933573</v>
      </c>
      <c r="O59" s="102">
        <v>26800.9296875</v>
      </c>
      <c r="P59" s="102">
        <v>83.740964388</v>
      </c>
      <c r="Q59" s="104">
        <f t="shared" si="2"/>
        <v>-0.1684038659</v>
      </c>
      <c r="R59" s="106">
        <f t="shared" si="3"/>
        <v>-59.73540492</v>
      </c>
      <c r="S59" s="101"/>
      <c r="T59" s="108">
        <f t="shared" si="4"/>
        <v>127576.7064</v>
      </c>
      <c r="U59" s="108">
        <f t="shared" si="16"/>
        <v>206.2307628</v>
      </c>
      <c r="V59" s="102">
        <f t="shared" si="6"/>
        <v>1.202506793</v>
      </c>
      <c r="W59" s="101">
        <f t="shared" si="7"/>
        <v>0</v>
      </c>
      <c r="X59" s="101">
        <f t="shared" si="8"/>
        <v>54</v>
      </c>
      <c r="Y59" s="110"/>
      <c r="Z59" s="93">
        <f t="shared" si="9"/>
        <v>32.2283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0.0855793999999999</v>
      </c>
      <c r="L60" s="103">
        <v>8.71201214160974E-4</v>
      </c>
      <c r="M60" s="102">
        <f t="shared" si="1"/>
        <v>85579.4</v>
      </c>
      <c r="N60" s="102">
        <v>93.237239088</v>
      </c>
      <c r="O60" s="102">
        <v>67404.234375</v>
      </c>
      <c r="P60" s="102">
        <v>225.823250582</v>
      </c>
      <c r="Q60" s="104">
        <f t="shared" si="2"/>
        <v>-0.2123778108</v>
      </c>
      <c r="R60" s="106">
        <f t="shared" si="3"/>
        <v>-74.39265348</v>
      </c>
      <c r="S60" s="101"/>
      <c r="T60" s="108">
        <f t="shared" si="4"/>
        <v>338768.6595</v>
      </c>
      <c r="U60" s="108">
        <f t="shared" si="16"/>
        <v>547.6275492</v>
      </c>
      <c r="V60" s="102">
        <f t="shared" si="6"/>
        <v>1.269644271</v>
      </c>
      <c r="W60" s="101">
        <f t="shared" si="7"/>
        <v>0</v>
      </c>
      <c r="X60" s="101">
        <f t="shared" si="8"/>
        <v>55</v>
      </c>
      <c r="Y60" s="110"/>
      <c r="Z60" s="93">
        <f t="shared" si="9"/>
        <v>85.5794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0.189491</v>
      </c>
      <c r="L61" s="103">
        <v>0.00174194219946088</v>
      </c>
      <c r="M61" s="102">
        <f t="shared" si="1"/>
        <v>189491</v>
      </c>
      <c r="N61" s="102">
        <v>206.012598208</v>
      </c>
      <c r="O61" s="102">
        <v>142854.390625</v>
      </c>
      <c r="P61" s="102">
        <v>499.970259796</v>
      </c>
      <c r="Q61" s="104">
        <f t="shared" si="2"/>
        <v>-0.2461151684</v>
      </c>
      <c r="R61" s="106">
        <f t="shared" si="3"/>
        <v>-86.2441766</v>
      </c>
      <c r="S61" s="101"/>
      <c r="T61" s="108">
        <f t="shared" si="4"/>
        <v>750105.8907</v>
      </c>
      <c r="U61" s="108">
        <f t="shared" si="16"/>
        <v>1212.563911</v>
      </c>
      <c r="V61" s="102">
        <f t="shared" si="6"/>
        <v>1.326462555</v>
      </c>
      <c r="W61" s="101">
        <f t="shared" si="7"/>
        <v>0</v>
      </c>
      <c r="X61" s="101">
        <f t="shared" si="8"/>
        <v>56</v>
      </c>
      <c r="Y61" s="110"/>
      <c r="Z61" s="115">
        <f t="shared" si="9"/>
        <v>189.491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7.80526E-7</v>
      </c>
      <c r="L62" s="117">
        <v>7.34692432040081E-9</v>
      </c>
      <c r="M62" s="116">
        <f t="shared" si="1"/>
        <v>0.780526</v>
      </c>
      <c r="N62" s="116">
        <v>8.92097E-4</v>
      </c>
      <c r="O62" s="116">
        <v>0.252659947</v>
      </c>
      <c r="P62" s="116">
        <v>2.85926E-4</v>
      </c>
      <c r="Q62" s="118">
        <f t="shared" si="2"/>
        <v>-0.6762952842</v>
      </c>
      <c r="R62" s="119">
        <f t="shared" si="3"/>
        <v>-563.4789786</v>
      </c>
      <c r="T62" s="120">
        <f t="shared" si="4"/>
        <v>3.089735926</v>
      </c>
      <c r="V62" s="1">
        <f t="shared" si="6"/>
        <v>3.089235192</v>
      </c>
      <c r="W62" s="121">
        <f t="shared" si="7"/>
        <v>0</v>
      </c>
      <c r="X62" s="121">
        <f t="shared" si="8"/>
        <v>57</v>
      </c>
      <c r="Z62" s="68">
        <f t="shared" si="9"/>
        <v>0.000780526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7.80526E-7</v>
      </c>
      <c r="L63" s="117">
        <v>7.34692432040081E-9</v>
      </c>
      <c r="M63" s="116">
        <f t="shared" si="1"/>
        <v>0.780526</v>
      </c>
      <c r="N63" s="116">
        <v>8.92097E-4</v>
      </c>
      <c r="O63" s="116">
        <v>0.252659947</v>
      </c>
      <c r="P63" s="116">
        <v>2.85926E-4</v>
      </c>
      <c r="Q63" s="118">
        <f t="shared" si="2"/>
        <v>-0.6762952842</v>
      </c>
      <c r="R63" s="119">
        <f t="shared" si="3"/>
        <v>-563.4789786</v>
      </c>
      <c r="T63" s="120">
        <f t="shared" si="4"/>
        <v>3.089735926</v>
      </c>
      <c r="V63" s="1">
        <f t="shared" si="6"/>
        <v>3.089235192</v>
      </c>
      <c r="W63" s="121">
        <f t="shared" si="7"/>
        <v>0</v>
      </c>
      <c r="X63" s="121">
        <f t="shared" si="8"/>
        <v>58</v>
      </c>
      <c r="Z63" s="68">
        <f t="shared" si="9"/>
        <v>0.000780526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8.65436999999999E-6</v>
      </c>
      <c r="L64" s="117">
        <v>8.95047716125467E-8</v>
      </c>
      <c r="M64" s="116">
        <f t="shared" si="1"/>
        <v>8.65437</v>
      </c>
      <c r="N64" s="116">
        <v>0.009404452</v>
      </c>
      <c r="O64" s="116">
        <v>8.656873703</v>
      </c>
      <c r="P64" s="116">
        <v>0.033021406</v>
      </c>
      <c r="Q64" s="118">
        <f t="shared" si="2"/>
        <v>0.0002892992789</v>
      </c>
      <c r="R64" s="119">
        <f t="shared" si="3"/>
        <v>0.07292093887</v>
      </c>
      <c r="T64" s="120">
        <f t="shared" si="4"/>
        <v>34.25858704</v>
      </c>
      <c r="V64" s="1">
        <f t="shared" si="6"/>
        <v>0.9997107844</v>
      </c>
      <c r="W64" s="121">
        <f t="shared" si="7"/>
        <v>1</v>
      </c>
      <c r="X64" s="121">
        <f t="shared" si="8"/>
        <v>59</v>
      </c>
      <c r="Z64" s="69">
        <f t="shared" si="9"/>
        <v>0.00865437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2.44641E-7</v>
      </c>
      <c r="L65" s="117">
        <v>2.29290054936818E-9</v>
      </c>
      <c r="M65" s="116">
        <f t="shared" si="1"/>
        <v>0.244641</v>
      </c>
      <c r="N65" s="116">
        <v>2.76771E-4</v>
      </c>
      <c r="O65" s="116">
        <v>0.245126024</v>
      </c>
      <c r="P65" s="116">
        <v>3.25318E-4</v>
      </c>
      <c r="Q65" s="118">
        <f t="shared" si="2"/>
        <v>0.001982594904</v>
      </c>
      <c r="R65" s="119">
        <f t="shared" si="3"/>
        <v>1.135560699</v>
      </c>
      <c r="T65" s="120">
        <f t="shared" si="4"/>
        <v>0.9684188442</v>
      </c>
      <c r="V65" s="1">
        <f t="shared" si="6"/>
        <v>0.998021328</v>
      </c>
      <c r="W65" s="121">
        <f t="shared" si="7"/>
        <v>1</v>
      </c>
      <c r="X65" s="121">
        <f t="shared" si="8"/>
        <v>60</v>
      </c>
      <c r="Z65" s="68">
        <f t="shared" si="9"/>
        <v>0.000244641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2.44532E-7</v>
      </c>
      <c r="L66" s="117">
        <v>2.56672097541913E-9</v>
      </c>
      <c r="M66" s="116">
        <f t="shared" si="1"/>
        <v>0.244532</v>
      </c>
      <c r="N66" s="116">
        <v>2.7691E-4</v>
      </c>
      <c r="O66" s="116">
        <v>0.245099962</v>
      </c>
      <c r="P66" s="116">
        <v>3.2533E-4</v>
      </c>
      <c r="Q66" s="118">
        <f t="shared" si="2"/>
        <v>0.002322648978</v>
      </c>
      <c r="R66" s="119">
        <f t="shared" si="3"/>
        <v>1.329430164</v>
      </c>
      <c r="T66" s="120">
        <f t="shared" si="4"/>
        <v>0.9679873644</v>
      </c>
      <c r="V66" s="1">
        <f t="shared" si="6"/>
        <v>0.9976827332</v>
      </c>
      <c r="W66" s="121">
        <f t="shared" si="7"/>
        <v>1</v>
      </c>
      <c r="X66" s="121">
        <f t="shared" si="8"/>
        <v>61</v>
      </c>
      <c r="Z66" s="68">
        <f t="shared" si="9"/>
        <v>0.000244532</v>
      </c>
    </row>
    <row r="67">
      <c r="K67" s="1"/>
      <c r="L67" s="2"/>
      <c r="M67" s="1"/>
      <c r="O67" s="1"/>
      <c r="W67" s="122">
        <f>(SUM(W6:W61)-1)/55</f>
        <v>0.6727272727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46</v>
      </c>
      <c r="W5" s="4">
        <v>0.1</v>
      </c>
      <c r="X5" s="4" t="s">
        <v>2</v>
      </c>
      <c r="Y5" s="4" t="s">
        <v>44</v>
      </c>
    </row>
    <row r="6">
      <c r="A6" s="8"/>
      <c r="B6" s="8">
        <v>1.0</v>
      </c>
      <c r="C6" s="8">
        <v>2.0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1.61095588235294E-9</v>
      </c>
      <c r="L6" s="11">
        <v>2.8373923251767E-11</v>
      </c>
      <c r="M6" s="10">
        <f t="shared" ref="M6:M66" si="1">K6*1000000</f>
        <v>0.001610955882</v>
      </c>
      <c r="N6" s="10">
        <v>1.679E-6</v>
      </c>
      <c r="O6" s="10">
        <v>9.95837E-4</v>
      </c>
      <c r="P6" s="10">
        <v>2.33E-6</v>
      </c>
      <c r="Q6" s="12">
        <f t="shared" ref="Q6:Q66" si="2">(O6-M6)/M6</f>
        <v>-0.3818347163</v>
      </c>
      <c r="R6" s="13">
        <f t="shared" ref="R6:R66" si="3">(O6-M6)/sqrt(N6*N6+P6*P6)</f>
        <v>-214.1836355</v>
      </c>
      <c r="S6" s="8">
        <v>912181.0</v>
      </c>
      <c r="T6" s="14">
        <f t="shared" ref="T6:T66" si="4">K6/$K$14</f>
        <v>0.009867252788</v>
      </c>
      <c r="U6" s="14">
        <f t="shared" ref="U6:U12" si="5">K6/$K$7</f>
        <v>0.1280337075</v>
      </c>
      <c r="V6" s="10">
        <f t="shared" ref="V6:V66" si="6">M6/O6</f>
        <v>1.617690327</v>
      </c>
      <c r="W6" s="8">
        <f t="shared" ref="W6:W66" si="7">IF(abs(1/V6-1)&lt;$W$5, 1, 0)</f>
        <v>0</v>
      </c>
      <c r="X6" s="8">
        <f t="shared" ref="X6:X66" si="8">B6</f>
        <v>1</v>
      </c>
      <c r="Y6" s="86">
        <v>6.589</v>
      </c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2.0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1.25822794117647E-8</v>
      </c>
      <c r="L7" s="11">
        <v>2.62630473851011E-10</v>
      </c>
      <c r="M7" s="10">
        <f t="shared" si="1"/>
        <v>0.01258227941</v>
      </c>
      <c r="N7" s="10">
        <v>1.4161E-5</v>
      </c>
      <c r="O7" s="10">
        <v>0.010207542</v>
      </c>
      <c r="P7" s="10">
        <v>1.1569E-5</v>
      </c>
      <c r="Q7" s="12">
        <f t="shared" si="2"/>
        <v>-0.1887366616</v>
      </c>
      <c r="R7" s="13">
        <f t="shared" si="3"/>
        <v>-129.8668336</v>
      </c>
      <c r="S7" s="8">
        <v>1000000.0</v>
      </c>
      <c r="T7" s="14">
        <f t="shared" si="4"/>
        <v>0.07706761741</v>
      </c>
      <c r="U7" s="14">
        <f t="shared" si="5"/>
        <v>1</v>
      </c>
      <c r="V7" s="10">
        <f t="shared" si="6"/>
        <v>1.232645373</v>
      </c>
      <c r="W7" s="8">
        <f t="shared" si="7"/>
        <v>0</v>
      </c>
      <c r="X7" s="8">
        <f t="shared" si="8"/>
        <v>2</v>
      </c>
      <c r="Y7" s="86">
        <v>6.865</v>
      </c>
      <c r="Z7" s="127">
        <f t="shared" ref="Z7:Z12" si="9">Y7/(H7*H7*F7*C7)</f>
        <v>68.65</v>
      </c>
      <c r="AA7" s="127">
        <f t="shared" ref="AA7:AA12" si="10">Y7/(H7*H7*F7*C7*C7)</f>
        <v>34.325</v>
      </c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2.0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1.27407352941176E-7</v>
      </c>
      <c r="L8" s="11">
        <v>2.35861328854057E-9</v>
      </c>
      <c r="M8" s="10">
        <f t="shared" si="1"/>
        <v>0.1274073529</v>
      </c>
      <c r="N8" s="10">
        <v>1.4192E-4</v>
      </c>
      <c r="O8" s="10">
        <v>0.11496684</v>
      </c>
      <c r="P8" s="10">
        <v>2.10219E-4</v>
      </c>
      <c r="Q8" s="12">
        <f t="shared" si="2"/>
        <v>-0.09764360262</v>
      </c>
      <c r="R8" s="13">
        <f t="shared" si="3"/>
        <v>-49.04788945</v>
      </c>
      <c r="S8" s="8">
        <v>1000000.0</v>
      </c>
      <c r="T8" s="14">
        <f t="shared" si="4"/>
        <v>0.7803817425</v>
      </c>
      <c r="U8" s="14">
        <f t="shared" si="5"/>
        <v>10.12593575</v>
      </c>
      <c r="V8" s="10">
        <f t="shared" si="6"/>
        <v>1.108209575</v>
      </c>
      <c r="W8" s="8">
        <f t="shared" si="7"/>
        <v>1</v>
      </c>
      <c r="X8" s="8">
        <f t="shared" si="8"/>
        <v>3</v>
      </c>
      <c r="Y8" s="86">
        <v>9.025</v>
      </c>
      <c r="Z8" s="127">
        <f t="shared" si="9"/>
        <v>30.08333333</v>
      </c>
      <c r="AA8" s="127">
        <f t="shared" si="10"/>
        <v>15.04166667</v>
      </c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2.0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5.69618382352941E-7</v>
      </c>
      <c r="L9" s="11">
        <v>1.02307322224892E-8</v>
      </c>
      <c r="M9" s="10">
        <f t="shared" si="1"/>
        <v>0.5696183824</v>
      </c>
      <c r="N9" s="10">
        <v>6.28793E-4</v>
      </c>
      <c r="O9" s="10">
        <v>0.541842401</v>
      </c>
      <c r="P9" s="10">
        <v>0.001448805</v>
      </c>
      <c r="Q9" s="12">
        <f t="shared" si="2"/>
        <v>-0.04876243853</v>
      </c>
      <c r="R9" s="13">
        <f t="shared" si="3"/>
        <v>-17.58672291</v>
      </c>
      <c r="S9" s="8">
        <v>1000000.0</v>
      </c>
      <c r="T9" s="14">
        <f t="shared" si="4"/>
        <v>3.488964926</v>
      </c>
      <c r="U9" s="14">
        <f t="shared" si="5"/>
        <v>45.27147774</v>
      </c>
      <c r="V9" s="10">
        <f t="shared" si="6"/>
        <v>1.051262104</v>
      </c>
      <c r="W9" s="8">
        <f t="shared" si="7"/>
        <v>1</v>
      </c>
      <c r="X9" s="8">
        <f t="shared" si="8"/>
        <v>4</v>
      </c>
      <c r="Y9" s="86">
        <v>13.34</v>
      </c>
      <c r="Z9" s="127">
        <f t="shared" si="9"/>
        <v>26.68</v>
      </c>
      <c r="AA9" s="127">
        <f t="shared" si="10"/>
        <v>13.34</v>
      </c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2.0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1.76941176470588E-6</v>
      </c>
      <c r="L10" s="11">
        <v>3.85441489220089E-8</v>
      </c>
      <c r="M10" s="10">
        <f t="shared" si="1"/>
        <v>1.769411765</v>
      </c>
      <c r="N10" s="10">
        <v>0.001942477</v>
      </c>
      <c r="O10" s="10">
        <v>1.739362955</v>
      </c>
      <c r="P10" s="10">
        <v>0.005409427</v>
      </c>
      <c r="Q10" s="12">
        <f t="shared" si="2"/>
        <v>-0.01698237251</v>
      </c>
      <c r="R10" s="13">
        <f t="shared" si="3"/>
        <v>-5.228045353</v>
      </c>
      <c r="S10" s="8">
        <v>1000000.0</v>
      </c>
      <c r="T10" s="14">
        <f t="shared" si="4"/>
        <v>10.83780963</v>
      </c>
      <c r="U10" s="14">
        <f t="shared" si="5"/>
        <v>140.6272828</v>
      </c>
      <c r="V10" s="10">
        <f t="shared" si="6"/>
        <v>1.017275756</v>
      </c>
      <c r="W10" s="8">
        <f t="shared" si="7"/>
        <v>1</v>
      </c>
      <c r="X10" s="8">
        <f t="shared" si="8"/>
        <v>5</v>
      </c>
      <c r="Y10" s="86">
        <v>20.02</v>
      </c>
      <c r="Z10" s="127">
        <f t="shared" si="9"/>
        <v>28.6</v>
      </c>
      <c r="AA10" s="127">
        <f t="shared" si="10"/>
        <v>14.3</v>
      </c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2.0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4.35680882352941E-6</v>
      </c>
      <c r="L11" s="11">
        <v>7.70676004082113E-8</v>
      </c>
      <c r="M11" s="10">
        <f t="shared" si="1"/>
        <v>4.356808824</v>
      </c>
      <c r="N11" s="10">
        <v>0.004771286</v>
      </c>
      <c r="O11" s="10">
        <v>4.380438805</v>
      </c>
      <c r="P11" s="10">
        <v>0.014586246</v>
      </c>
      <c r="Q11" s="12">
        <f t="shared" si="2"/>
        <v>0.005423690235</v>
      </c>
      <c r="R11" s="13">
        <f t="shared" si="3"/>
        <v>1.539735186</v>
      </c>
      <c r="S11" s="8">
        <v>1000000.0</v>
      </c>
      <c r="T11" s="14">
        <f t="shared" si="4"/>
        <v>26.68585433</v>
      </c>
      <c r="U11" s="14">
        <f t="shared" si="5"/>
        <v>346.2654644</v>
      </c>
      <c r="V11" s="10">
        <f t="shared" si="6"/>
        <v>0.9946055675</v>
      </c>
      <c r="W11" s="8">
        <f t="shared" si="7"/>
        <v>1</v>
      </c>
      <c r="X11" s="8">
        <f t="shared" si="8"/>
        <v>6</v>
      </c>
      <c r="Y11" s="86">
        <v>28.78</v>
      </c>
      <c r="Z11" s="127">
        <f t="shared" si="9"/>
        <v>31.97777778</v>
      </c>
      <c r="AA11" s="127">
        <f t="shared" si="10"/>
        <v>15.98888889</v>
      </c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2.0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9.21558823529411E-6</v>
      </c>
      <c r="L12" s="11">
        <v>1.91182227230238E-7</v>
      </c>
      <c r="M12" s="10">
        <f t="shared" si="1"/>
        <v>9.215588235</v>
      </c>
      <c r="N12" s="10">
        <v>0.010077193</v>
      </c>
      <c r="O12" s="10">
        <v>9.301513672</v>
      </c>
      <c r="P12" s="10">
        <v>0.032292044</v>
      </c>
      <c r="Q12" s="12">
        <f t="shared" si="2"/>
        <v>0.009323923174</v>
      </c>
      <c r="R12" s="13">
        <f t="shared" si="3"/>
        <v>2.540076986</v>
      </c>
      <c r="S12" s="8">
        <v>1000000.0</v>
      </c>
      <c r="T12" s="14">
        <f t="shared" si="4"/>
        <v>56.44632464</v>
      </c>
      <c r="U12" s="14">
        <f t="shared" si="5"/>
        <v>732.4259726</v>
      </c>
      <c r="V12" s="10">
        <f t="shared" si="6"/>
        <v>0.9907622093</v>
      </c>
      <c r="W12" s="8">
        <f t="shared" si="7"/>
        <v>1</v>
      </c>
      <c r="X12" s="8">
        <f t="shared" si="8"/>
        <v>7</v>
      </c>
      <c r="Y12" s="86">
        <v>39.87</v>
      </c>
      <c r="Z12" s="127">
        <f t="shared" si="9"/>
        <v>36.24545455</v>
      </c>
      <c r="AA12" s="127">
        <f t="shared" si="10"/>
        <v>18.12272727</v>
      </c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2.0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1.60433088235294E-8</v>
      </c>
      <c r="L13" s="24">
        <v>2.4054892517542E-10</v>
      </c>
      <c r="M13" s="23">
        <f t="shared" si="1"/>
        <v>0.01604330882</v>
      </c>
      <c r="N13" s="23">
        <v>1.7074E-5</v>
      </c>
      <c r="O13" s="23">
        <v>0.015933396</v>
      </c>
      <c r="P13" s="23">
        <v>3.728E-5</v>
      </c>
      <c r="Q13" s="26">
        <f t="shared" si="2"/>
        <v>-0.006851007154</v>
      </c>
      <c r="R13" s="27">
        <f t="shared" si="3"/>
        <v>-2.680545547</v>
      </c>
      <c r="S13" s="22">
        <v>912181.0</v>
      </c>
      <c r="T13" s="28">
        <f t="shared" si="4"/>
        <v>0.09826674055</v>
      </c>
      <c r="U13" s="28">
        <f t="shared" ref="U13:U19" si="11">K13/$K$14</f>
        <v>0.09826674055</v>
      </c>
      <c r="V13" s="23">
        <f t="shared" si="6"/>
        <v>1.006898267</v>
      </c>
      <c r="W13" s="22">
        <f t="shared" si="7"/>
        <v>1</v>
      </c>
      <c r="X13" s="22">
        <f t="shared" si="8"/>
        <v>8</v>
      </c>
      <c r="Y13" s="111">
        <v>26.36</v>
      </c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2.0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1.63262857142857E-7</v>
      </c>
      <c r="L14" s="31">
        <v>4.36836694890747E-9</v>
      </c>
      <c r="M14" s="30">
        <f t="shared" si="1"/>
        <v>0.1632628571</v>
      </c>
      <c r="N14" s="30">
        <v>1.85107E-4</v>
      </c>
      <c r="O14" s="30">
        <v>0.163320675</v>
      </c>
      <c r="P14" s="30">
        <v>1.85107E-4</v>
      </c>
      <c r="Q14" s="32">
        <f t="shared" si="2"/>
        <v>0.0003541396871</v>
      </c>
      <c r="R14" s="34">
        <f t="shared" si="3"/>
        <v>0.2208636025</v>
      </c>
      <c r="S14" s="29">
        <v>1000000.0</v>
      </c>
      <c r="T14" s="35">
        <f t="shared" si="4"/>
        <v>1</v>
      </c>
      <c r="U14" s="35">
        <f t="shared" si="11"/>
        <v>1</v>
      </c>
      <c r="V14" s="30">
        <f t="shared" si="6"/>
        <v>0.9996459857</v>
      </c>
      <c r="W14" s="29">
        <f t="shared" si="7"/>
        <v>1</v>
      </c>
      <c r="X14" s="29">
        <f t="shared" si="8"/>
        <v>9</v>
      </c>
      <c r="Y14" s="131">
        <v>27.46</v>
      </c>
      <c r="Z14" s="132">
        <f t="shared" ref="Z14:Z19" si="12">Y14/(H14*H14*F14*C14)</f>
        <v>68.65</v>
      </c>
      <c r="AA14" s="132">
        <f t="shared" ref="AA14:AA19" si="13">Y14/(H14*H14*F14*C14*C14)</f>
        <v>34.325</v>
      </c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2.0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1.81316176470588E-6</v>
      </c>
      <c r="L15" s="24">
        <v>3.07886993670502E-8</v>
      </c>
      <c r="M15" s="23">
        <f t="shared" si="1"/>
        <v>1.813161765</v>
      </c>
      <c r="N15" s="23">
        <v>0.002026077</v>
      </c>
      <c r="O15" s="23">
        <v>1.839469314</v>
      </c>
      <c r="P15" s="23">
        <v>0.0033635</v>
      </c>
      <c r="Q15" s="26">
        <f t="shared" si="2"/>
        <v>0.01450921247</v>
      </c>
      <c r="R15" s="27">
        <f t="shared" si="3"/>
        <v>6.699843812</v>
      </c>
      <c r="S15" s="22">
        <v>1000000.0</v>
      </c>
      <c r="T15" s="28">
        <f t="shared" si="4"/>
        <v>11.1057824</v>
      </c>
      <c r="U15" s="28">
        <f t="shared" si="11"/>
        <v>11.1057824</v>
      </c>
      <c r="V15" s="23">
        <f t="shared" si="6"/>
        <v>0.985698294</v>
      </c>
      <c r="W15" s="22">
        <f t="shared" si="7"/>
        <v>1</v>
      </c>
      <c r="X15" s="22">
        <f t="shared" si="8"/>
        <v>10</v>
      </c>
      <c r="Y15" s="111">
        <v>36.24</v>
      </c>
      <c r="Z15" s="133">
        <f t="shared" si="12"/>
        <v>30.2</v>
      </c>
      <c r="AA15" s="133">
        <f t="shared" si="13"/>
        <v>15.1</v>
      </c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2.0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8.575375E-6</v>
      </c>
      <c r="L16" s="24">
        <v>1.65015013346148E-7</v>
      </c>
      <c r="M16" s="23">
        <f t="shared" si="1"/>
        <v>8.575375</v>
      </c>
      <c r="N16" s="23">
        <v>0.009476875</v>
      </c>
      <c r="O16" s="23">
        <v>8.669478416</v>
      </c>
      <c r="P16" s="23">
        <v>0.023180875</v>
      </c>
      <c r="Q16" s="26">
        <f t="shared" si="2"/>
        <v>0.0109736794</v>
      </c>
      <c r="R16" s="27">
        <f t="shared" si="3"/>
        <v>3.757636664</v>
      </c>
      <c r="S16" s="22">
        <v>1000000.0</v>
      </c>
      <c r="T16" s="28">
        <f t="shared" si="4"/>
        <v>52.52495975</v>
      </c>
      <c r="U16" s="28">
        <f t="shared" si="11"/>
        <v>52.52495975</v>
      </c>
      <c r="V16" s="23">
        <f t="shared" si="6"/>
        <v>0.9891454351</v>
      </c>
      <c r="W16" s="22">
        <f t="shared" si="7"/>
        <v>1</v>
      </c>
      <c r="X16" s="22">
        <f t="shared" si="8"/>
        <v>11</v>
      </c>
      <c r="Y16" s="111">
        <v>53.88</v>
      </c>
      <c r="Z16" s="133">
        <f t="shared" si="12"/>
        <v>26.94</v>
      </c>
      <c r="AA16" s="133">
        <f t="shared" si="13"/>
        <v>13.47</v>
      </c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2.0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2.7231544117647E-5</v>
      </c>
      <c r="L17" s="24">
        <v>4.3904758651472E-7</v>
      </c>
      <c r="M17" s="23">
        <f t="shared" si="1"/>
        <v>27.23154412</v>
      </c>
      <c r="N17" s="23">
        <v>0.029922271</v>
      </c>
      <c r="O17" s="23">
        <v>27.829807281</v>
      </c>
      <c r="P17" s="23">
        <v>0.086550833</v>
      </c>
      <c r="Q17" s="26">
        <f t="shared" si="2"/>
        <v>0.021969491</v>
      </c>
      <c r="R17" s="27">
        <f t="shared" si="3"/>
        <v>6.532881214</v>
      </c>
      <c r="S17" s="22">
        <v>1000000.0</v>
      </c>
      <c r="T17" s="28">
        <f t="shared" si="4"/>
        <v>166.7957097</v>
      </c>
      <c r="U17" s="28">
        <f t="shared" si="11"/>
        <v>166.7957097</v>
      </c>
      <c r="V17" s="23">
        <f t="shared" si="6"/>
        <v>0.9785027917</v>
      </c>
      <c r="W17" s="22">
        <f t="shared" si="7"/>
        <v>1</v>
      </c>
      <c r="X17" s="22">
        <f t="shared" si="8"/>
        <v>12</v>
      </c>
      <c r="Y17" s="111">
        <v>80.28</v>
      </c>
      <c r="Z17" s="133">
        <f t="shared" si="12"/>
        <v>28.67142857</v>
      </c>
      <c r="AA17" s="133">
        <f t="shared" si="13"/>
        <v>14.33571429</v>
      </c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2.0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6.74194117647058E-5</v>
      </c>
      <c r="L18" s="24">
        <v>1.15913937723664E-6</v>
      </c>
      <c r="M18" s="23">
        <f t="shared" si="1"/>
        <v>67.41941176</v>
      </c>
      <c r="N18" s="23">
        <v>0.073827155</v>
      </c>
      <c r="O18" s="23">
        <v>70.087020874</v>
      </c>
      <c r="P18" s="23">
        <v>0.233379939</v>
      </c>
      <c r="Q18" s="26">
        <f t="shared" si="2"/>
        <v>0.03956737443</v>
      </c>
      <c r="R18" s="27">
        <f t="shared" si="3"/>
        <v>10.89804129</v>
      </c>
      <c r="S18" s="22">
        <v>1000000.0</v>
      </c>
      <c r="T18" s="28">
        <f t="shared" si="4"/>
        <v>412.9500913</v>
      </c>
      <c r="U18" s="28">
        <f t="shared" si="11"/>
        <v>412.9500913</v>
      </c>
      <c r="V18" s="23">
        <f t="shared" si="6"/>
        <v>0.9619386147</v>
      </c>
      <c r="W18" s="22">
        <f t="shared" si="7"/>
        <v>1</v>
      </c>
      <c r="X18" s="22">
        <f t="shared" si="8"/>
        <v>13</v>
      </c>
      <c r="Y18" s="111">
        <v>115.5</v>
      </c>
      <c r="Z18" s="133">
        <f t="shared" si="12"/>
        <v>32.08333333</v>
      </c>
      <c r="AA18" s="133">
        <f t="shared" si="13"/>
        <v>16.04166667</v>
      </c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2.0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1.38688970588235E-4</v>
      </c>
      <c r="L19" s="24">
        <v>2.47597860321388E-6</v>
      </c>
      <c r="M19" s="23">
        <f t="shared" si="1"/>
        <v>138.6889706</v>
      </c>
      <c r="N19" s="23">
        <v>0.151590159</v>
      </c>
      <c r="O19" s="23">
        <v>148.82421875</v>
      </c>
      <c r="P19" s="23">
        <v>0.516672703</v>
      </c>
      <c r="Q19" s="26">
        <f t="shared" si="2"/>
        <v>0.0730789775</v>
      </c>
      <c r="R19" s="27">
        <f t="shared" si="3"/>
        <v>18.82294684</v>
      </c>
      <c r="S19" s="22">
        <v>1000000.0</v>
      </c>
      <c r="T19" s="28">
        <f t="shared" si="4"/>
        <v>849.4826871</v>
      </c>
      <c r="U19" s="28">
        <f t="shared" si="11"/>
        <v>849.4826871</v>
      </c>
      <c r="V19" s="23">
        <f t="shared" si="6"/>
        <v>0.9318978574</v>
      </c>
      <c r="W19" s="22">
        <f t="shared" si="7"/>
        <v>1</v>
      </c>
      <c r="X19" s="22">
        <f t="shared" si="8"/>
        <v>14</v>
      </c>
      <c r="Y19" s="111">
        <v>159.5</v>
      </c>
      <c r="Z19" s="133">
        <f t="shared" si="12"/>
        <v>36.25</v>
      </c>
      <c r="AA19" s="133">
        <f t="shared" si="13"/>
        <v>18.125</v>
      </c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2.0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7.24302205882352E-8</v>
      </c>
      <c r="L20" s="39">
        <v>1.12838295765601E-9</v>
      </c>
      <c r="M20" s="38">
        <f t="shared" si="1"/>
        <v>0.07243022059</v>
      </c>
      <c r="N20" s="38">
        <v>7.747E-5</v>
      </c>
      <c r="O20" s="38">
        <v>0.080419697</v>
      </c>
      <c r="P20" s="38">
        <v>1.88729E-4</v>
      </c>
      <c r="Q20" s="40">
        <f t="shared" si="2"/>
        <v>0.1103058412</v>
      </c>
      <c r="R20" s="41">
        <f t="shared" si="3"/>
        <v>39.16210684</v>
      </c>
      <c r="S20" s="37">
        <v>912181.0</v>
      </c>
      <c r="T20" s="42">
        <f t="shared" si="4"/>
        <v>0.4436417557</v>
      </c>
      <c r="U20" s="42">
        <f t="shared" ref="U20:U26" si="14">K20/$K$21</f>
        <v>0.09015090572</v>
      </c>
      <c r="V20" s="38">
        <f t="shared" si="6"/>
        <v>0.9006527417</v>
      </c>
      <c r="W20" s="37">
        <f t="shared" si="7"/>
        <v>0</v>
      </c>
      <c r="X20" s="37">
        <f t="shared" si="8"/>
        <v>15</v>
      </c>
      <c r="Y20" s="126">
        <v>59.3</v>
      </c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2.0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8.03433088235293E-7</v>
      </c>
      <c r="L21" s="39">
        <v>1.73620746974422E-8</v>
      </c>
      <c r="M21" s="38">
        <f t="shared" si="1"/>
        <v>0.8034330882</v>
      </c>
      <c r="N21" s="38">
        <v>9.11214E-4</v>
      </c>
      <c r="O21" s="38">
        <v>0.829624057</v>
      </c>
      <c r="P21" s="38">
        <v>9.37105E-4</v>
      </c>
      <c r="Q21" s="40">
        <f t="shared" si="2"/>
        <v>0.03259881768</v>
      </c>
      <c r="R21" s="41">
        <f t="shared" si="3"/>
        <v>20.03766115</v>
      </c>
      <c r="S21" s="37">
        <v>1000000.0</v>
      </c>
      <c r="T21" s="42">
        <f t="shared" si="4"/>
        <v>4.921101482</v>
      </c>
      <c r="U21" s="42">
        <f t="shared" si="14"/>
        <v>1</v>
      </c>
      <c r="V21" s="38">
        <f t="shared" si="6"/>
        <v>0.9684303167</v>
      </c>
      <c r="W21" s="37">
        <f t="shared" si="7"/>
        <v>1</v>
      </c>
      <c r="X21" s="37">
        <f t="shared" si="8"/>
        <v>16</v>
      </c>
      <c r="Y21" s="126">
        <v>61.78</v>
      </c>
      <c r="Z21" s="134">
        <f t="shared" ref="Z21:Z26" si="15">Y21/(H21*H21*F21*C21)</f>
        <v>68.64444444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2.0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9.07550735294117E-6</v>
      </c>
      <c r="L22" s="39">
        <v>1.47048996436361E-7</v>
      </c>
      <c r="M22" s="38">
        <f t="shared" si="1"/>
        <v>9.075507353</v>
      </c>
      <c r="N22" s="38">
        <v>0.010152334</v>
      </c>
      <c r="O22" s="38">
        <v>9.292510033</v>
      </c>
      <c r="P22" s="38">
        <v>0.017027718</v>
      </c>
      <c r="Q22" s="40">
        <f t="shared" si="2"/>
        <v>0.02391080428</v>
      </c>
      <c r="R22" s="41">
        <f t="shared" si="3"/>
        <v>10.94615524</v>
      </c>
      <c r="S22" s="37">
        <v>1000000.0</v>
      </c>
      <c r="T22" s="42">
        <f t="shared" si="4"/>
        <v>55.58831636</v>
      </c>
      <c r="U22" s="42">
        <f t="shared" si="14"/>
        <v>11.29590937</v>
      </c>
      <c r="V22" s="38">
        <f t="shared" si="6"/>
        <v>0.9766475711</v>
      </c>
      <c r="W22" s="37">
        <f t="shared" si="7"/>
        <v>1</v>
      </c>
      <c r="X22" s="37">
        <f t="shared" si="8"/>
        <v>17</v>
      </c>
      <c r="Y22" s="126">
        <v>81.54</v>
      </c>
      <c r="Z22" s="134">
        <f t="shared" si="15"/>
        <v>30.2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2.0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4.21453676470588E-5</v>
      </c>
      <c r="L23" s="39">
        <v>8.60074852976943E-7</v>
      </c>
      <c r="M23" s="38">
        <f t="shared" si="1"/>
        <v>42.14536765</v>
      </c>
      <c r="N23" s="38">
        <v>0.046551496</v>
      </c>
      <c r="O23" s="38">
        <v>44.23947525</v>
      </c>
      <c r="P23" s="38">
        <v>0.117353182</v>
      </c>
      <c r="Q23" s="40">
        <f t="shared" si="2"/>
        <v>0.04968772892</v>
      </c>
      <c r="R23" s="41">
        <f t="shared" si="3"/>
        <v>16.58712172</v>
      </c>
      <c r="S23" s="37">
        <v>1000000.0</v>
      </c>
      <c r="T23" s="42">
        <f t="shared" si="4"/>
        <v>258.144249</v>
      </c>
      <c r="U23" s="42">
        <f t="shared" si="14"/>
        <v>52.45659939</v>
      </c>
      <c r="V23" s="38">
        <f t="shared" si="6"/>
        <v>0.9526642757</v>
      </c>
      <c r="W23" s="37">
        <f t="shared" si="7"/>
        <v>1</v>
      </c>
      <c r="X23" s="37">
        <f t="shared" si="8"/>
        <v>18</v>
      </c>
      <c r="Y23" s="126">
        <v>121.2</v>
      </c>
      <c r="Z23" s="134">
        <f t="shared" si="15"/>
        <v>26.93333333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2.0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1.31255882352941E-4</v>
      </c>
      <c r="L24" s="39">
        <v>2.20127117167372E-6</v>
      </c>
      <c r="M24" s="38">
        <f t="shared" si="1"/>
        <v>131.2558824</v>
      </c>
      <c r="N24" s="38">
        <v>0.144188349</v>
      </c>
      <c r="O24" s="38">
        <v>141.253112793</v>
      </c>
      <c r="P24" s="38">
        <v>0.43816359</v>
      </c>
      <c r="Q24" s="40">
        <f t="shared" si="2"/>
        <v>0.07616596118</v>
      </c>
      <c r="R24" s="41">
        <f t="shared" si="3"/>
        <v>21.67288557</v>
      </c>
      <c r="S24" s="37">
        <v>1000000.0</v>
      </c>
      <c r="T24" s="42">
        <f t="shared" si="4"/>
        <v>803.9543387</v>
      </c>
      <c r="U24" s="42">
        <f t="shared" si="14"/>
        <v>163.3687787</v>
      </c>
      <c r="V24" s="38">
        <f t="shared" si="6"/>
        <v>0.929224707</v>
      </c>
      <c r="W24" s="37">
        <f t="shared" si="7"/>
        <v>1</v>
      </c>
      <c r="X24" s="37">
        <f t="shared" si="8"/>
        <v>19</v>
      </c>
      <c r="Y24" s="126">
        <v>180.6</v>
      </c>
      <c r="Z24" s="134">
        <f t="shared" si="15"/>
        <v>28.66666667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2.0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3.50751470588235E-4</v>
      </c>
      <c r="L25" s="39">
        <v>5.11413415855715E-6</v>
      </c>
      <c r="M25" s="38">
        <f t="shared" si="1"/>
        <v>350.7514706</v>
      </c>
      <c r="N25" s="38">
        <v>0.384235611</v>
      </c>
      <c r="O25" s="38">
        <v>353.068054199</v>
      </c>
      <c r="P25" s="38">
        <v>1.18148594</v>
      </c>
      <c r="Q25" s="40">
        <f t="shared" si="2"/>
        <v>0.006604629788</v>
      </c>
      <c r="R25" s="41">
        <f t="shared" si="3"/>
        <v>1.864610763</v>
      </c>
      <c r="S25" s="37">
        <v>1000000.0</v>
      </c>
      <c r="T25" s="42">
        <f t="shared" si="4"/>
        <v>2148.384983</v>
      </c>
      <c r="U25" s="42">
        <f t="shared" si="14"/>
        <v>436.5658768</v>
      </c>
      <c r="V25" s="38">
        <f t="shared" si="6"/>
        <v>0.9934387051</v>
      </c>
      <c r="W25" s="37">
        <f t="shared" si="7"/>
        <v>1</v>
      </c>
      <c r="X25" s="37">
        <f t="shared" si="8"/>
        <v>20</v>
      </c>
      <c r="Y25" s="126">
        <v>259.8</v>
      </c>
      <c r="Z25" s="134">
        <f t="shared" si="15"/>
        <v>32.07407407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2.0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7.50028676470588E-4</v>
      </c>
      <c r="L26" s="39">
        <v>1.47237973568527E-5</v>
      </c>
      <c r="M26" s="38">
        <f t="shared" si="1"/>
        <v>750.0286765</v>
      </c>
      <c r="N26" s="38">
        <v>0.820609496</v>
      </c>
      <c r="O26" s="38">
        <v>755.005859375</v>
      </c>
      <c r="P26" s="38">
        <v>2.615655561</v>
      </c>
      <c r="Q26" s="40">
        <f t="shared" si="2"/>
        <v>0.006635990144</v>
      </c>
      <c r="R26" s="41">
        <f t="shared" si="3"/>
        <v>1.815589026</v>
      </c>
      <c r="S26" s="37">
        <v>1000000.0</v>
      </c>
      <c r="T26" s="42">
        <f t="shared" si="4"/>
        <v>4593.994553</v>
      </c>
      <c r="U26" s="42">
        <f t="shared" si="14"/>
        <v>933.5297332</v>
      </c>
      <c r="V26" s="38">
        <f t="shared" si="6"/>
        <v>0.9934077559</v>
      </c>
      <c r="W26" s="37">
        <f t="shared" si="7"/>
        <v>1</v>
      </c>
      <c r="X26" s="37">
        <f t="shared" si="8"/>
        <v>21</v>
      </c>
      <c r="Y26" s="126">
        <v>358.8</v>
      </c>
      <c r="Z26" s="134">
        <f t="shared" si="15"/>
        <v>36.24242424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2.0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2.18425735294117E-7</v>
      </c>
      <c r="L27" s="46">
        <v>3.2858844307697E-9</v>
      </c>
      <c r="M27" s="45">
        <f t="shared" si="1"/>
        <v>0.2184257353</v>
      </c>
      <c r="N27" s="45">
        <v>2.33971E-4</v>
      </c>
      <c r="O27" s="45">
        <v>0.254934341</v>
      </c>
      <c r="P27" s="45">
        <v>5.96476E-4</v>
      </c>
      <c r="Q27" s="47">
        <f t="shared" si="2"/>
        <v>0.16714425</v>
      </c>
      <c r="R27" s="48">
        <f t="shared" si="3"/>
        <v>56.98032058</v>
      </c>
      <c r="S27" s="44">
        <v>912181.0</v>
      </c>
      <c r="T27" s="49">
        <f t="shared" si="4"/>
        <v>1.337877697</v>
      </c>
      <c r="U27" s="49">
        <f t="shared" ref="U27:U33" si="16">K27/$K$28</f>
        <v>0.08748634218</v>
      </c>
      <c r="V27" s="45">
        <f t="shared" si="6"/>
        <v>0.8567921232</v>
      </c>
      <c r="W27" s="44">
        <f t="shared" si="7"/>
        <v>0</v>
      </c>
      <c r="X27" s="44">
        <f t="shared" si="8"/>
        <v>22</v>
      </c>
      <c r="Y27" s="138">
        <v>105.4</v>
      </c>
      <c r="Z27" s="85"/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2.0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2.49668382352941E-6</v>
      </c>
      <c r="L28" s="46">
        <v>4.66142089616908E-8</v>
      </c>
      <c r="M28" s="45">
        <f t="shared" si="1"/>
        <v>2.496683824</v>
      </c>
      <c r="N28" s="45">
        <v>0.002831821</v>
      </c>
      <c r="O28" s="45">
        <v>2.613130808</v>
      </c>
      <c r="P28" s="45">
        <v>0.002961714</v>
      </c>
      <c r="Q28" s="47">
        <f t="shared" si="2"/>
        <v>0.04664066125</v>
      </c>
      <c r="R28" s="48">
        <f t="shared" si="3"/>
        <v>28.41780194</v>
      </c>
      <c r="S28" s="44">
        <v>1000000.0</v>
      </c>
      <c r="T28" s="49">
        <f t="shared" si="4"/>
        <v>15.29241781</v>
      </c>
      <c r="U28" s="49">
        <f t="shared" si="16"/>
        <v>1</v>
      </c>
      <c r="V28" s="45">
        <f t="shared" si="6"/>
        <v>0.9554377515</v>
      </c>
      <c r="W28" s="44">
        <f t="shared" si="7"/>
        <v>1</v>
      </c>
      <c r="X28" s="44">
        <f t="shared" si="8"/>
        <v>23</v>
      </c>
      <c r="Y28" s="138">
        <v>109.8</v>
      </c>
      <c r="Z28" s="139">
        <f t="shared" ref="Z28:Z33" si="17">Y28/(H28*H28*F28*C28)</f>
        <v>68.625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2.0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2.70654411764705E-5</v>
      </c>
      <c r="L29" s="46">
        <v>4.67552916628155E-7</v>
      </c>
      <c r="M29" s="45">
        <f t="shared" si="1"/>
        <v>27.06544118</v>
      </c>
      <c r="N29" s="45">
        <v>0.030299663</v>
      </c>
      <c r="O29" s="45">
        <v>29.431509018</v>
      </c>
      <c r="P29" s="45">
        <v>0.053815998</v>
      </c>
      <c r="Q29" s="47">
        <f t="shared" si="2"/>
        <v>0.08742025767</v>
      </c>
      <c r="R29" s="48">
        <f t="shared" si="3"/>
        <v>38.31101733</v>
      </c>
      <c r="S29" s="44">
        <v>1000000.0</v>
      </c>
      <c r="T29" s="49">
        <f t="shared" si="4"/>
        <v>165.7783139</v>
      </c>
      <c r="U29" s="49">
        <f t="shared" si="16"/>
        <v>10.84055615</v>
      </c>
      <c r="V29" s="45">
        <f t="shared" si="6"/>
        <v>0.9196076613</v>
      </c>
      <c r="W29" s="44">
        <f t="shared" si="7"/>
        <v>1</v>
      </c>
      <c r="X29" s="44">
        <f t="shared" si="8"/>
        <v>24</v>
      </c>
      <c r="Y29" s="138">
        <v>145.1</v>
      </c>
      <c r="Z29" s="139">
        <f t="shared" si="17"/>
        <v>30.22916667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2.0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1.37846323529411E-4</v>
      </c>
      <c r="L30" s="46">
        <v>2.5169619573115E-6</v>
      </c>
      <c r="M30" s="45">
        <f t="shared" si="1"/>
        <v>137.8463235</v>
      </c>
      <c r="N30" s="45">
        <v>0.152302501</v>
      </c>
      <c r="O30" s="45">
        <v>138.711654663</v>
      </c>
      <c r="P30" s="45">
        <v>0.370894008</v>
      </c>
      <c r="Q30" s="47">
        <f t="shared" si="2"/>
        <v>0.006277506077</v>
      </c>
      <c r="R30" s="48">
        <f t="shared" si="3"/>
        <v>2.158218788</v>
      </c>
      <c r="S30" s="44">
        <v>1000000.0</v>
      </c>
      <c r="T30" s="49">
        <f t="shared" si="4"/>
        <v>844.3213964</v>
      </c>
      <c r="U30" s="49">
        <f t="shared" si="16"/>
        <v>55.2117662</v>
      </c>
      <c r="V30" s="45">
        <f t="shared" si="6"/>
        <v>0.9937616552</v>
      </c>
      <c r="W30" s="44">
        <f t="shared" si="7"/>
        <v>1</v>
      </c>
      <c r="X30" s="44">
        <f t="shared" si="8"/>
        <v>25</v>
      </c>
      <c r="Y30" s="138">
        <v>215.5</v>
      </c>
      <c r="Z30" s="139">
        <f t="shared" si="17"/>
        <v>26.9375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2.0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4.42835294117647E-4</v>
      </c>
      <c r="L31" s="46">
        <v>7.1507423019159E-6</v>
      </c>
      <c r="M31" s="45">
        <f t="shared" si="1"/>
        <v>442.8352941</v>
      </c>
      <c r="N31" s="45">
        <v>0.486947913</v>
      </c>
      <c r="O31" s="45">
        <v>445.276916504</v>
      </c>
      <c r="P31" s="45">
        <v>1.384813322</v>
      </c>
      <c r="Q31" s="47">
        <f t="shared" si="2"/>
        <v>0.005513612891</v>
      </c>
      <c r="R31" s="48">
        <f t="shared" si="3"/>
        <v>1.663306841</v>
      </c>
      <c r="S31" s="44">
        <v>1000000.0</v>
      </c>
      <c r="T31" s="49">
        <f t="shared" si="4"/>
        <v>2712.406863</v>
      </c>
      <c r="U31" s="49">
        <f t="shared" si="16"/>
        <v>177.3693929</v>
      </c>
      <c r="V31" s="45">
        <f t="shared" si="6"/>
        <v>0.9945166203</v>
      </c>
      <c r="W31" s="44">
        <f t="shared" si="7"/>
        <v>1</v>
      </c>
      <c r="X31" s="44">
        <f t="shared" si="8"/>
        <v>26</v>
      </c>
      <c r="Y31" s="138">
        <v>321.1</v>
      </c>
      <c r="Z31" s="139">
        <f t="shared" si="17"/>
        <v>28.66964286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2.0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0.00112383088235294</v>
      </c>
      <c r="L32" s="46">
        <v>1.99605370472762E-5</v>
      </c>
      <c r="M32" s="45">
        <f t="shared" si="1"/>
        <v>1123.830882</v>
      </c>
      <c r="N32" s="45">
        <v>1.231628444</v>
      </c>
      <c r="O32" s="45">
        <v>1121.392333984</v>
      </c>
      <c r="P32" s="45">
        <v>3.734079022</v>
      </c>
      <c r="Q32" s="47">
        <f t="shared" si="2"/>
        <v>-0.002169853496</v>
      </c>
      <c r="R32" s="48">
        <f t="shared" si="3"/>
        <v>-0.6201875606</v>
      </c>
      <c r="S32" s="44">
        <v>1000000.0</v>
      </c>
      <c r="T32" s="49">
        <f t="shared" si="4"/>
        <v>6883.567408</v>
      </c>
      <c r="U32" s="49">
        <f t="shared" si="16"/>
        <v>450.1294364</v>
      </c>
      <c r="V32" s="45">
        <f t="shared" si="6"/>
        <v>1.002174572</v>
      </c>
      <c r="W32" s="44">
        <f t="shared" si="7"/>
        <v>1</v>
      </c>
      <c r="X32" s="44">
        <f t="shared" si="8"/>
        <v>27</v>
      </c>
      <c r="Y32" s="138">
        <v>461.9</v>
      </c>
      <c r="Z32" s="139">
        <f t="shared" si="17"/>
        <v>32.07638889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2.0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0.00243818382352941</v>
      </c>
      <c r="L33" s="46">
        <v>4.24505293263481E-5</v>
      </c>
      <c r="M33" s="45">
        <f t="shared" si="1"/>
        <v>2438.183824</v>
      </c>
      <c r="N33" s="45">
        <v>2.663712174</v>
      </c>
      <c r="O33" s="45">
        <v>2381.1875</v>
      </c>
      <c r="P33" s="45">
        <v>8.266763249</v>
      </c>
      <c r="Q33" s="47">
        <f t="shared" si="2"/>
        <v>-0.02337654896</v>
      </c>
      <c r="R33" s="48">
        <f t="shared" si="3"/>
        <v>-6.562376635</v>
      </c>
      <c r="S33" s="44">
        <v>1000000.0</v>
      </c>
      <c r="T33" s="49">
        <f t="shared" si="4"/>
        <v>14934.09993</v>
      </c>
      <c r="U33" s="49">
        <f t="shared" si="16"/>
        <v>976.5689194</v>
      </c>
      <c r="V33" s="45">
        <f t="shared" si="6"/>
        <v>1.023936092</v>
      </c>
      <c r="W33" s="44">
        <f t="shared" si="7"/>
        <v>1</v>
      </c>
      <c r="X33" s="44">
        <f t="shared" si="8"/>
        <v>28</v>
      </c>
      <c r="Y33" s="138">
        <v>637.9</v>
      </c>
      <c r="Z33" s="139">
        <f t="shared" si="17"/>
        <v>36.24431818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2.0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5.12788970588235E-7</v>
      </c>
      <c r="L34" s="53">
        <v>7.9438555131588E-9</v>
      </c>
      <c r="M34" s="52">
        <f t="shared" si="1"/>
        <v>0.5127889706</v>
      </c>
      <c r="N34" s="52">
        <v>5.48799E-4</v>
      </c>
      <c r="O34" s="52">
        <v>0.618088484</v>
      </c>
      <c r="P34" s="52">
        <v>0.00145624</v>
      </c>
      <c r="Q34" s="54">
        <f t="shared" si="2"/>
        <v>0.2053466815</v>
      </c>
      <c r="R34" s="55">
        <f t="shared" si="3"/>
        <v>67.66371785</v>
      </c>
      <c r="S34" s="51">
        <v>912181.0</v>
      </c>
      <c r="T34" s="56">
        <f t="shared" si="4"/>
        <v>3.140879558</v>
      </c>
      <c r="U34" s="56">
        <f t="shared" ref="U34:U40" si="18">K34/$K$35</f>
        <v>0.08885379493</v>
      </c>
      <c r="V34" s="52">
        <f t="shared" si="6"/>
        <v>0.8296368301</v>
      </c>
      <c r="W34" s="51">
        <f t="shared" si="7"/>
        <v>0</v>
      </c>
      <c r="X34" s="51">
        <f t="shared" si="8"/>
        <v>29</v>
      </c>
      <c r="Y34" s="143">
        <v>164.9</v>
      </c>
      <c r="Z34" s="87"/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2.0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5.7711544117647E-6</v>
      </c>
      <c r="L35" s="53">
        <v>1.05719256361257E-7</v>
      </c>
      <c r="M35" s="52">
        <f t="shared" si="1"/>
        <v>5.771154412</v>
      </c>
      <c r="N35" s="52">
        <v>0.006540561</v>
      </c>
      <c r="O35" s="52">
        <v>6.351967812</v>
      </c>
      <c r="P35" s="52">
        <v>0.007230748</v>
      </c>
      <c r="Q35" s="54">
        <f t="shared" si="2"/>
        <v>0.1006407659</v>
      </c>
      <c r="R35" s="55">
        <f t="shared" si="3"/>
        <v>59.57055664</v>
      </c>
      <c r="S35" s="51">
        <v>1000000.0</v>
      </c>
      <c r="T35" s="56">
        <f t="shared" si="4"/>
        <v>35.348851</v>
      </c>
      <c r="U35" s="56">
        <f t="shared" si="18"/>
        <v>1</v>
      </c>
      <c r="V35" s="52">
        <f t="shared" si="6"/>
        <v>0.9085616588</v>
      </c>
      <c r="W35" s="51">
        <f t="shared" si="7"/>
        <v>0</v>
      </c>
      <c r="X35" s="51">
        <f t="shared" si="8"/>
        <v>30</v>
      </c>
      <c r="Y35" s="143">
        <v>171.6</v>
      </c>
      <c r="Z35" s="144">
        <f t="shared" ref="Z35:Z40" si="19">Y35/(H35*H35*F35*C35)</f>
        <v>68.64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2.0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7.07964705882353E-5</v>
      </c>
      <c r="L36" s="53">
        <v>1.34146549460007E-6</v>
      </c>
      <c r="M36" s="52">
        <f t="shared" si="1"/>
        <v>70.79647059</v>
      </c>
      <c r="N36" s="52">
        <v>0.07913909</v>
      </c>
      <c r="O36" s="52">
        <v>71.461723328</v>
      </c>
      <c r="P36" s="52">
        <v>0.131386714</v>
      </c>
      <c r="Q36" s="54">
        <f t="shared" si="2"/>
        <v>0.009396693567</v>
      </c>
      <c r="R36" s="55">
        <f t="shared" si="3"/>
        <v>4.337281114</v>
      </c>
      <c r="S36" s="51">
        <v>1000000.0</v>
      </c>
      <c r="T36" s="56">
        <f t="shared" si="4"/>
        <v>433.6348869</v>
      </c>
      <c r="U36" s="56">
        <f t="shared" si="18"/>
        <v>12.26729793</v>
      </c>
      <c r="V36" s="52">
        <f t="shared" si="6"/>
        <v>0.9906907823</v>
      </c>
      <c r="W36" s="51">
        <f t="shared" si="7"/>
        <v>1</v>
      </c>
      <c r="X36" s="51">
        <f t="shared" si="8"/>
        <v>31</v>
      </c>
      <c r="Y36" s="143">
        <v>226.8</v>
      </c>
      <c r="Z36" s="144">
        <f t="shared" si="19"/>
        <v>30.24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2.0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3.38216176470588E-4</v>
      </c>
      <c r="L37" s="53">
        <v>6.62092329455123E-6</v>
      </c>
      <c r="M37" s="52">
        <f t="shared" si="1"/>
        <v>338.2161765</v>
      </c>
      <c r="N37" s="52">
        <v>0.373987185</v>
      </c>
      <c r="O37" s="52">
        <v>340.161560059</v>
      </c>
      <c r="P37" s="52">
        <v>0.90550295</v>
      </c>
      <c r="Q37" s="54">
        <f t="shared" si="2"/>
        <v>0.005751893977</v>
      </c>
      <c r="R37" s="55">
        <f t="shared" si="3"/>
        <v>1.98570359</v>
      </c>
      <c r="S37" s="51">
        <v>1000000.0</v>
      </c>
      <c r="T37" s="56">
        <f t="shared" si="4"/>
        <v>2071.605155</v>
      </c>
      <c r="U37" s="56">
        <f t="shared" si="18"/>
        <v>58.60459664</v>
      </c>
      <c r="V37" s="52">
        <f t="shared" si="6"/>
        <v>0.9942810011</v>
      </c>
      <c r="W37" s="51">
        <f t="shared" si="7"/>
        <v>1</v>
      </c>
      <c r="X37" s="51">
        <f t="shared" si="8"/>
        <v>32</v>
      </c>
      <c r="Y37" s="143">
        <v>336.8</v>
      </c>
      <c r="Z37" s="144">
        <f t="shared" si="19"/>
        <v>26.944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2.0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0.00110222794117647</v>
      </c>
      <c r="L38" s="53">
        <v>1.93647128147182E-5</v>
      </c>
      <c r="M38" s="52">
        <f t="shared" si="1"/>
        <v>1102.227941</v>
      </c>
      <c r="N38" s="52">
        <v>1.210781753</v>
      </c>
      <c r="O38" s="52">
        <v>1091.557250977</v>
      </c>
      <c r="P38" s="52">
        <v>3.3808919</v>
      </c>
      <c r="Q38" s="54">
        <f t="shared" si="2"/>
        <v>-0.009681019507</v>
      </c>
      <c r="R38" s="55">
        <f t="shared" si="3"/>
        <v>-2.971377874</v>
      </c>
      <c r="S38" s="51">
        <v>1000000.0</v>
      </c>
      <c r="T38" s="56">
        <f t="shared" si="4"/>
        <v>6751.247408</v>
      </c>
      <c r="U38" s="56">
        <f t="shared" si="18"/>
        <v>190.9891614</v>
      </c>
      <c r="V38" s="52">
        <f t="shared" si="6"/>
        <v>1.009775658</v>
      </c>
      <c r="W38" s="51">
        <f t="shared" si="7"/>
        <v>1</v>
      </c>
      <c r="X38" s="51">
        <f t="shared" si="8"/>
        <v>33</v>
      </c>
      <c r="Y38" s="143">
        <v>501.8</v>
      </c>
      <c r="Z38" s="144">
        <f t="shared" si="19"/>
        <v>28.67428571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2.0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0.00283058088235294</v>
      </c>
      <c r="L39" s="53">
        <v>5.16632335987823E-5</v>
      </c>
      <c r="M39" s="52">
        <f t="shared" si="1"/>
        <v>2830.580882</v>
      </c>
      <c r="N39" s="52">
        <v>3.100267581</v>
      </c>
      <c r="O39" s="52">
        <v>2726.113037109</v>
      </c>
      <c r="P39" s="52">
        <v>9.116403856</v>
      </c>
      <c r="Q39" s="54">
        <f t="shared" si="2"/>
        <v>-0.03690685749</v>
      </c>
      <c r="R39" s="55">
        <f t="shared" si="3"/>
        <v>-10.84912731</v>
      </c>
      <c r="S39" s="51">
        <v>1000000.0</v>
      </c>
      <c r="T39" s="56">
        <f t="shared" si="4"/>
        <v>17337.56797</v>
      </c>
      <c r="U39" s="56">
        <f t="shared" si="18"/>
        <v>490.4704814</v>
      </c>
      <c r="V39" s="52">
        <f t="shared" si="6"/>
        <v>1.038321172</v>
      </c>
      <c r="W39" s="51">
        <f t="shared" si="7"/>
        <v>1</v>
      </c>
      <c r="X39" s="51">
        <f t="shared" si="8"/>
        <v>34</v>
      </c>
      <c r="Y39" s="143">
        <v>721.7</v>
      </c>
      <c r="Z39" s="144">
        <f t="shared" si="19"/>
        <v>32.07555556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2.0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0.00625986029411764</v>
      </c>
      <c r="L40" s="53">
        <v>1.15456592631755E-4</v>
      </c>
      <c r="M40" s="52">
        <f t="shared" si="1"/>
        <v>6259.860294</v>
      </c>
      <c r="N40" s="52">
        <v>6.840046333</v>
      </c>
      <c r="O40" s="52">
        <v>5829.672363281</v>
      </c>
      <c r="P40" s="52">
        <v>20.182527475</v>
      </c>
      <c r="Q40" s="54">
        <f t="shared" si="2"/>
        <v>-0.06872165042</v>
      </c>
      <c r="R40" s="55">
        <f t="shared" si="3"/>
        <v>-20.18703783</v>
      </c>
      <c r="S40" s="51">
        <v>1000000.0</v>
      </c>
      <c r="T40" s="56">
        <f t="shared" si="4"/>
        <v>38342.21943</v>
      </c>
      <c r="U40" s="56">
        <f t="shared" si="18"/>
        <v>1084.680784</v>
      </c>
      <c r="V40" s="52">
        <f t="shared" si="6"/>
        <v>1.073792814</v>
      </c>
      <c r="W40" s="51">
        <f t="shared" si="7"/>
        <v>1</v>
      </c>
      <c r="X40" s="51">
        <f t="shared" si="8"/>
        <v>35</v>
      </c>
      <c r="Y40" s="143">
        <v>996.7</v>
      </c>
      <c r="Z40" s="144">
        <f t="shared" si="19"/>
        <v>36.24363636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2.0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1.08647794117647E-6</v>
      </c>
      <c r="L41" s="60">
        <v>1.60784958351967E-8</v>
      </c>
      <c r="M41" s="59">
        <f t="shared" si="1"/>
        <v>1.086477941</v>
      </c>
      <c r="N41" s="59">
        <v>0.001166524</v>
      </c>
      <c r="O41" s="59">
        <v>1.28671515</v>
      </c>
      <c r="P41" s="59">
        <v>0.00301966</v>
      </c>
      <c r="Q41" s="61">
        <f t="shared" si="2"/>
        <v>0.184299378</v>
      </c>
      <c r="R41" s="62">
        <f t="shared" si="3"/>
        <v>61.85606339</v>
      </c>
      <c r="S41" s="58">
        <v>912181.0</v>
      </c>
      <c r="T41" s="63">
        <f t="shared" si="4"/>
        <v>6.654777211</v>
      </c>
      <c r="U41" s="63">
        <f t="shared" ref="U41:U47" si="20">K41/$K$42</f>
        <v>0.08442569092</v>
      </c>
      <c r="V41" s="59">
        <f t="shared" si="6"/>
        <v>0.8443810902</v>
      </c>
      <c r="W41" s="58">
        <f t="shared" si="7"/>
        <v>0</v>
      </c>
      <c r="X41" s="58">
        <f t="shared" si="8"/>
        <v>36</v>
      </c>
      <c r="Y41" s="147">
        <v>237.4</v>
      </c>
      <c r="Z41" s="89"/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2.0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1.2869044117647E-5</v>
      </c>
      <c r="L42" s="60">
        <v>2.30519152177638E-7</v>
      </c>
      <c r="M42" s="59">
        <f t="shared" si="1"/>
        <v>12.86904412</v>
      </c>
      <c r="N42" s="59">
        <v>0.014579411</v>
      </c>
      <c r="O42" s="59">
        <v>13.273984909</v>
      </c>
      <c r="P42" s="59">
        <v>0.014993679</v>
      </c>
      <c r="Q42" s="61">
        <f t="shared" si="2"/>
        <v>0.03146626802</v>
      </c>
      <c r="R42" s="62">
        <f t="shared" si="3"/>
        <v>19.3627578</v>
      </c>
      <c r="S42" s="58">
        <v>1000000.0</v>
      </c>
      <c r="T42" s="63">
        <f t="shared" si="4"/>
        <v>78.82407758</v>
      </c>
      <c r="U42" s="63">
        <f t="shared" si="20"/>
        <v>1</v>
      </c>
      <c r="V42" s="59">
        <f t="shared" si="6"/>
        <v>0.9694936529</v>
      </c>
      <c r="W42" s="58">
        <f t="shared" si="7"/>
        <v>1</v>
      </c>
      <c r="X42" s="58">
        <f t="shared" si="8"/>
        <v>37</v>
      </c>
      <c r="Y42" s="147">
        <v>247.3</v>
      </c>
      <c r="Z42" s="148">
        <f t="shared" ref="Z42:Z47" si="21">Y42/(H42*H42*F42*C42)</f>
        <v>68.69444444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2.0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1.46802205882352E-4</v>
      </c>
      <c r="L43" s="60">
        <v>2.33607670192964E-6</v>
      </c>
      <c r="M43" s="59">
        <f t="shared" si="1"/>
        <v>146.8022059</v>
      </c>
      <c r="N43" s="59">
        <v>0.163934282</v>
      </c>
      <c r="O43" s="59">
        <v>148.680160522</v>
      </c>
      <c r="P43" s="59">
        <v>0.27244349</v>
      </c>
      <c r="Q43" s="61">
        <f t="shared" si="2"/>
        <v>0.01279241431</v>
      </c>
      <c r="R43" s="62">
        <f t="shared" si="3"/>
        <v>5.906221447</v>
      </c>
      <c r="S43" s="58">
        <v>1000000.0</v>
      </c>
      <c r="T43" s="63">
        <f t="shared" si="4"/>
        <v>899.1769987</v>
      </c>
      <c r="U43" s="63">
        <f t="shared" si="20"/>
        <v>11.40739005</v>
      </c>
      <c r="V43" s="59">
        <f t="shared" si="6"/>
        <v>0.9873691646</v>
      </c>
      <c r="W43" s="58">
        <f t="shared" si="7"/>
        <v>1</v>
      </c>
      <c r="X43" s="58">
        <f t="shared" si="8"/>
        <v>38</v>
      </c>
      <c r="Y43" s="147">
        <v>326.6</v>
      </c>
      <c r="Z43" s="148">
        <f t="shared" si="21"/>
        <v>30.24074074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2.0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7.10158823529411E-4</v>
      </c>
      <c r="L44" s="60">
        <v>1.27815924967827E-5</v>
      </c>
      <c r="M44" s="59">
        <f t="shared" si="1"/>
        <v>710.1588235</v>
      </c>
      <c r="N44" s="59">
        <v>0.784161725</v>
      </c>
      <c r="O44" s="59">
        <v>707.831604004</v>
      </c>
      <c r="P44" s="59">
        <v>1.877650915</v>
      </c>
      <c r="Q44" s="61">
        <f t="shared" si="2"/>
        <v>-0.003277040921</v>
      </c>
      <c r="R44" s="62">
        <f t="shared" si="3"/>
        <v>-1.143699343</v>
      </c>
      <c r="S44" s="58">
        <v>1000000.0</v>
      </c>
      <c r="T44" s="63">
        <f t="shared" si="4"/>
        <v>4349.788041</v>
      </c>
      <c r="U44" s="63">
        <f t="shared" si="20"/>
        <v>55.18349436</v>
      </c>
      <c r="V44" s="59">
        <f t="shared" si="6"/>
        <v>1.003287815</v>
      </c>
      <c r="W44" s="58">
        <f t="shared" si="7"/>
        <v>1</v>
      </c>
      <c r="X44" s="58">
        <f t="shared" si="8"/>
        <v>39</v>
      </c>
      <c r="Y44" s="147">
        <v>485.0</v>
      </c>
      <c r="Z44" s="148">
        <f t="shared" si="21"/>
        <v>26.94444444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2.0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0.002349625</v>
      </c>
      <c r="L45" s="60">
        <v>4.37120099608198E-5</v>
      </c>
      <c r="M45" s="59">
        <f t="shared" si="1"/>
        <v>2349.625</v>
      </c>
      <c r="N45" s="59">
        <v>2.580114994</v>
      </c>
      <c r="O45" s="59">
        <v>2260.049804688</v>
      </c>
      <c r="P45" s="59">
        <v>7.010617434</v>
      </c>
      <c r="Q45" s="61">
        <f t="shared" si="2"/>
        <v>-0.03812318788</v>
      </c>
      <c r="R45" s="62">
        <f t="shared" si="3"/>
        <v>-11.99080357</v>
      </c>
      <c r="S45" s="58">
        <v>1000000.0</v>
      </c>
      <c r="T45" s="63">
        <f t="shared" si="4"/>
        <v>14391.669</v>
      </c>
      <c r="U45" s="63">
        <f t="shared" si="20"/>
        <v>182.5796056</v>
      </c>
      <c r="V45" s="59">
        <f t="shared" si="6"/>
        <v>1.039634169</v>
      </c>
      <c r="W45" s="58">
        <f t="shared" si="7"/>
        <v>1</v>
      </c>
      <c r="X45" s="58">
        <f t="shared" si="8"/>
        <v>40</v>
      </c>
      <c r="Y45" s="147">
        <v>722.5</v>
      </c>
      <c r="Z45" s="148">
        <f t="shared" si="21"/>
        <v>28.67063492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2.0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0.00615671323529411</v>
      </c>
      <c r="L46" s="60">
        <v>1.1254279239394E-4</v>
      </c>
      <c r="M46" s="59">
        <f t="shared" si="1"/>
        <v>6156.713235</v>
      </c>
      <c r="N46" s="59">
        <v>6.736040446</v>
      </c>
      <c r="O46" s="59">
        <v>5649.088378906</v>
      </c>
      <c r="P46" s="59">
        <v>18.903775055</v>
      </c>
      <c r="Q46" s="61">
        <f t="shared" si="2"/>
        <v>-0.08245062536</v>
      </c>
      <c r="R46" s="62">
        <f t="shared" si="3"/>
        <v>-25.29516589</v>
      </c>
      <c r="S46" s="58">
        <v>1000000.0</v>
      </c>
      <c r="T46" s="63">
        <f t="shared" si="4"/>
        <v>37710.43422</v>
      </c>
      <c r="U46" s="63">
        <f t="shared" si="20"/>
        <v>478.4126295</v>
      </c>
      <c r="V46" s="59">
        <f t="shared" si="6"/>
        <v>1.089859606</v>
      </c>
      <c r="W46" s="58">
        <f t="shared" si="7"/>
        <v>1</v>
      </c>
      <c r="X46" s="58">
        <f t="shared" si="8"/>
        <v>41</v>
      </c>
      <c r="Y46" s="147">
        <v>1039.0</v>
      </c>
      <c r="Z46" s="148">
        <f t="shared" si="21"/>
        <v>32.06790123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2.0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0.0138296323529411</v>
      </c>
      <c r="L47" s="60">
        <v>2.75039143579762E-4</v>
      </c>
      <c r="M47" s="59">
        <f t="shared" si="1"/>
        <v>13829.63235</v>
      </c>
      <c r="N47" s="59">
        <v>15.094581707</v>
      </c>
      <c r="O47" s="59">
        <v>12080.09375</v>
      </c>
      <c r="P47" s="59">
        <v>41.850488993</v>
      </c>
      <c r="Q47" s="61">
        <f t="shared" si="2"/>
        <v>-0.1265065157</v>
      </c>
      <c r="R47" s="62">
        <f t="shared" si="3"/>
        <v>-39.32481056</v>
      </c>
      <c r="S47" s="58">
        <v>1000000.0</v>
      </c>
      <c r="T47" s="63">
        <f t="shared" si="4"/>
        <v>84707.76878</v>
      </c>
      <c r="U47" s="63">
        <f t="shared" si="20"/>
        <v>1074.643324</v>
      </c>
      <c r="V47" s="59">
        <f t="shared" si="6"/>
        <v>1.144828231</v>
      </c>
      <c r="W47" s="58">
        <f t="shared" si="7"/>
        <v>0</v>
      </c>
      <c r="X47" s="58">
        <f t="shared" si="8"/>
        <v>42</v>
      </c>
      <c r="Y47" s="147">
        <v>1435.0</v>
      </c>
      <c r="Z47" s="148">
        <f t="shared" si="21"/>
        <v>36.23737374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2.0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3.35610294117647E-6</v>
      </c>
      <c r="L48" s="96">
        <v>4.76024088110962E-8</v>
      </c>
      <c r="M48" s="95">
        <f t="shared" si="1"/>
        <v>3.356102941</v>
      </c>
      <c r="N48" s="95">
        <v>0.003619739</v>
      </c>
      <c r="O48" s="95">
        <v>4.078949451</v>
      </c>
      <c r="P48" s="95">
        <v>0.009543615</v>
      </c>
      <c r="Q48" s="97">
        <f t="shared" si="2"/>
        <v>0.2153826991</v>
      </c>
      <c r="R48" s="98">
        <f t="shared" si="3"/>
        <v>70.81861929</v>
      </c>
      <c r="S48" s="94">
        <v>912181.0</v>
      </c>
      <c r="T48" s="99">
        <f t="shared" si="4"/>
        <v>20.55643886</v>
      </c>
      <c r="U48" s="99">
        <f t="shared" ref="U48:U54" si="22">K48/$K$49</f>
        <v>0.08191390273</v>
      </c>
      <c r="V48" s="95">
        <f t="shared" si="6"/>
        <v>0.8227861074</v>
      </c>
      <c r="W48" s="94">
        <f t="shared" si="7"/>
        <v>0</v>
      </c>
      <c r="X48" s="94">
        <f t="shared" si="8"/>
        <v>43</v>
      </c>
      <c r="Y48" s="149">
        <v>422.1</v>
      </c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2.0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4.09711029411764E-5</v>
      </c>
      <c r="L49" s="96">
        <v>6.51486815527451E-7</v>
      </c>
      <c r="M49" s="95">
        <f t="shared" si="1"/>
        <v>40.97110294</v>
      </c>
      <c r="N49" s="95">
        <v>0.046317418</v>
      </c>
      <c r="O49" s="95">
        <v>41.810092926</v>
      </c>
      <c r="P49" s="95">
        <v>0.047387429</v>
      </c>
      <c r="Q49" s="97">
        <f t="shared" si="2"/>
        <v>0.02047760311</v>
      </c>
      <c r="R49" s="98">
        <f t="shared" si="3"/>
        <v>12.66139058</v>
      </c>
      <c r="S49" s="94">
        <v>1000000.0</v>
      </c>
      <c r="T49" s="99">
        <f t="shared" si="4"/>
        <v>250.9517698</v>
      </c>
      <c r="U49" s="99">
        <f t="shared" si="22"/>
        <v>1</v>
      </c>
      <c r="V49" s="95">
        <f t="shared" si="6"/>
        <v>0.9799333145</v>
      </c>
      <c r="W49" s="94">
        <f t="shared" si="7"/>
        <v>1</v>
      </c>
      <c r="X49" s="94">
        <f t="shared" si="8"/>
        <v>44</v>
      </c>
      <c r="Y49" s="149">
        <v>439.6</v>
      </c>
      <c r="Z49" s="153">
        <f t="shared" ref="Z49:Z54" si="23">Y49/(H49*H49*F49*C49)</f>
        <v>68.6875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2.0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4.76261764705882E-4</v>
      </c>
      <c r="L50" s="96">
        <v>7.76989497830287E-6</v>
      </c>
      <c r="M50" s="95">
        <f t="shared" si="1"/>
        <v>476.2617647</v>
      </c>
      <c r="N50" s="95">
        <v>0.531596383</v>
      </c>
      <c r="O50" s="95">
        <v>470.904144287</v>
      </c>
      <c r="P50" s="95">
        <v>0.861055966</v>
      </c>
      <c r="Q50" s="97">
        <f t="shared" si="2"/>
        <v>-0.01124931879</v>
      </c>
      <c r="R50" s="98">
        <f t="shared" si="3"/>
        <v>-5.294432293</v>
      </c>
      <c r="S50" s="94">
        <v>1000000.0</v>
      </c>
      <c r="T50" s="99">
        <f t="shared" si="4"/>
        <v>2917.147066</v>
      </c>
      <c r="U50" s="99">
        <f t="shared" si="22"/>
        <v>11.62433351</v>
      </c>
      <c r="V50" s="95">
        <f t="shared" si="6"/>
        <v>1.011377306</v>
      </c>
      <c r="W50" s="94">
        <f t="shared" si="7"/>
        <v>1</v>
      </c>
      <c r="X50" s="94">
        <f t="shared" si="8"/>
        <v>45</v>
      </c>
      <c r="Y50" s="149">
        <v>580.5</v>
      </c>
      <c r="Z50" s="153">
        <f t="shared" si="23"/>
        <v>30.234375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2.0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0.0023579044117647</v>
      </c>
      <c r="L51" s="96">
        <v>4.64063978150635E-5</v>
      </c>
      <c r="M51" s="95">
        <f t="shared" si="1"/>
        <v>2357.904412</v>
      </c>
      <c r="N51" s="95">
        <v>2.602265618</v>
      </c>
      <c r="O51" s="95">
        <v>2219.386474609</v>
      </c>
      <c r="P51" s="95">
        <v>5.934304125</v>
      </c>
      <c r="Q51" s="97">
        <f t="shared" si="2"/>
        <v>-0.05874620551</v>
      </c>
      <c r="R51" s="98">
        <f t="shared" si="3"/>
        <v>-21.37689897</v>
      </c>
      <c r="S51" s="94">
        <v>1000000.0</v>
      </c>
      <c r="T51" s="99">
        <f t="shared" si="4"/>
        <v>14442.38116</v>
      </c>
      <c r="U51" s="99">
        <f t="shared" si="22"/>
        <v>57.5504256</v>
      </c>
      <c r="V51" s="95">
        <f t="shared" si="6"/>
        <v>1.062412716</v>
      </c>
      <c r="W51" s="94">
        <f t="shared" si="7"/>
        <v>1</v>
      </c>
      <c r="X51" s="94">
        <f t="shared" si="8"/>
        <v>46</v>
      </c>
      <c r="Y51" s="149">
        <v>862.1</v>
      </c>
      <c r="Z51" s="153">
        <f t="shared" si="23"/>
        <v>26.940625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2.0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0.00803560294117647</v>
      </c>
      <c r="L52" s="96">
        <v>1.1583860288009E-4</v>
      </c>
      <c r="M52" s="95">
        <f t="shared" si="1"/>
        <v>8035.602941</v>
      </c>
      <c r="N52" s="95">
        <v>8.810282421</v>
      </c>
      <c r="O52" s="95">
        <v>7124.430664062</v>
      </c>
      <c r="P52" s="95">
        <v>22.157013138</v>
      </c>
      <c r="Q52" s="97">
        <f t="shared" si="2"/>
        <v>-0.113391899</v>
      </c>
      <c r="R52" s="98">
        <f t="shared" si="3"/>
        <v>-38.21329795</v>
      </c>
      <c r="S52" s="94">
        <v>1000000.0</v>
      </c>
      <c r="T52" s="99">
        <f t="shared" si="4"/>
        <v>49218.8063</v>
      </c>
      <c r="U52" s="99">
        <f t="shared" si="22"/>
        <v>196.1285483</v>
      </c>
      <c r="V52" s="95">
        <f t="shared" si="6"/>
        <v>1.127894048</v>
      </c>
      <c r="W52" s="94">
        <f t="shared" si="7"/>
        <v>0</v>
      </c>
      <c r="X52" s="94">
        <f t="shared" si="8"/>
        <v>47</v>
      </c>
      <c r="Y52" s="149">
        <v>1285.0</v>
      </c>
      <c r="Z52" s="153">
        <f t="shared" si="23"/>
        <v>28.68303571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2.0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0.021522794117647</v>
      </c>
      <c r="L53" s="96">
        <v>3.26132650077576E-4</v>
      </c>
      <c r="M53" s="95">
        <f t="shared" si="1"/>
        <v>21522.79412</v>
      </c>
      <c r="N53" s="95">
        <v>23.508778787</v>
      </c>
      <c r="O53" s="95">
        <v>17942.27734375</v>
      </c>
      <c r="P53" s="95">
        <v>59.74526437</v>
      </c>
      <c r="Q53" s="97">
        <f t="shared" si="2"/>
        <v>-0.1663592912</v>
      </c>
      <c r="R53" s="98">
        <f t="shared" si="3"/>
        <v>-55.76777627</v>
      </c>
      <c r="S53" s="94">
        <v>1000000.0</v>
      </c>
      <c r="T53" s="99">
        <f t="shared" si="4"/>
        <v>131829.0914</v>
      </c>
      <c r="U53" s="99">
        <f t="shared" si="22"/>
        <v>525.3164443</v>
      </c>
      <c r="V53" s="95">
        <f t="shared" si="6"/>
        <v>1.199557543</v>
      </c>
      <c r="W53" s="94">
        <f t="shared" si="7"/>
        <v>0</v>
      </c>
      <c r="X53" s="94">
        <f t="shared" si="8"/>
        <v>48</v>
      </c>
      <c r="Y53" s="149">
        <v>1848.0</v>
      </c>
      <c r="Z53" s="153">
        <f t="shared" si="23"/>
        <v>32.08333333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2.0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0.0484492647058823</v>
      </c>
      <c r="L54" s="96">
        <v>8.24949500005856E-4</v>
      </c>
      <c r="M54" s="95">
        <f t="shared" si="1"/>
        <v>48449.26471</v>
      </c>
      <c r="N54" s="95">
        <v>52.758469281</v>
      </c>
      <c r="O54" s="95">
        <v>38099.0</v>
      </c>
      <c r="P54" s="95">
        <v>132.268212038</v>
      </c>
      <c r="Q54" s="97">
        <f t="shared" si="2"/>
        <v>-0.2136309966</v>
      </c>
      <c r="R54" s="98">
        <f t="shared" si="3"/>
        <v>-72.68341087</v>
      </c>
      <c r="S54" s="94">
        <v>1000000.0</v>
      </c>
      <c r="T54" s="99">
        <f t="shared" si="4"/>
        <v>296756.1977</v>
      </c>
      <c r="U54" s="99">
        <f t="shared" si="22"/>
        <v>1182.522833</v>
      </c>
      <c r="V54" s="95">
        <f t="shared" si="6"/>
        <v>1.271667621</v>
      </c>
      <c r="W54" s="94">
        <f t="shared" si="7"/>
        <v>0</v>
      </c>
      <c r="X54" s="94">
        <f t="shared" si="8"/>
        <v>49</v>
      </c>
      <c r="Y54" s="149">
        <v>2552.0</v>
      </c>
      <c r="Z54" s="153">
        <f t="shared" si="23"/>
        <v>36.25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2.0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7.97375735294117E-6</v>
      </c>
      <c r="L55" s="103">
        <v>9.81264110121549E-8</v>
      </c>
      <c r="M55" s="102">
        <f t="shared" si="1"/>
        <v>7.973757353</v>
      </c>
      <c r="N55" s="102">
        <v>0.008596685</v>
      </c>
      <c r="O55" s="102">
        <v>9.889415741</v>
      </c>
      <c r="P55" s="102">
        <v>0.023299842</v>
      </c>
      <c r="Q55" s="104">
        <f t="shared" si="2"/>
        <v>0.2402453829</v>
      </c>
      <c r="R55" s="106">
        <f t="shared" si="3"/>
        <v>77.13490377</v>
      </c>
      <c r="S55" s="101">
        <v>912181.0</v>
      </c>
      <c r="T55" s="108">
        <f t="shared" si="4"/>
        <v>48.83999639</v>
      </c>
      <c r="U55" s="108">
        <f t="shared" ref="U55:U61" si="24">K55/$K$56</f>
        <v>0.07732966425</v>
      </c>
      <c r="V55" s="102">
        <f t="shared" si="6"/>
        <v>0.8062920563</v>
      </c>
      <c r="W55" s="101">
        <f t="shared" si="7"/>
        <v>0</v>
      </c>
      <c r="X55" s="101">
        <f t="shared" si="8"/>
        <v>50</v>
      </c>
      <c r="Y55" s="157">
        <v>659.5</v>
      </c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2.0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1.03113823529411E-4</v>
      </c>
      <c r="L56" s="103">
        <v>1.85735178216231E-6</v>
      </c>
      <c r="M56" s="102">
        <f t="shared" si="1"/>
        <v>103.1138235</v>
      </c>
      <c r="N56" s="102">
        <v>0.11662215</v>
      </c>
      <c r="O56" s="102">
        <v>101.631484985</v>
      </c>
      <c r="P56" s="102">
        <v>0.115691965</v>
      </c>
      <c r="Q56" s="104">
        <f t="shared" si="2"/>
        <v>-0.01437574996</v>
      </c>
      <c r="R56" s="106">
        <f t="shared" si="3"/>
        <v>-9.023672408</v>
      </c>
      <c r="S56" s="101">
        <v>1000000.0</v>
      </c>
      <c r="T56" s="108">
        <f t="shared" si="4"/>
        <v>631.5816428</v>
      </c>
      <c r="U56" s="108">
        <f t="shared" si="24"/>
        <v>1</v>
      </c>
      <c r="V56" s="102">
        <f t="shared" si="6"/>
        <v>1.014585426</v>
      </c>
      <c r="W56" s="101">
        <f t="shared" si="7"/>
        <v>1</v>
      </c>
      <c r="X56" s="101">
        <f t="shared" si="8"/>
        <v>51</v>
      </c>
      <c r="Y56" s="157">
        <v>687.0</v>
      </c>
      <c r="Z56" s="158">
        <f t="shared" ref="Z56:Z61" si="25">Y56/(H56*H56*F56*C56)</f>
        <v>68.7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2.0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0.00122016911764705</v>
      </c>
      <c r="L57" s="103">
        <v>2.09049188424226E-5</v>
      </c>
      <c r="M57" s="102">
        <f t="shared" si="1"/>
        <v>1220.169118</v>
      </c>
      <c r="N57" s="102">
        <v>1.359560613</v>
      </c>
      <c r="O57" s="102">
        <v>1143.387573242</v>
      </c>
      <c r="P57" s="102">
        <v>2.102187421</v>
      </c>
      <c r="Q57" s="104">
        <f t="shared" si="2"/>
        <v>-0.06292696913</v>
      </c>
      <c r="R57" s="106">
        <f t="shared" si="3"/>
        <v>-30.66947282</v>
      </c>
      <c r="S57" s="101">
        <v>1000000.0</v>
      </c>
      <c r="T57" s="108">
        <f t="shared" si="4"/>
        <v>7473.64795</v>
      </c>
      <c r="U57" s="108">
        <f t="shared" si="24"/>
        <v>11.83322542</v>
      </c>
      <c r="V57" s="102">
        <f t="shared" si="6"/>
        <v>1.067152684</v>
      </c>
      <c r="W57" s="101">
        <f t="shared" si="7"/>
        <v>1</v>
      </c>
      <c r="X57" s="101">
        <f t="shared" si="8"/>
        <v>52</v>
      </c>
      <c r="Y57" s="157">
        <v>907.1</v>
      </c>
      <c r="Z57" s="158">
        <f t="shared" si="25"/>
        <v>30.23666667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2.0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0.00618702205882353</v>
      </c>
      <c r="L58" s="103">
        <v>1.04601357325076E-4</v>
      </c>
      <c r="M58" s="102">
        <f t="shared" si="1"/>
        <v>6187.022059</v>
      </c>
      <c r="N58" s="102">
        <v>6.813183773</v>
      </c>
      <c r="O58" s="102">
        <v>5442.584960938</v>
      </c>
      <c r="P58" s="102">
        <v>14.488047197</v>
      </c>
      <c r="Q58" s="104">
        <f t="shared" si="2"/>
        <v>-0.1203223604</v>
      </c>
      <c r="R58" s="106">
        <f t="shared" si="3"/>
        <v>-46.49799556</v>
      </c>
      <c r="S58" s="101">
        <v>1000000.0</v>
      </c>
      <c r="T58" s="108">
        <f t="shared" si="4"/>
        <v>37896.07855</v>
      </c>
      <c r="U58" s="108">
        <f t="shared" si="24"/>
        <v>60.0018683</v>
      </c>
      <c r="V58" s="102">
        <f t="shared" si="6"/>
        <v>1.13678006</v>
      </c>
      <c r="W58" s="101">
        <f t="shared" si="7"/>
        <v>0</v>
      </c>
      <c r="X58" s="101">
        <f t="shared" si="8"/>
        <v>53</v>
      </c>
      <c r="Y58" s="157">
        <v>1347.0</v>
      </c>
      <c r="Z58" s="158">
        <f t="shared" si="25"/>
        <v>26.94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2.0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0.0213336764705882</v>
      </c>
      <c r="L59" s="103">
        <v>3.73354778795816E-4</v>
      </c>
      <c r="M59" s="102">
        <f t="shared" si="1"/>
        <v>21333.67647</v>
      </c>
      <c r="N59" s="102">
        <v>23.338512298</v>
      </c>
      <c r="O59" s="102">
        <v>17464.916015625</v>
      </c>
      <c r="P59" s="102">
        <v>54.094270398</v>
      </c>
      <c r="Q59" s="104">
        <f t="shared" si="2"/>
        <v>-0.1813452295</v>
      </c>
      <c r="R59" s="106">
        <f t="shared" si="3"/>
        <v>-65.66777106</v>
      </c>
      <c r="S59" s="101">
        <v>1000000.0</v>
      </c>
      <c r="T59" s="108">
        <f t="shared" si="4"/>
        <v>130670.7284</v>
      </c>
      <c r="U59" s="108">
        <f t="shared" si="24"/>
        <v>206.894437</v>
      </c>
      <c r="V59" s="102">
        <f t="shared" si="6"/>
        <v>1.221516121</v>
      </c>
      <c r="W59" s="101">
        <f t="shared" si="7"/>
        <v>0</v>
      </c>
      <c r="X59" s="101">
        <f t="shared" si="8"/>
        <v>54</v>
      </c>
      <c r="Y59" s="157">
        <v>2007.0</v>
      </c>
      <c r="Z59" s="158">
        <f t="shared" si="25"/>
        <v>28.67142857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2.0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0.0569016911764705</v>
      </c>
      <c r="L60" s="103">
        <v>0.00102710708817933</v>
      </c>
      <c r="M60" s="102">
        <f t="shared" si="1"/>
        <v>56901.69118</v>
      </c>
      <c r="N60" s="102">
        <v>62.02945928</v>
      </c>
      <c r="O60" s="102">
        <v>43617.80859375</v>
      </c>
      <c r="P60" s="102">
        <v>145.862461727</v>
      </c>
      <c r="Q60" s="104">
        <f t="shared" si="2"/>
        <v>-0.2334532122</v>
      </c>
      <c r="R60" s="106">
        <f t="shared" si="3"/>
        <v>-83.80788049</v>
      </c>
      <c r="S60" s="101">
        <v>1000000.0</v>
      </c>
      <c r="T60" s="108">
        <f t="shared" si="4"/>
        <v>348528.0864</v>
      </c>
      <c r="U60" s="108">
        <f t="shared" si="24"/>
        <v>551.8337816</v>
      </c>
      <c r="V60" s="102">
        <f t="shared" si="6"/>
        <v>1.304551811</v>
      </c>
      <c r="W60" s="101">
        <f t="shared" si="7"/>
        <v>0</v>
      </c>
      <c r="X60" s="101">
        <f t="shared" si="8"/>
        <v>55</v>
      </c>
      <c r="Y60" s="157">
        <v>2887.0</v>
      </c>
      <c r="Z60" s="158">
        <f t="shared" si="25"/>
        <v>32.07777778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2.0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0.125494852941176</v>
      </c>
      <c r="L61" s="103">
        <v>0.00213622442478039</v>
      </c>
      <c r="M61" s="102">
        <f t="shared" si="1"/>
        <v>125494.8529</v>
      </c>
      <c r="N61" s="102">
        <v>136.505596038</v>
      </c>
      <c r="O61" s="102">
        <v>93274.7578125</v>
      </c>
      <c r="P61" s="102">
        <v>322.920439371</v>
      </c>
      <c r="Q61" s="104">
        <f t="shared" si="2"/>
        <v>-0.2567443554</v>
      </c>
      <c r="R61" s="106">
        <f t="shared" si="3"/>
        <v>-91.90322613</v>
      </c>
      <c r="S61" s="101">
        <v>1000000.0</v>
      </c>
      <c r="T61" s="108">
        <f t="shared" si="4"/>
        <v>768667.5043</v>
      </c>
      <c r="U61" s="108">
        <f t="shared" si="24"/>
        <v>1217.051688</v>
      </c>
      <c r="V61" s="102">
        <f t="shared" si="6"/>
        <v>1.345432096</v>
      </c>
      <c r="W61" s="101">
        <f t="shared" si="7"/>
        <v>0</v>
      </c>
      <c r="X61" s="101">
        <f t="shared" si="8"/>
        <v>56</v>
      </c>
      <c r="Y61" s="157">
        <v>3987.0</v>
      </c>
      <c r="Z61" s="158">
        <f t="shared" si="25"/>
        <v>36.24545455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2.0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5.1352794117647E-7</v>
      </c>
      <c r="L62" s="117">
        <v>9.11004891783809E-9</v>
      </c>
      <c r="M62" s="116">
        <f t="shared" si="1"/>
        <v>0.5135279412</v>
      </c>
      <c r="N62" s="116">
        <v>5.88136E-4</v>
      </c>
      <c r="O62" s="116">
        <v>0.163320675</v>
      </c>
      <c r="P62" s="116">
        <v>1.85107E-4</v>
      </c>
      <c r="Q62" s="118">
        <f t="shared" si="2"/>
        <v>-0.6819634105</v>
      </c>
      <c r="R62" s="119">
        <f t="shared" si="3"/>
        <v>-567.9852479</v>
      </c>
      <c r="S62" s="4">
        <v>1000000.0</v>
      </c>
      <c r="T62" s="120">
        <f t="shared" si="4"/>
        <v>3.145405821</v>
      </c>
      <c r="V62" s="1">
        <f t="shared" si="6"/>
        <v>3.144292302</v>
      </c>
      <c r="W62" s="121">
        <f t="shared" si="7"/>
        <v>0</v>
      </c>
      <c r="X62" s="121">
        <f t="shared" si="8"/>
        <v>57</v>
      </c>
      <c r="Y62" s="159">
        <v>40.72</v>
      </c>
    </row>
    <row r="63">
      <c r="A63" s="4" t="s">
        <v>45</v>
      </c>
      <c r="B63" s="4">
        <v>58.0</v>
      </c>
      <c r="C63" s="44">
        <v>2.0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5.1352794117647E-7</v>
      </c>
      <c r="L63" s="117">
        <v>9.11004891783809E-9</v>
      </c>
      <c r="M63" s="116">
        <f t="shared" si="1"/>
        <v>0.5135279412</v>
      </c>
      <c r="N63" s="116">
        <v>5.88136E-4</v>
      </c>
      <c r="O63" s="116">
        <v>0.163320675</v>
      </c>
      <c r="P63" s="116">
        <v>1.85107E-4</v>
      </c>
      <c r="Q63" s="118">
        <f t="shared" si="2"/>
        <v>-0.6819634105</v>
      </c>
      <c r="R63" s="119">
        <f t="shared" si="3"/>
        <v>-567.9852479</v>
      </c>
      <c r="S63" s="4">
        <v>1000000.0</v>
      </c>
      <c r="T63" s="120">
        <f t="shared" si="4"/>
        <v>3.145405821</v>
      </c>
      <c r="V63" s="1">
        <f t="shared" si="6"/>
        <v>3.144292302</v>
      </c>
      <c r="W63" s="121">
        <f t="shared" si="7"/>
        <v>0</v>
      </c>
      <c r="X63" s="121">
        <f t="shared" si="8"/>
        <v>58</v>
      </c>
      <c r="Y63" s="159">
        <v>40.72</v>
      </c>
    </row>
    <row r="64">
      <c r="A64" s="4"/>
      <c r="B64" s="4">
        <v>59.0</v>
      </c>
      <c r="C64" s="44">
        <v>2.0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5.63678676470588E-6</v>
      </c>
      <c r="L64" s="117">
        <v>8.5151838943039E-8</v>
      </c>
      <c r="M64" s="116">
        <f t="shared" si="1"/>
        <v>5.636786765</v>
      </c>
      <c r="N64" s="116">
        <v>0.006136607</v>
      </c>
      <c r="O64" s="116">
        <v>5.626970291</v>
      </c>
      <c r="P64" s="116">
        <v>0.02132259</v>
      </c>
      <c r="Q64" s="118">
        <f t="shared" si="2"/>
        <v>-0.001741501695</v>
      </c>
      <c r="R64" s="119">
        <f t="shared" si="3"/>
        <v>-0.4424210993</v>
      </c>
      <c r="S64" s="4">
        <v>222816.0</v>
      </c>
      <c r="T64" s="120">
        <f t="shared" si="4"/>
        <v>34.52583682</v>
      </c>
      <c r="V64" s="1">
        <f t="shared" si="6"/>
        <v>1.00174454</v>
      </c>
      <c r="W64" s="121">
        <f t="shared" si="7"/>
        <v>1</v>
      </c>
      <c r="X64" s="121">
        <f t="shared" si="8"/>
        <v>59</v>
      </c>
      <c r="Y64" s="159">
        <v>27.47</v>
      </c>
    </row>
    <row r="65">
      <c r="A65" s="4"/>
      <c r="B65" s="4">
        <v>60.0</v>
      </c>
      <c r="C65" s="44">
        <v>2.0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1.59949999999999E-7</v>
      </c>
      <c r="L65" s="117">
        <v>3.18315008198552E-9</v>
      </c>
      <c r="M65" s="116">
        <f t="shared" si="1"/>
        <v>0.15995</v>
      </c>
      <c r="N65" s="116">
        <v>1.81127E-4</v>
      </c>
      <c r="O65" s="116">
        <v>0.160068959</v>
      </c>
      <c r="P65" s="116">
        <v>1.84273E-4</v>
      </c>
      <c r="Q65" s="118">
        <f t="shared" si="2"/>
        <v>0.0007437261644</v>
      </c>
      <c r="R65" s="119">
        <f t="shared" si="3"/>
        <v>0.4603918887</v>
      </c>
      <c r="S65" s="4">
        <v>1000000.0</v>
      </c>
      <c r="T65" s="120">
        <f t="shared" si="4"/>
        <v>0.9797084456</v>
      </c>
      <c r="V65" s="1">
        <f t="shared" si="6"/>
        <v>0.9992568266</v>
      </c>
      <c r="W65" s="121">
        <f t="shared" si="7"/>
        <v>1</v>
      </c>
      <c r="X65" s="121">
        <f t="shared" si="8"/>
        <v>60</v>
      </c>
      <c r="Y65" s="159">
        <v>27.46</v>
      </c>
    </row>
    <row r="66">
      <c r="A66" s="4"/>
      <c r="B66" s="4">
        <v>61.0</v>
      </c>
      <c r="C66" s="44">
        <v>2.0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1.60089705882352E-7</v>
      </c>
      <c r="L66" s="117">
        <v>2.88501311151176E-9</v>
      </c>
      <c r="M66" s="116">
        <f t="shared" si="1"/>
        <v>0.1600897059</v>
      </c>
      <c r="N66" s="116">
        <v>1.81457E-4</v>
      </c>
      <c r="O66" s="116">
        <v>0.160057545</v>
      </c>
      <c r="P66" s="116">
        <v>1.8427E-4</v>
      </c>
      <c r="Q66" s="118">
        <f t="shared" si="2"/>
        <v>-0.0002008928817</v>
      </c>
      <c r="R66" s="119">
        <f t="shared" si="3"/>
        <v>-0.1243578153</v>
      </c>
      <c r="S66" s="4">
        <v>1000000.0</v>
      </c>
      <c r="T66" s="120">
        <f t="shared" si="4"/>
        <v>0.980564157</v>
      </c>
      <c r="V66" s="1">
        <f t="shared" si="6"/>
        <v>1.000200933</v>
      </c>
      <c r="W66" s="121">
        <f t="shared" si="7"/>
        <v>1</v>
      </c>
      <c r="X66" s="121">
        <f t="shared" si="8"/>
        <v>61</v>
      </c>
      <c r="Y66" s="159">
        <v>27.46</v>
      </c>
    </row>
    <row r="67">
      <c r="K67" s="1"/>
      <c r="L67" s="2"/>
      <c r="M67" s="1"/>
      <c r="N67" s="1"/>
      <c r="O67" s="1"/>
      <c r="W67" s="122">
        <f>(SUM(W6:W61)-1)/55</f>
        <v>0.6909090909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47</v>
      </c>
      <c r="W5" s="4">
        <v>0.1</v>
      </c>
      <c r="X5" s="4" t="s">
        <v>2</v>
      </c>
    </row>
    <row r="6">
      <c r="A6" s="8"/>
      <c r="B6" s="8">
        <v>1.0</v>
      </c>
      <c r="C6" s="8">
        <v>2.5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4.80534558823529E-10</v>
      </c>
      <c r="L6" s="11">
        <v>4.6649898364618E-12</v>
      </c>
      <c r="M6" s="10">
        <f t="shared" ref="M6:M66" si="1">K6*1000000</f>
        <v>0.0004805345588</v>
      </c>
      <c r="N6" s="10">
        <v>5.08E-7</v>
      </c>
      <c r="O6" s="10">
        <v>3.69482E-4</v>
      </c>
      <c r="P6" s="10">
        <v>8.82E-7</v>
      </c>
      <c r="Q6" s="12">
        <f t="shared" ref="Q6:Q66" si="2">(O6-M6)/M6</f>
        <v>-0.2311021274</v>
      </c>
      <c r="R6" s="13">
        <f t="shared" ref="R6:R66" si="3">(O6-M6)/sqrt(N6*N6+P6*P6)</f>
        <v>-109.1066465</v>
      </c>
      <c r="S6" s="8">
        <v>910723.0</v>
      </c>
      <c r="T6" s="14">
        <f t="shared" ref="T6:T66" si="4">K6/$K$14</f>
        <v>0.007316773068</v>
      </c>
      <c r="U6" s="14">
        <f t="shared" ref="U6:U12" si="5">K6/$K$7</f>
        <v>0.1089543978</v>
      </c>
      <c r="V6" s="10">
        <f t="shared" ref="V6:V66" si="6">M6/O6</f>
        <v>1.300562839</v>
      </c>
      <c r="W6" s="8">
        <f t="shared" ref="W6:W66" si="7">IF(abs(1/V6-1)&lt;$W$5, 1, 0)</f>
        <v>0</v>
      </c>
      <c r="X6" s="8">
        <f t="shared" ref="X6:X66" si="8">B6</f>
        <v>1</v>
      </c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2.5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4.41041911764705E-9</v>
      </c>
      <c r="L7" s="11">
        <v>7.39445793617994E-11</v>
      </c>
      <c r="M7" s="10">
        <f t="shared" si="1"/>
        <v>0.004410419118</v>
      </c>
      <c r="N7" s="10">
        <v>5.002E-6</v>
      </c>
      <c r="O7" s="10">
        <v>0.004089589</v>
      </c>
      <c r="P7" s="10">
        <v>4.662E-6</v>
      </c>
      <c r="Q7" s="12">
        <f t="shared" si="2"/>
        <v>-0.07274368016</v>
      </c>
      <c r="R7" s="13">
        <f t="shared" si="3"/>
        <v>-46.92071187</v>
      </c>
      <c r="S7" s="8">
        <v>1000000.0</v>
      </c>
      <c r="T7" s="14">
        <f t="shared" si="4"/>
        <v>0.06715445378</v>
      </c>
      <c r="U7" s="14">
        <f t="shared" si="5"/>
        <v>1</v>
      </c>
      <c r="V7" s="10">
        <f t="shared" si="6"/>
        <v>1.078450455</v>
      </c>
      <c r="W7" s="8">
        <f t="shared" si="7"/>
        <v>1</v>
      </c>
      <c r="X7" s="8">
        <f t="shared" si="8"/>
        <v>2</v>
      </c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2.5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4.83536029411764E-8</v>
      </c>
      <c r="L8" s="11">
        <v>8.22396383471401E-10</v>
      </c>
      <c r="M8" s="10">
        <f t="shared" si="1"/>
        <v>0.04835360294</v>
      </c>
      <c r="N8" s="10">
        <v>5.4099E-5</v>
      </c>
      <c r="O8" s="10">
        <v>0.046498839</v>
      </c>
      <c r="P8" s="10">
        <v>8.5495E-5</v>
      </c>
      <c r="Q8" s="12">
        <f t="shared" si="2"/>
        <v>-0.03835833999</v>
      </c>
      <c r="R8" s="13">
        <f t="shared" si="3"/>
        <v>-18.33248977</v>
      </c>
      <c r="S8" s="8">
        <v>1000000.0</v>
      </c>
      <c r="T8" s="14">
        <f t="shared" si="4"/>
        <v>0.736247442</v>
      </c>
      <c r="U8" s="14">
        <f t="shared" si="5"/>
        <v>10.96349387</v>
      </c>
      <c r="V8" s="10">
        <f t="shared" si="6"/>
        <v>1.039888393</v>
      </c>
      <c r="W8" s="8">
        <f t="shared" si="7"/>
        <v>1</v>
      </c>
      <c r="X8" s="8">
        <f t="shared" si="8"/>
        <v>3</v>
      </c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2.5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2.25863235294117E-7</v>
      </c>
      <c r="L9" s="11">
        <v>4.063200869658E-9</v>
      </c>
      <c r="M9" s="10">
        <f t="shared" si="1"/>
        <v>0.2258632353</v>
      </c>
      <c r="N9" s="10">
        <v>2.50069E-4</v>
      </c>
      <c r="O9" s="10">
        <v>0.22273612</v>
      </c>
      <c r="P9" s="10">
        <v>5.89842E-4</v>
      </c>
      <c r="Q9" s="12">
        <f t="shared" si="2"/>
        <v>-0.01384517179</v>
      </c>
      <c r="R9" s="13">
        <f t="shared" si="3"/>
        <v>-4.881067058</v>
      </c>
      <c r="S9" s="8">
        <v>1000000.0</v>
      </c>
      <c r="T9" s="14">
        <f t="shared" si="4"/>
        <v>3.439065946</v>
      </c>
      <c r="U9" s="14">
        <f t="shared" si="5"/>
        <v>51.21128611</v>
      </c>
      <c r="V9" s="10">
        <f t="shared" si="6"/>
        <v>1.014039552</v>
      </c>
      <c r="W9" s="8">
        <f t="shared" si="7"/>
        <v>1</v>
      </c>
      <c r="X9" s="8">
        <f t="shared" si="8"/>
        <v>4</v>
      </c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2.5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7.14682352941176E-7</v>
      </c>
      <c r="L10" s="11">
        <v>1.26556143732099E-8</v>
      </c>
      <c r="M10" s="10">
        <f t="shared" si="1"/>
        <v>0.7146823529</v>
      </c>
      <c r="N10" s="10">
        <v>7.86579E-4</v>
      </c>
      <c r="O10" s="10">
        <v>0.711868882</v>
      </c>
      <c r="P10" s="10">
        <v>0.002202652</v>
      </c>
      <c r="Q10" s="12">
        <f t="shared" si="2"/>
        <v>-0.003936673306</v>
      </c>
      <c r="R10" s="13">
        <f t="shared" si="3"/>
        <v>-1.202911267</v>
      </c>
      <c r="S10" s="8">
        <v>1000000.0</v>
      </c>
      <c r="T10" s="14">
        <f t="shared" si="4"/>
        <v>10.88198236</v>
      </c>
      <c r="U10" s="14">
        <f t="shared" si="5"/>
        <v>162.0440901</v>
      </c>
      <c r="V10" s="10">
        <f t="shared" si="6"/>
        <v>1.003952232</v>
      </c>
      <c r="W10" s="8">
        <f t="shared" si="7"/>
        <v>1</v>
      </c>
      <c r="X10" s="8">
        <f t="shared" si="8"/>
        <v>5</v>
      </c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2.5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1.78320588235294E-6</v>
      </c>
      <c r="L11" s="11">
        <v>2.69749177452653E-8</v>
      </c>
      <c r="M11" s="10">
        <f t="shared" si="1"/>
        <v>1.783205882</v>
      </c>
      <c r="N11" s="10">
        <v>0.001957533</v>
      </c>
      <c r="O11" s="10">
        <v>1.778970957</v>
      </c>
      <c r="P11" s="10">
        <v>0.005939629</v>
      </c>
      <c r="Q11" s="12">
        <f t="shared" si="2"/>
        <v>-0.002374894226</v>
      </c>
      <c r="R11" s="13">
        <f t="shared" si="3"/>
        <v>-0.6771666921</v>
      </c>
      <c r="S11" s="8">
        <v>1000000.0</v>
      </c>
      <c r="T11" s="14">
        <f t="shared" si="4"/>
        <v>27.15166378</v>
      </c>
      <c r="U11" s="14">
        <f t="shared" si="5"/>
        <v>404.3166499</v>
      </c>
      <c r="V11" s="10">
        <f t="shared" si="6"/>
        <v>1.002380548</v>
      </c>
      <c r="W11" s="8">
        <f t="shared" si="7"/>
        <v>1</v>
      </c>
      <c r="X11" s="8">
        <f t="shared" si="8"/>
        <v>6</v>
      </c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2.5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3.79217647058823E-6</v>
      </c>
      <c r="L12" s="11">
        <v>6.76075694154567E-8</v>
      </c>
      <c r="M12" s="10">
        <f t="shared" si="1"/>
        <v>3.792176471</v>
      </c>
      <c r="N12" s="10">
        <v>0.004154074</v>
      </c>
      <c r="O12" s="10">
        <v>3.793046474</v>
      </c>
      <c r="P12" s="10">
        <v>0.013149859</v>
      </c>
      <c r="Q12" s="12">
        <f t="shared" si="2"/>
        <v>0.0002294206028</v>
      </c>
      <c r="R12" s="13">
        <f t="shared" si="3"/>
        <v>0.06308761412</v>
      </c>
      <c r="S12" s="8">
        <v>1000000.0</v>
      </c>
      <c r="T12" s="14">
        <f t="shared" si="4"/>
        <v>57.74089326</v>
      </c>
      <c r="U12" s="14">
        <f t="shared" si="5"/>
        <v>859.8222458</v>
      </c>
      <c r="V12" s="10">
        <f t="shared" si="6"/>
        <v>0.999770632</v>
      </c>
      <c r="W12" s="8">
        <f t="shared" si="7"/>
        <v>1</v>
      </c>
      <c r="X12" s="8">
        <f t="shared" si="8"/>
        <v>7</v>
      </c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2.5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5.96675735294117E-9</v>
      </c>
      <c r="L13" s="24">
        <v>9.50914956140998E-11</v>
      </c>
      <c r="M13" s="23">
        <f t="shared" si="1"/>
        <v>0.005966757353</v>
      </c>
      <c r="N13" s="23">
        <v>6.394E-6</v>
      </c>
      <c r="O13" s="23">
        <v>0.005911707</v>
      </c>
      <c r="P13" s="23">
        <v>1.4114E-5</v>
      </c>
      <c r="Q13" s="26">
        <f t="shared" si="2"/>
        <v>-0.009226175908</v>
      </c>
      <c r="R13" s="27">
        <f t="shared" si="3"/>
        <v>-3.552831993</v>
      </c>
      <c r="S13" s="22">
        <v>910723.0</v>
      </c>
      <c r="T13" s="28">
        <f t="shared" si="4"/>
        <v>0.09085175811</v>
      </c>
      <c r="U13" s="28">
        <f t="shared" ref="U13:U19" si="9">K13/$K$14</f>
        <v>0.09085175811</v>
      </c>
      <c r="V13" s="23">
        <f t="shared" si="6"/>
        <v>1.009312091</v>
      </c>
      <c r="W13" s="22">
        <f t="shared" si="7"/>
        <v>1</v>
      </c>
      <c r="X13" s="22">
        <f t="shared" si="8"/>
        <v>8</v>
      </c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2.5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6.567575E-8</v>
      </c>
      <c r="L14" s="31">
        <v>1.7224484973911E-9</v>
      </c>
      <c r="M14" s="30">
        <f t="shared" si="1"/>
        <v>0.06567575</v>
      </c>
      <c r="N14" s="30">
        <v>7.4595E-5</v>
      </c>
      <c r="O14" s="30">
        <v>0.06543342</v>
      </c>
      <c r="P14" s="30">
        <v>7.4595E-5</v>
      </c>
      <c r="Q14" s="32">
        <f t="shared" si="2"/>
        <v>-0.003689794178</v>
      </c>
      <c r="R14" s="34">
        <f t="shared" si="3"/>
        <v>-2.297113564</v>
      </c>
      <c r="S14" s="29">
        <v>1000000.0</v>
      </c>
      <c r="T14" s="35">
        <f t="shared" si="4"/>
        <v>1</v>
      </c>
      <c r="U14" s="35">
        <f t="shared" si="9"/>
        <v>1</v>
      </c>
      <c r="V14" s="30">
        <f t="shared" si="6"/>
        <v>1.003703459</v>
      </c>
      <c r="W14" s="29">
        <f t="shared" si="7"/>
        <v>1</v>
      </c>
      <c r="X14" s="29">
        <f t="shared" si="8"/>
        <v>9</v>
      </c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2.5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7.42839705882352E-7</v>
      </c>
      <c r="L15" s="24">
        <v>1.07540192618027E-8</v>
      </c>
      <c r="M15" s="23">
        <f t="shared" si="1"/>
        <v>0.7428397059</v>
      </c>
      <c r="N15" s="23">
        <v>8.3235E-4</v>
      </c>
      <c r="O15" s="23">
        <v>0.743981421</v>
      </c>
      <c r="P15" s="23">
        <v>0.001367922</v>
      </c>
      <c r="Q15" s="26">
        <f t="shared" si="2"/>
        <v>0.001536960274</v>
      </c>
      <c r="R15" s="27">
        <f t="shared" si="3"/>
        <v>0.7130127424</v>
      </c>
      <c r="S15" s="22">
        <v>1000000.0</v>
      </c>
      <c r="T15" s="28">
        <f t="shared" si="4"/>
        <v>11.31071523</v>
      </c>
      <c r="U15" s="28">
        <f t="shared" si="9"/>
        <v>11.31071523</v>
      </c>
      <c r="V15" s="23">
        <f t="shared" si="6"/>
        <v>0.9984653983</v>
      </c>
      <c r="W15" s="22">
        <f t="shared" si="7"/>
        <v>1</v>
      </c>
      <c r="X15" s="22">
        <f t="shared" si="8"/>
        <v>10</v>
      </c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2.5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3.52850735294117E-6</v>
      </c>
      <c r="L16" s="24">
        <v>5.8686233646468E-8</v>
      </c>
      <c r="M16" s="23">
        <f t="shared" si="1"/>
        <v>3.528507353</v>
      </c>
      <c r="N16" s="23">
        <v>0.003907333</v>
      </c>
      <c r="O16" s="23">
        <v>3.563777924</v>
      </c>
      <c r="P16" s="23">
        <v>0.009437466</v>
      </c>
      <c r="Q16" s="26">
        <f t="shared" si="2"/>
        <v>0.009995889913</v>
      </c>
      <c r="R16" s="27">
        <f t="shared" si="3"/>
        <v>3.453040014</v>
      </c>
      <c r="S16" s="22">
        <v>1000000.0</v>
      </c>
      <c r="T16" s="28">
        <f t="shared" si="4"/>
        <v>53.72618284</v>
      </c>
      <c r="U16" s="28">
        <f t="shared" si="9"/>
        <v>53.72618284</v>
      </c>
      <c r="V16" s="23">
        <f t="shared" si="6"/>
        <v>0.990103039</v>
      </c>
      <c r="W16" s="22">
        <f t="shared" si="7"/>
        <v>1</v>
      </c>
      <c r="X16" s="22">
        <f t="shared" si="8"/>
        <v>11</v>
      </c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2.5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1.12667647058823E-5</v>
      </c>
      <c r="L17" s="24">
        <v>1.79740068918223E-7</v>
      </c>
      <c r="M17" s="23">
        <f t="shared" si="1"/>
        <v>11.26676471</v>
      </c>
      <c r="N17" s="23">
        <v>0.012406353</v>
      </c>
      <c r="O17" s="23">
        <v>11.389901161</v>
      </c>
      <c r="P17" s="23">
        <v>0.035242428</v>
      </c>
      <c r="Q17" s="26">
        <f t="shared" si="2"/>
        <v>0.01092917606</v>
      </c>
      <c r="R17" s="27">
        <f t="shared" si="3"/>
        <v>3.29573502</v>
      </c>
      <c r="S17" s="22">
        <v>1000000.0</v>
      </c>
      <c r="T17" s="28">
        <f t="shared" si="4"/>
        <v>171.5513672</v>
      </c>
      <c r="U17" s="28">
        <f t="shared" si="9"/>
        <v>171.5513672</v>
      </c>
      <c r="V17" s="23">
        <f t="shared" si="6"/>
        <v>0.9891889795</v>
      </c>
      <c r="W17" s="22">
        <f t="shared" si="7"/>
        <v>1</v>
      </c>
      <c r="X17" s="22">
        <f t="shared" si="8"/>
        <v>12</v>
      </c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2.5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2.79847058823529E-5</v>
      </c>
      <c r="L18" s="24">
        <v>4.37469052749208E-7</v>
      </c>
      <c r="M18" s="23">
        <f t="shared" si="1"/>
        <v>27.98470588</v>
      </c>
      <c r="N18" s="23">
        <v>0.030691388</v>
      </c>
      <c r="O18" s="23">
        <v>28.463535309</v>
      </c>
      <c r="P18" s="23">
        <v>0.095034059</v>
      </c>
      <c r="Q18" s="26">
        <f t="shared" si="2"/>
        <v>0.01711039697</v>
      </c>
      <c r="R18" s="27">
        <f t="shared" si="3"/>
        <v>4.794667338</v>
      </c>
      <c r="S18" s="22">
        <v>1000000.0</v>
      </c>
      <c r="T18" s="28">
        <f t="shared" si="4"/>
        <v>426.1040929</v>
      </c>
      <c r="U18" s="28">
        <f t="shared" si="9"/>
        <v>426.1040929</v>
      </c>
      <c r="V18" s="23">
        <f t="shared" si="6"/>
        <v>0.9831774437</v>
      </c>
      <c r="W18" s="22">
        <f t="shared" si="7"/>
        <v>1</v>
      </c>
      <c r="X18" s="22">
        <f t="shared" si="8"/>
        <v>13</v>
      </c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2.5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5.753125E-5</v>
      </c>
      <c r="L19" s="24">
        <v>9.38402454529327E-7</v>
      </c>
      <c r="M19" s="23">
        <f t="shared" si="1"/>
        <v>57.53125</v>
      </c>
      <c r="N19" s="23">
        <v>0.062938711</v>
      </c>
      <c r="O19" s="23">
        <v>60.688743591</v>
      </c>
      <c r="P19" s="23">
        <v>0.210397743</v>
      </c>
      <c r="Q19" s="26">
        <f t="shared" si="2"/>
        <v>0.05488310424</v>
      </c>
      <c r="R19" s="27">
        <f t="shared" si="3"/>
        <v>14.37774041</v>
      </c>
      <c r="S19" s="22">
        <v>1000000.0</v>
      </c>
      <c r="T19" s="28">
        <f t="shared" si="4"/>
        <v>875.989235</v>
      </c>
      <c r="U19" s="28">
        <f t="shared" si="9"/>
        <v>875.989235</v>
      </c>
      <c r="V19" s="23">
        <f t="shared" si="6"/>
        <v>0.9479723355</v>
      </c>
      <c r="W19" s="22">
        <f t="shared" si="7"/>
        <v>1</v>
      </c>
      <c r="X19" s="22">
        <f t="shared" si="8"/>
        <v>14</v>
      </c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2.5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2.86313235294117E-8</v>
      </c>
      <c r="L20" s="39">
        <v>4.15896726539136E-10</v>
      </c>
      <c r="M20" s="38">
        <f t="shared" si="1"/>
        <v>0.02863132353</v>
      </c>
      <c r="N20" s="38">
        <v>3.0758E-5</v>
      </c>
      <c r="O20" s="38">
        <v>0.029950546</v>
      </c>
      <c r="P20" s="38">
        <v>7.1452E-5</v>
      </c>
      <c r="Q20" s="40">
        <f t="shared" si="2"/>
        <v>0.04607619586</v>
      </c>
      <c r="R20" s="41">
        <f t="shared" si="3"/>
        <v>16.95854435</v>
      </c>
      <c r="S20" s="37">
        <v>910723.0</v>
      </c>
      <c r="T20" s="42">
        <f t="shared" si="4"/>
        <v>0.4359497003</v>
      </c>
      <c r="U20" s="42">
        <f t="shared" ref="U20:U26" si="10">K20/$K$21</f>
        <v>0.0869147718</v>
      </c>
      <c r="V20" s="38">
        <f t="shared" si="6"/>
        <v>0.9559533081</v>
      </c>
      <c r="W20" s="37">
        <f t="shared" si="7"/>
        <v>1</v>
      </c>
      <c r="X20" s="37">
        <f t="shared" si="8"/>
        <v>15</v>
      </c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2.5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3.29418382352941E-7</v>
      </c>
      <c r="L21" s="39">
        <v>5.79800990386493E-9</v>
      </c>
      <c r="M21" s="38">
        <f t="shared" si="1"/>
        <v>0.3294183824</v>
      </c>
      <c r="N21" s="38">
        <v>3.74059E-4</v>
      </c>
      <c r="O21" s="38">
        <v>0.333606035</v>
      </c>
      <c r="P21" s="38">
        <v>3.77638E-4</v>
      </c>
      <c r="Q21" s="40">
        <f t="shared" si="2"/>
        <v>0.01271226158</v>
      </c>
      <c r="R21" s="41">
        <f t="shared" si="3"/>
        <v>7.878397869</v>
      </c>
      <c r="S21" s="37">
        <v>1000000.0</v>
      </c>
      <c r="T21" s="42">
        <f t="shared" si="4"/>
        <v>5.015829775</v>
      </c>
      <c r="U21" s="42">
        <f t="shared" si="10"/>
        <v>1</v>
      </c>
      <c r="V21" s="38">
        <f t="shared" si="6"/>
        <v>0.9874473115</v>
      </c>
      <c r="W21" s="37">
        <f t="shared" si="7"/>
        <v>1</v>
      </c>
      <c r="X21" s="37">
        <f t="shared" si="8"/>
        <v>16</v>
      </c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2.5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3.73096323529411E-6</v>
      </c>
      <c r="L22" s="39">
        <v>6.71662843207463E-8</v>
      </c>
      <c r="M22" s="38">
        <f t="shared" si="1"/>
        <v>3.730963235</v>
      </c>
      <c r="N22" s="38">
        <v>0.004175709</v>
      </c>
      <c r="O22" s="38">
        <v>3.782938242</v>
      </c>
      <c r="P22" s="38">
        <v>0.006925103</v>
      </c>
      <c r="Q22" s="40">
        <f t="shared" si="2"/>
        <v>0.01393072068</v>
      </c>
      <c r="R22" s="41">
        <f t="shared" si="3"/>
        <v>6.427275856</v>
      </c>
      <c r="S22" s="37">
        <v>1000000.0</v>
      </c>
      <c r="T22" s="42">
        <f t="shared" si="4"/>
        <v>56.80884094</v>
      </c>
      <c r="U22" s="42">
        <f t="shared" si="10"/>
        <v>11.32591086</v>
      </c>
      <c r="V22" s="38">
        <f t="shared" si="6"/>
        <v>0.986260678</v>
      </c>
      <c r="W22" s="37">
        <f t="shared" si="7"/>
        <v>1</v>
      </c>
      <c r="X22" s="37">
        <f t="shared" si="8"/>
        <v>17</v>
      </c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2.5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1.74934558823529E-5</v>
      </c>
      <c r="L23" s="39">
        <v>3.09782190331566E-7</v>
      </c>
      <c r="M23" s="38">
        <f t="shared" si="1"/>
        <v>17.49345588</v>
      </c>
      <c r="N23" s="38">
        <v>0.019362229</v>
      </c>
      <c r="O23" s="38">
        <v>17.983301163</v>
      </c>
      <c r="P23" s="38">
        <v>0.047777172</v>
      </c>
      <c r="Q23" s="40">
        <f t="shared" si="2"/>
        <v>0.02800163009</v>
      </c>
      <c r="R23" s="41">
        <f t="shared" si="3"/>
        <v>9.50206229</v>
      </c>
      <c r="S23" s="37">
        <v>1000000.0</v>
      </c>
      <c r="T23" s="42">
        <f t="shared" si="4"/>
        <v>266.360961</v>
      </c>
      <c r="U23" s="42">
        <f t="shared" si="10"/>
        <v>53.10406711</v>
      </c>
      <c r="V23" s="38">
        <f t="shared" si="6"/>
        <v>0.9727611034</v>
      </c>
      <c r="W23" s="37">
        <f t="shared" si="7"/>
        <v>1</v>
      </c>
      <c r="X23" s="37">
        <f t="shared" si="8"/>
        <v>18</v>
      </c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2.5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5.44864705882352E-5</v>
      </c>
      <c r="L24" s="39">
        <v>9.10796582088094E-7</v>
      </c>
      <c r="M24" s="38">
        <f t="shared" si="1"/>
        <v>54.48647059</v>
      </c>
      <c r="N24" s="38">
        <v>0.059965862</v>
      </c>
      <c r="O24" s="38">
        <v>57.488666534</v>
      </c>
      <c r="P24" s="38">
        <v>0.17841479</v>
      </c>
      <c r="Q24" s="40">
        <f t="shared" si="2"/>
        <v>0.05509984246</v>
      </c>
      <c r="R24" s="41">
        <f t="shared" si="3"/>
        <v>15.95024279</v>
      </c>
      <c r="S24" s="37">
        <v>1000000.0</v>
      </c>
      <c r="T24" s="42">
        <f t="shared" si="4"/>
        <v>829.6284487</v>
      </c>
      <c r="U24" s="42">
        <f t="shared" si="10"/>
        <v>165.4020343</v>
      </c>
      <c r="V24" s="38">
        <f t="shared" si="6"/>
        <v>0.9477776034</v>
      </c>
      <c r="W24" s="37">
        <f t="shared" si="7"/>
        <v>1</v>
      </c>
      <c r="X24" s="37">
        <f t="shared" si="8"/>
        <v>19</v>
      </c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2.5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1.448375E-4</v>
      </c>
      <c r="L25" s="39">
        <v>2.45287246577014E-6</v>
      </c>
      <c r="M25" s="38">
        <f t="shared" si="1"/>
        <v>144.8375</v>
      </c>
      <c r="N25" s="38">
        <v>0.158886331</v>
      </c>
      <c r="O25" s="38">
        <v>144.907714844</v>
      </c>
      <c r="P25" s="38">
        <v>0.481109922</v>
      </c>
      <c r="Q25" s="40">
        <f t="shared" si="2"/>
        <v>0.0004847835954</v>
      </c>
      <c r="R25" s="41">
        <f t="shared" si="3"/>
        <v>0.1385817907</v>
      </c>
      <c r="S25" s="37">
        <v>1000000.0</v>
      </c>
      <c r="T25" s="42">
        <f t="shared" si="4"/>
        <v>2205.342154</v>
      </c>
      <c r="U25" s="42">
        <f t="shared" si="10"/>
        <v>439.6764351</v>
      </c>
      <c r="V25" s="38">
        <f t="shared" si="6"/>
        <v>0.9995154513</v>
      </c>
      <c r="W25" s="37">
        <f t="shared" si="7"/>
        <v>1</v>
      </c>
      <c r="X25" s="37">
        <f t="shared" si="8"/>
        <v>20</v>
      </c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2.5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3.09333088235294E-4</v>
      </c>
      <c r="L26" s="39">
        <v>5.04307453469877E-6</v>
      </c>
      <c r="M26" s="38">
        <f t="shared" si="1"/>
        <v>309.3330882</v>
      </c>
      <c r="N26" s="38">
        <v>0.338947501</v>
      </c>
      <c r="O26" s="38">
        <v>307.766815186</v>
      </c>
      <c r="P26" s="38">
        <v>1.065138571</v>
      </c>
      <c r="Q26" s="40">
        <f t="shared" si="2"/>
        <v>-0.005063386714</v>
      </c>
      <c r="R26" s="41">
        <f t="shared" si="3"/>
        <v>-1.401250414</v>
      </c>
      <c r="S26" s="37">
        <v>1000000.0</v>
      </c>
      <c r="T26" s="42">
        <f t="shared" si="4"/>
        <v>4710.004655</v>
      </c>
      <c r="U26" s="42">
        <f t="shared" si="10"/>
        <v>939.0280106</v>
      </c>
      <c r="V26" s="38">
        <f t="shared" si="6"/>
        <v>1.005089155</v>
      </c>
      <c r="W26" s="37">
        <f t="shared" si="7"/>
        <v>1</v>
      </c>
      <c r="X26" s="37">
        <f t="shared" si="8"/>
        <v>21</v>
      </c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2.5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8.81605147058823E-8</v>
      </c>
      <c r="L27" s="46">
        <v>1.15025879204247E-9</v>
      </c>
      <c r="M27" s="45">
        <f t="shared" si="1"/>
        <v>0.08816051471</v>
      </c>
      <c r="N27" s="45">
        <v>9.4555E-5</v>
      </c>
      <c r="O27" s="45">
        <v>0.094587326</v>
      </c>
      <c r="P27" s="45">
        <v>2.25825E-4</v>
      </c>
      <c r="Q27" s="47">
        <f t="shared" si="2"/>
        <v>0.07289897655</v>
      </c>
      <c r="R27" s="48">
        <f t="shared" si="3"/>
        <v>26.25100599</v>
      </c>
      <c r="S27" s="44">
        <v>910723.0</v>
      </c>
      <c r="T27" s="49">
        <f t="shared" si="4"/>
        <v>1.342360227</v>
      </c>
      <c r="U27" s="49">
        <f t="shared" ref="U27:U33" si="11">K27/$K$28</f>
        <v>0.08551739829</v>
      </c>
      <c r="V27" s="45">
        <f t="shared" si="6"/>
        <v>0.9320542025</v>
      </c>
      <c r="W27" s="44">
        <f t="shared" si="7"/>
        <v>1</v>
      </c>
      <c r="X27" s="44">
        <f t="shared" si="8"/>
        <v>22</v>
      </c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2.5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1.03090735294117E-6</v>
      </c>
      <c r="L28" s="46">
        <v>1.84505651117025E-8</v>
      </c>
      <c r="M28" s="45">
        <f t="shared" si="1"/>
        <v>1.030907353</v>
      </c>
      <c r="N28" s="45">
        <v>0.001172786</v>
      </c>
      <c r="O28" s="45">
        <v>1.046934724</v>
      </c>
      <c r="P28" s="45">
        <v>0.001193524</v>
      </c>
      <c r="Q28" s="47">
        <f t="shared" si="2"/>
        <v>0.01554685881</v>
      </c>
      <c r="R28" s="48">
        <f t="shared" si="3"/>
        <v>9.578311858</v>
      </c>
      <c r="S28" s="44">
        <v>1000000.0</v>
      </c>
      <c r="T28" s="49">
        <f t="shared" si="4"/>
        <v>15.69692547</v>
      </c>
      <c r="U28" s="49">
        <f t="shared" si="11"/>
        <v>1</v>
      </c>
      <c r="V28" s="45">
        <f t="shared" si="6"/>
        <v>0.9846911458</v>
      </c>
      <c r="W28" s="44">
        <f t="shared" si="7"/>
        <v>1</v>
      </c>
      <c r="X28" s="44">
        <f t="shared" si="8"/>
        <v>23</v>
      </c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2.5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1.11694852941176E-5</v>
      </c>
      <c r="L29" s="46">
        <v>2.07118931133749E-7</v>
      </c>
      <c r="M29" s="45">
        <f t="shared" si="1"/>
        <v>11.16948529</v>
      </c>
      <c r="N29" s="45">
        <v>0.012507934</v>
      </c>
      <c r="O29" s="45">
        <v>11.903702736</v>
      </c>
      <c r="P29" s="45">
        <v>0.021886745</v>
      </c>
      <c r="Q29" s="47">
        <f t="shared" si="2"/>
        <v>0.06573422343</v>
      </c>
      <c r="R29" s="48">
        <f t="shared" si="3"/>
        <v>29.12556981</v>
      </c>
      <c r="S29" s="44">
        <v>1000000.0</v>
      </c>
      <c r="T29" s="49">
        <f t="shared" si="4"/>
        <v>170.0701597</v>
      </c>
      <c r="U29" s="49">
        <f t="shared" si="11"/>
        <v>10.83461599</v>
      </c>
      <c r="V29" s="45">
        <f t="shared" si="6"/>
        <v>0.9383202472</v>
      </c>
      <c r="W29" s="44">
        <f t="shared" si="7"/>
        <v>1</v>
      </c>
      <c r="X29" s="44">
        <f t="shared" si="8"/>
        <v>24</v>
      </c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2.5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5.67796323529411E-5</v>
      </c>
      <c r="L30" s="46">
        <v>1.0804830251041E-6</v>
      </c>
      <c r="M30" s="45">
        <f t="shared" si="1"/>
        <v>56.77963235</v>
      </c>
      <c r="N30" s="45">
        <v>0.062895092</v>
      </c>
      <c r="O30" s="45">
        <v>57.020446777</v>
      </c>
      <c r="P30" s="45">
        <v>0.150999457</v>
      </c>
      <c r="Q30" s="47">
        <f t="shared" si="2"/>
        <v>0.004241211401</v>
      </c>
      <c r="R30" s="48">
        <f t="shared" si="3"/>
        <v>1.472199958</v>
      </c>
      <c r="S30" s="44">
        <v>1000000.0</v>
      </c>
      <c r="T30" s="49">
        <f t="shared" si="4"/>
        <v>864.544864</v>
      </c>
      <c r="U30" s="49">
        <f t="shared" si="11"/>
        <v>55.07733764</v>
      </c>
      <c r="V30" s="45">
        <f t="shared" si="6"/>
        <v>0.9957767005</v>
      </c>
      <c r="W30" s="44">
        <f t="shared" si="7"/>
        <v>1</v>
      </c>
      <c r="X30" s="44">
        <f t="shared" si="8"/>
        <v>25</v>
      </c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2.5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1.83094117647058E-4</v>
      </c>
      <c r="L31" s="46">
        <v>3.3453730281043E-6</v>
      </c>
      <c r="M31" s="45">
        <f t="shared" si="1"/>
        <v>183.0941176</v>
      </c>
      <c r="N31" s="45">
        <v>0.201526857</v>
      </c>
      <c r="O31" s="45">
        <v>182.238418579</v>
      </c>
      <c r="P31" s="45">
        <v>0.563878842</v>
      </c>
      <c r="Q31" s="47">
        <f t="shared" si="2"/>
        <v>-0.004673547567</v>
      </c>
      <c r="R31" s="48">
        <f t="shared" si="3"/>
        <v>-1.429001275</v>
      </c>
      <c r="S31" s="44">
        <v>1000000.0</v>
      </c>
      <c r="T31" s="49">
        <f t="shared" si="4"/>
        <v>2787.849665</v>
      </c>
      <c r="U31" s="49">
        <f t="shared" si="11"/>
        <v>177.6048227</v>
      </c>
      <c r="V31" s="45">
        <f t="shared" si="6"/>
        <v>1.004695492</v>
      </c>
      <c r="W31" s="44">
        <f t="shared" si="7"/>
        <v>1</v>
      </c>
      <c r="X31" s="44">
        <f t="shared" si="8"/>
        <v>26</v>
      </c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2.5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4.64994117647058E-4</v>
      </c>
      <c r="L32" s="46">
        <v>9.55955806127026E-6</v>
      </c>
      <c r="M32" s="45">
        <f t="shared" si="1"/>
        <v>464.9941176</v>
      </c>
      <c r="N32" s="45">
        <v>0.510104287</v>
      </c>
      <c r="O32" s="45">
        <v>455.416564941</v>
      </c>
      <c r="P32" s="45">
        <v>1.520544938</v>
      </c>
      <c r="Q32" s="47">
        <f t="shared" si="2"/>
        <v>-0.0205971481</v>
      </c>
      <c r="R32" s="48">
        <f t="shared" si="3"/>
        <v>-5.971684305</v>
      </c>
      <c r="S32" s="44">
        <v>1000000.0</v>
      </c>
      <c r="T32" s="49">
        <f t="shared" si="4"/>
        <v>7080.149334</v>
      </c>
      <c r="U32" s="49">
        <f t="shared" si="11"/>
        <v>451.0532555</v>
      </c>
      <c r="V32" s="45">
        <f t="shared" si="6"/>
        <v>1.021030313</v>
      </c>
      <c r="W32" s="44">
        <f t="shared" si="7"/>
        <v>1</v>
      </c>
      <c r="X32" s="44">
        <f t="shared" si="8"/>
        <v>27</v>
      </c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2.5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0.00101319852941176</v>
      </c>
      <c r="L33" s="46">
        <v>1.54085882031399E-5</v>
      </c>
      <c r="M33" s="45">
        <f t="shared" si="1"/>
        <v>1013.198529</v>
      </c>
      <c r="N33" s="45">
        <v>1.108601237</v>
      </c>
      <c r="O33" s="45">
        <v>971.019897461</v>
      </c>
      <c r="P33" s="45">
        <v>3.366363877</v>
      </c>
      <c r="Q33" s="47">
        <f t="shared" si="2"/>
        <v>-0.04162918789</v>
      </c>
      <c r="R33" s="48">
        <f t="shared" si="3"/>
        <v>-11.90072513</v>
      </c>
      <c r="S33" s="44">
        <v>1000000.0</v>
      </c>
      <c r="T33" s="49">
        <f t="shared" si="4"/>
        <v>15427.28525</v>
      </c>
      <c r="U33" s="49">
        <f t="shared" si="11"/>
        <v>982.8220999</v>
      </c>
      <c r="V33" s="45">
        <f t="shared" si="6"/>
        <v>1.043437454</v>
      </c>
      <c r="W33" s="44">
        <f t="shared" si="7"/>
        <v>1</v>
      </c>
      <c r="X33" s="44">
        <f t="shared" si="8"/>
        <v>28</v>
      </c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2.5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2.08876470588235E-7</v>
      </c>
      <c r="L34" s="53">
        <v>2.99219318286319E-9</v>
      </c>
      <c r="M34" s="52">
        <f t="shared" si="1"/>
        <v>0.2088764706</v>
      </c>
      <c r="N34" s="52">
        <v>2.23917E-4</v>
      </c>
      <c r="O34" s="52">
        <v>0.230697304</v>
      </c>
      <c r="P34" s="52">
        <v>5.5133E-4</v>
      </c>
      <c r="Q34" s="54">
        <f t="shared" si="2"/>
        <v>0.1044676471</v>
      </c>
      <c r="R34" s="55">
        <f t="shared" si="3"/>
        <v>36.66959959</v>
      </c>
      <c r="S34" s="51">
        <v>910723.0</v>
      </c>
      <c r="T34" s="56">
        <f t="shared" si="4"/>
        <v>3.180420027</v>
      </c>
      <c r="U34" s="56">
        <f t="shared" ref="U34:U40" si="12">K34/$K$35</f>
        <v>0.0875403693</v>
      </c>
      <c r="V34" s="52">
        <f t="shared" si="6"/>
        <v>0.9054135743</v>
      </c>
      <c r="W34" s="51">
        <f t="shared" si="7"/>
        <v>0</v>
      </c>
      <c r="X34" s="51">
        <f t="shared" si="8"/>
        <v>29</v>
      </c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2.5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2.38605882352941E-6</v>
      </c>
      <c r="L35" s="53">
        <v>4.76819345720325E-8</v>
      </c>
      <c r="M35" s="52">
        <f t="shared" si="1"/>
        <v>2.386058824</v>
      </c>
      <c r="N35" s="52">
        <v>0.002713414</v>
      </c>
      <c r="O35" s="52">
        <v>2.556208372</v>
      </c>
      <c r="P35" s="52">
        <v>0.002913877</v>
      </c>
      <c r="Q35" s="54">
        <f t="shared" si="2"/>
        <v>0.07130987166</v>
      </c>
      <c r="R35" s="55">
        <f t="shared" si="3"/>
        <v>42.7337529</v>
      </c>
      <c r="S35" s="51">
        <v>1000000.0</v>
      </c>
      <c r="T35" s="56">
        <f t="shared" si="4"/>
        <v>36.3308957</v>
      </c>
      <c r="U35" s="56">
        <f t="shared" si="12"/>
        <v>1</v>
      </c>
      <c r="V35" s="52">
        <f t="shared" si="6"/>
        <v>0.9334367455</v>
      </c>
      <c r="W35" s="51">
        <f t="shared" si="7"/>
        <v>1</v>
      </c>
      <c r="X35" s="51">
        <f t="shared" si="8"/>
        <v>30</v>
      </c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2.5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2.91172794117647E-5</v>
      </c>
      <c r="L36" s="53">
        <v>5.34349680087882E-7</v>
      </c>
      <c r="M36" s="52">
        <f t="shared" si="1"/>
        <v>29.11727941</v>
      </c>
      <c r="N36" s="52">
        <v>0.032580843</v>
      </c>
      <c r="O36" s="52">
        <v>29.211427689</v>
      </c>
      <c r="P36" s="52">
        <v>0.053434436</v>
      </c>
      <c r="Q36" s="54">
        <f t="shared" si="2"/>
        <v>0.003233416004</v>
      </c>
      <c r="R36" s="55">
        <f t="shared" si="3"/>
        <v>1.50435189</v>
      </c>
      <c r="S36" s="51">
        <v>1000000.0</v>
      </c>
      <c r="T36" s="56">
        <f t="shared" si="4"/>
        <v>443.3490202</v>
      </c>
      <c r="U36" s="56">
        <f t="shared" si="12"/>
        <v>12.20308532</v>
      </c>
      <c r="V36" s="52">
        <f t="shared" si="6"/>
        <v>0.9967770053</v>
      </c>
      <c r="W36" s="51">
        <f t="shared" si="7"/>
        <v>1</v>
      </c>
      <c r="X36" s="51">
        <f t="shared" si="8"/>
        <v>31</v>
      </c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2.5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1.39744852941176E-4</v>
      </c>
      <c r="L37" s="53">
        <v>2.57160620949865E-6</v>
      </c>
      <c r="M37" s="52">
        <f t="shared" si="1"/>
        <v>139.7448529</v>
      </c>
      <c r="N37" s="52">
        <v>0.154763309</v>
      </c>
      <c r="O37" s="52">
        <v>138.282623291</v>
      </c>
      <c r="P37" s="52">
        <v>0.36865102</v>
      </c>
      <c r="Q37" s="54">
        <f t="shared" si="2"/>
        <v>-0.01046356713</v>
      </c>
      <c r="R37" s="55">
        <f t="shared" si="3"/>
        <v>-3.657228752</v>
      </c>
      <c r="S37" s="51">
        <v>1000000.0</v>
      </c>
      <c r="T37" s="56">
        <f t="shared" si="4"/>
        <v>2127.79988</v>
      </c>
      <c r="U37" s="56">
        <f t="shared" si="12"/>
        <v>58.56722876</v>
      </c>
      <c r="V37" s="52">
        <f t="shared" si="6"/>
        <v>1.010574211</v>
      </c>
      <c r="W37" s="51">
        <f t="shared" si="7"/>
        <v>1</v>
      </c>
      <c r="X37" s="51">
        <f t="shared" si="8"/>
        <v>32</v>
      </c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2.5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4.54841911764705E-4</v>
      </c>
      <c r="L38" s="53">
        <v>7.71149747812445E-6</v>
      </c>
      <c r="M38" s="52">
        <f t="shared" si="1"/>
        <v>454.8419118</v>
      </c>
      <c r="N38" s="52">
        <v>0.500503168</v>
      </c>
      <c r="O38" s="52">
        <v>443.895446777</v>
      </c>
      <c r="P38" s="52">
        <v>1.376657328</v>
      </c>
      <c r="Q38" s="54">
        <f t="shared" si="2"/>
        <v>-0.02406652664</v>
      </c>
      <c r="R38" s="55">
        <f t="shared" si="3"/>
        <v>-7.472923272</v>
      </c>
      <c r="S38" s="51">
        <v>1000000.0</v>
      </c>
      <c r="T38" s="56">
        <f t="shared" si="4"/>
        <v>6925.568597</v>
      </c>
      <c r="U38" s="56">
        <f t="shared" si="12"/>
        <v>190.6247689</v>
      </c>
      <c r="V38" s="52">
        <f t="shared" si="6"/>
        <v>1.024660007</v>
      </c>
      <c r="W38" s="51">
        <f t="shared" si="7"/>
        <v>1</v>
      </c>
      <c r="X38" s="51">
        <f t="shared" si="8"/>
        <v>33</v>
      </c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2.5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0.00117386764705882</v>
      </c>
      <c r="L39" s="53">
        <v>1.89438972186312E-5</v>
      </c>
      <c r="M39" s="52">
        <f t="shared" si="1"/>
        <v>1173.867647</v>
      </c>
      <c r="N39" s="52">
        <v>1.286806596</v>
      </c>
      <c r="O39" s="52">
        <v>1117.224487305</v>
      </c>
      <c r="P39" s="52">
        <v>3.712267911</v>
      </c>
      <c r="Q39" s="54">
        <f t="shared" si="2"/>
        <v>-0.04825344654</v>
      </c>
      <c r="R39" s="55">
        <f t="shared" si="3"/>
        <v>-14.41679666</v>
      </c>
      <c r="S39" s="51">
        <v>1000000.0</v>
      </c>
      <c r="T39" s="56">
        <f t="shared" si="4"/>
        <v>17873.68469</v>
      </c>
      <c r="U39" s="56">
        <f t="shared" si="12"/>
        <v>491.9692824</v>
      </c>
      <c r="V39" s="52">
        <f t="shared" si="6"/>
        <v>1.050699891</v>
      </c>
      <c r="W39" s="51">
        <f t="shared" si="7"/>
        <v>1</v>
      </c>
      <c r="X39" s="51">
        <f t="shared" si="8"/>
        <v>34</v>
      </c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2.5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0.00260080882352941</v>
      </c>
      <c r="L40" s="53">
        <v>5.47332270544214E-5</v>
      </c>
      <c r="M40" s="52">
        <f t="shared" si="1"/>
        <v>2600.808824</v>
      </c>
      <c r="N40" s="52">
        <v>2.843444703</v>
      </c>
      <c r="O40" s="52">
        <v>2375.651123047</v>
      </c>
      <c r="P40" s="52">
        <v>8.218661817</v>
      </c>
      <c r="Q40" s="54">
        <f t="shared" si="2"/>
        <v>-0.08657218418</v>
      </c>
      <c r="R40" s="55">
        <f t="shared" si="3"/>
        <v>-25.89018886</v>
      </c>
      <c r="S40" s="51">
        <v>1000000.0</v>
      </c>
      <c r="T40" s="56">
        <f t="shared" si="4"/>
        <v>39600.74797</v>
      </c>
      <c r="U40" s="56">
        <f t="shared" si="12"/>
        <v>1090.001972</v>
      </c>
      <c r="V40" s="52">
        <f t="shared" si="6"/>
        <v>1.094777258</v>
      </c>
      <c r="W40" s="51">
        <f t="shared" si="7"/>
        <v>1</v>
      </c>
      <c r="X40" s="51">
        <f t="shared" si="8"/>
        <v>35</v>
      </c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2.5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4.43410294117647E-7</v>
      </c>
      <c r="L41" s="60">
        <v>6.84125047494989E-9</v>
      </c>
      <c r="M41" s="59">
        <f t="shared" si="1"/>
        <v>0.4434102941</v>
      </c>
      <c r="N41" s="59">
        <v>4.77019E-4</v>
      </c>
      <c r="O41" s="59">
        <v>0.479208738</v>
      </c>
      <c r="P41" s="59">
        <v>0.001143238</v>
      </c>
      <c r="Q41" s="61">
        <f t="shared" si="2"/>
        <v>0.08073435452</v>
      </c>
      <c r="R41" s="62">
        <f t="shared" si="3"/>
        <v>28.89848041</v>
      </c>
      <c r="S41" s="58">
        <v>910723.0</v>
      </c>
      <c r="T41" s="63">
        <f t="shared" si="4"/>
        <v>6.751507126</v>
      </c>
      <c r="U41" s="63">
        <f t="shared" ref="U41:U47" si="13">K41/$K$42</f>
        <v>0.08379228604</v>
      </c>
      <c r="V41" s="59">
        <f t="shared" si="6"/>
        <v>0.9252967631</v>
      </c>
      <c r="W41" s="58">
        <f t="shared" si="7"/>
        <v>1</v>
      </c>
      <c r="X41" s="58">
        <f t="shared" si="8"/>
        <v>36</v>
      </c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2.5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5.2917794117647E-6</v>
      </c>
      <c r="L42" s="60">
        <v>7.80352903239791E-8</v>
      </c>
      <c r="M42" s="59">
        <f t="shared" si="1"/>
        <v>5.291779412</v>
      </c>
      <c r="N42" s="59">
        <v>0.00601113</v>
      </c>
      <c r="O42" s="59">
        <v>5.337696552</v>
      </c>
      <c r="P42" s="59">
        <v>0.006042215</v>
      </c>
      <c r="Q42" s="61">
        <f t="shared" si="2"/>
        <v>0.008677069973</v>
      </c>
      <c r="R42" s="62">
        <f t="shared" si="3"/>
        <v>5.387419552</v>
      </c>
      <c r="S42" s="58">
        <v>1000000.0</v>
      </c>
      <c r="T42" s="63">
        <f t="shared" si="4"/>
        <v>80.57432784</v>
      </c>
      <c r="U42" s="63">
        <f t="shared" si="13"/>
        <v>1</v>
      </c>
      <c r="V42" s="59">
        <f t="shared" si="6"/>
        <v>0.9913975739</v>
      </c>
      <c r="W42" s="58">
        <f t="shared" si="7"/>
        <v>1</v>
      </c>
      <c r="X42" s="58">
        <f t="shared" si="8"/>
        <v>37</v>
      </c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2.5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6.06957352941176E-5</v>
      </c>
      <c r="L43" s="60">
        <v>1.06300665992334E-6</v>
      </c>
      <c r="M43" s="59">
        <f t="shared" si="1"/>
        <v>60.69573529</v>
      </c>
      <c r="N43" s="59">
        <v>0.067965735</v>
      </c>
      <c r="O43" s="59">
        <v>60.527011871</v>
      </c>
      <c r="P43" s="59">
        <v>0.110801646</v>
      </c>
      <c r="Q43" s="61">
        <f t="shared" si="2"/>
        <v>-0.002779823365</v>
      </c>
      <c r="R43" s="62">
        <f t="shared" si="3"/>
        <v>-1.298012821</v>
      </c>
      <c r="S43" s="58">
        <v>1000000.0</v>
      </c>
      <c r="T43" s="63">
        <f t="shared" si="4"/>
        <v>924.1727014</v>
      </c>
      <c r="U43" s="63">
        <f t="shared" si="13"/>
        <v>11.46981584</v>
      </c>
      <c r="V43" s="59">
        <f t="shared" si="6"/>
        <v>1.002787572</v>
      </c>
      <c r="W43" s="58">
        <f t="shared" si="7"/>
        <v>1</v>
      </c>
      <c r="X43" s="58">
        <f t="shared" si="8"/>
        <v>38</v>
      </c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2.5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2.93827205882352E-4</v>
      </c>
      <c r="L44" s="60">
        <v>5.33689418505591E-6</v>
      </c>
      <c r="M44" s="59">
        <f t="shared" si="1"/>
        <v>293.8272059</v>
      </c>
      <c r="N44" s="59">
        <v>0.325314041</v>
      </c>
      <c r="O44" s="59">
        <v>287.732818604</v>
      </c>
      <c r="P44" s="59">
        <v>0.764434754</v>
      </c>
      <c r="Q44" s="61">
        <f t="shared" si="2"/>
        <v>-0.02074139888</v>
      </c>
      <c r="R44" s="62">
        <f t="shared" si="3"/>
        <v>-7.335771684</v>
      </c>
      <c r="S44" s="58">
        <v>1000000.0</v>
      </c>
      <c r="T44" s="63">
        <f t="shared" si="4"/>
        <v>4473.907125</v>
      </c>
      <c r="U44" s="63">
        <f t="shared" si="13"/>
        <v>55.52521808</v>
      </c>
      <c r="V44" s="59">
        <f t="shared" si="6"/>
        <v>1.021180717</v>
      </c>
      <c r="W44" s="58">
        <f t="shared" si="7"/>
        <v>1</v>
      </c>
      <c r="X44" s="58">
        <f t="shared" si="8"/>
        <v>39</v>
      </c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2.5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9.73747058823529E-4</v>
      </c>
      <c r="L45" s="60">
        <v>1.63824067384698E-5</v>
      </c>
      <c r="M45" s="59">
        <f t="shared" si="1"/>
        <v>973.7470588</v>
      </c>
      <c r="N45" s="59">
        <v>1.070881931</v>
      </c>
      <c r="O45" s="59">
        <v>919.818664551</v>
      </c>
      <c r="P45" s="59">
        <v>2.854636638</v>
      </c>
      <c r="Q45" s="61">
        <f t="shared" si="2"/>
        <v>-0.05538234368</v>
      </c>
      <c r="R45" s="62">
        <f t="shared" si="3"/>
        <v>-17.68787016</v>
      </c>
      <c r="S45" s="58">
        <v>1000000.0</v>
      </c>
      <c r="T45" s="63">
        <f t="shared" si="4"/>
        <v>14826.58453</v>
      </c>
      <c r="U45" s="63">
        <f t="shared" si="13"/>
        <v>184.0112716</v>
      </c>
      <c r="V45" s="59">
        <f t="shared" si="6"/>
        <v>1.058629376</v>
      </c>
      <c r="W45" s="58">
        <f t="shared" si="7"/>
        <v>1</v>
      </c>
      <c r="X45" s="58">
        <f t="shared" si="8"/>
        <v>40</v>
      </c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2.5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0.00254544117647058</v>
      </c>
      <c r="L46" s="60">
        <v>4.60015723895321E-5</v>
      </c>
      <c r="M46" s="59">
        <f t="shared" si="1"/>
        <v>2545.441176</v>
      </c>
      <c r="N46" s="59">
        <v>2.789605142</v>
      </c>
      <c r="O46" s="59">
        <v>2318.5234375</v>
      </c>
      <c r="P46" s="59">
        <v>7.697758739</v>
      </c>
      <c r="Q46" s="61">
        <f t="shared" si="2"/>
        <v>-0.0891467228</v>
      </c>
      <c r="R46" s="62">
        <f t="shared" si="3"/>
        <v>-27.71468267</v>
      </c>
      <c r="S46" s="58">
        <v>1000000.0</v>
      </c>
      <c r="T46" s="63">
        <f t="shared" si="4"/>
        <v>38757.70245</v>
      </c>
      <c r="U46" s="63">
        <f t="shared" si="13"/>
        <v>481.0180052</v>
      </c>
      <c r="V46" s="59">
        <f t="shared" si="6"/>
        <v>1.097871661</v>
      </c>
      <c r="W46" s="58">
        <f t="shared" si="7"/>
        <v>1</v>
      </c>
      <c r="X46" s="58">
        <f t="shared" si="8"/>
        <v>41</v>
      </c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2.5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0.00573447794117646</v>
      </c>
      <c r="L47" s="60">
        <v>1.04529135893035E-4</v>
      </c>
      <c r="M47" s="59">
        <f t="shared" si="1"/>
        <v>5734.477941</v>
      </c>
      <c r="N47" s="59">
        <v>6.263682012</v>
      </c>
      <c r="O47" s="59">
        <v>4924.269042969</v>
      </c>
      <c r="P47" s="59">
        <v>17.042217165</v>
      </c>
      <c r="Q47" s="61">
        <f t="shared" si="2"/>
        <v>-0.1412872988</v>
      </c>
      <c r="R47" s="62">
        <f t="shared" si="3"/>
        <v>-44.62278952</v>
      </c>
      <c r="S47" s="58">
        <v>1000000.0</v>
      </c>
      <c r="T47" s="63">
        <f t="shared" si="4"/>
        <v>87314.99741</v>
      </c>
      <c r="U47" s="63">
        <f t="shared" si="13"/>
        <v>1083.657782</v>
      </c>
      <c r="V47" s="59">
        <f t="shared" si="6"/>
        <v>1.164533841</v>
      </c>
      <c r="W47" s="58">
        <f t="shared" si="7"/>
        <v>0</v>
      </c>
      <c r="X47" s="58">
        <f t="shared" si="8"/>
        <v>42</v>
      </c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2.5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1.3754044117647E-6</v>
      </c>
      <c r="L48" s="96">
        <v>1.90170990023775E-8</v>
      </c>
      <c r="M48" s="95">
        <f t="shared" si="1"/>
        <v>1.375404412</v>
      </c>
      <c r="N48" s="95">
        <v>0.001481943</v>
      </c>
      <c r="O48" s="95">
        <v>1.513397217</v>
      </c>
      <c r="P48" s="95">
        <v>0.003613197</v>
      </c>
      <c r="Q48" s="97">
        <f t="shared" si="2"/>
        <v>0.1003288953</v>
      </c>
      <c r="R48" s="98">
        <f t="shared" si="3"/>
        <v>35.33477527</v>
      </c>
      <c r="S48" s="94">
        <v>910723.0</v>
      </c>
      <c r="T48" s="99">
        <f t="shared" si="4"/>
        <v>20.942348</v>
      </c>
      <c r="U48" s="99">
        <f t="shared" ref="U48:U54" si="14">K48/$K$49</f>
        <v>0.08092119209</v>
      </c>
      <c r="V48" s="95">
        <f t="shared" si="6"/>
        <v>0.908819176</v>
      </c>
      <c r="W48" s="94">
        <f t="shared" si="7"/>
        <v>0</v>
      </c>
      <c r="X48" s="94">
        <f t="shared" si="8"/>
        <v>43</v>
      </c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2.5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1.69968382352941E-5</v>
      </c>
      <c r="L49" s="96">
        <v>3.18414363639075E-7</v>
      </c>
      <c r="M49" s="95">
        <f t="shared" si="1"/>
        <v>16.99683824</v>
      </c>
      <c r="N49" s="95">
        <v>0.0192778</v>
      </c>
      <c r="O49" s="95">
        <v>16.750955582</v>
      </c>
      <c r="P49" s="95">
        <v>0.019096382</v>
      </c>
      <c r="Q49" s="97">
        <f t="shared" si="2"/>
        <v>-0.01446637603</v>
      </c>
      <c r="R49" s="98">
        <f t="shared" si="3"/>
        <v>-9.061475165</v>
      </c>
      <c r="S49" s="94">
        <v>1000000.0</v>
      </c>
      <c r="T49" s="99">
        <f t="shared" si="4"/>
        <v>258.7993016</v>
      </c>
      <c r="U49" s="99">
        <f t="shared" si="14"/>
        <v>1</v>
      </c>
      <c r="V49" s="95">
        <f t="shared" si="6"/>
        <v>1.014678724</v>
      </c>
      <c r="W49" s="94">
        <f t="shared" si="7"/>
        <v>1</v>
      </c>
      <c r="X49" s="94">
        <f t="shared" si="8"/>
        <v>44</v>
      </c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2.5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1.9711544117647E-4</v>
      </c>
      <c r="L50" s="96">
        <v>4.01179517730682E-6</v>
      </c>
      <c r="M50" s="95">
        <f t="shared" si="1"/>
        <v>197.1154412</v>
      </c>
      <c r="N50" s="95">
        <v>0.220259091</v>
      </c>
      <c r="O50" s="95">
        <v>190.459243774</v>
      </c>
      <c r="P50" s="95">
        <v>0.350187918</v>
      </c>
      <c r="Q50" s="97">
        <f t="shared" si="2"/>
        <v>-0.03376801616</v>
      </c>
      <c r="R50" s="98">
        <f t="shared" si="3"/>
        <v>-16.08952663</v>
      </c>
      <c r="S50" s="94">
        <v>1000000.0</v>
      </c>
      <c r="T50" s="99">
        <f t="shared" si="4"/>
        <v>3001.342827</v>
      </c>
      <c r="U50" s="99">
        <f t="shared" si="14"/>
        <v>11.59718287</v>
      </c>
      <c r="V50" s="95">
        <f t="shared" si="6"/>
        <v>1.034948146</v>
      </c>
      <c r="W50" s="94">
        <f t="shared" si="7"/>
        <v>1</v>
      </c>
      <c r="X50" s="94">
        <f t="shared" si="8"/>
        <v>45</v>
      </c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2.5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9.7682794117647E-4</v>
      </c>
      <c r="L51" s="96">
        <v>1.99480313376625E-5</v>
      </c>
      <c r="M51" s="95">
        <f t="shared" si="1"/>
        <v>976.8279412</v>
      </c>
      <c r="N51" s="95">
        <v>1.07916557</v>
      </c>
      <c r="O51" s="95">
        <v>912.327148438</v>
      </c>
      <c r="P51" s="95">
        <v>2.415991322</v>
      </c>
      <c r="Q51" s="97">
        <f t="shared" si="2"/>
        <v>-0.0660308638</v>
      </c>
      <c r="R51" s="98">
        <f t="shared" si="3"/>
        <v>-24.37620086</v>
      </c>
      <c r="S51" s="94">
        <v>1000000.0</v>
      </c>
      <c r="T51" s="99">
        <f t="shared" si="4"/>
        <v>14873.49503</v>
      </c>
      <c r="U51" s="99">
        <f t="shared" si="14"/>
        <v>57.47115597</v>
      </c>
      <c r="V51" s="95">
        <f t="shared" si="6"/>
        <v>1.070699193</v>
      </c>
      <c r="W51" s="94">
        <f t="shared" si="7"/>
        <v>1</v>
      </c>
      <c r="X51" s="94">
        <f t="shared" si="8"/>
        <v>46</v>
      </c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2.5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0.00333717647058823</v>
      </c>
      <c r="L52" s="96">
        <v>6.18273441068176E-5</v>
      </c>
      <c r="M52" s="95">
        <f t="shared" si="1"/>
        <v>3337.176471</v>
      </c>
      <c r="N52" s="95">
        <v>3.661864103</v>
      </c>
      <c r="O52" s="95">
        <v>2915.814697266</v>
      </c>
      <c r="P52" s="95">
        <v>9.022061467</v>
      </c>
      <c r="Q52" s="97">
        <f t="shared" si="2"/>
        <v>-0.1262629582</v>
      </c>
      <c r="R52" s="98">
        <f t="shared" si="3"/>
        <v>-43.2748223</v>
      </c>
      <c r="S52" s="94">
        <v>1000000.0</v>
      </c>
      <c r="T52" s="99">
        <f t="shared" si="4"/>
        <v>50812.91756</v>
      </c>
      <c r="U52" s="99">
        <f t="shared" si="14"/>
        <v>196.341015</v>
      </c>
      <c r="V52" s="95">
        <f t="shared" si="6"/>
        <v>1.144509105</v>
      </c>
      <c r="W52" s="94">
        <f t="shared" si="7"/>
        <v>0</v>
      </c>
      <c r="X52" s="94">
        <f t="shared" si="8"/>
        <v>47</v>
      </c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2.5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0.00894645588235294</v>
      </c>
      <c r="L53" s="96">
        <v>1.72980532736728E-4</v>
      </c>
      <c r="M53" s="95">
        <f t="shared" si="1"/>
        <v>8946.455882</v>
      </c>
      <c r="N53" s="95">
        <v>9.777102214</v>
      </c>
      <c r="O53" s="95">
        <v>7286.665039062</v>
      </c>
      <c r="P53" s="95">
        <v>24.328719012</v>
      </c>
      <c r="Q53" s="97">
        <f t="shared" si="2"/>
        <v>-0.185524957</v>
      </c>
      <c r="R53" s="98">
        <f t="shared" si="3"/>
        <v>-63.30293821</v>
      </c>
      <c r="S53" s="94">
        <v>1000000.0</v>
      </c>
      <c r="T53" s="99">
        <f t="shared" si="4"/>
        <v>136221.6021</v>
      </c>
      <c r="U53" s="99">
        <f t="shared" si="14"/>
        <v>526.3600064</v>
      </c>
      <c r="V53" s="95">
        <f t="shared" si="6"/>
        <v>1.227784705</v>
      </c>
      <c r="W53" s="94">
        <f t="shared" si="7"/>
        <v>0</v>
      </c>
      <c r="X53" s="94">
        <f t="shared" si="8"/>
        <v>48</v>
      </c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2.5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0.0202841911764705</v>
      </c>
      <c r="L54" s="96">
        <v>4.15154688077443E-4</v>
      </c>
      <c r="M54" s="95">
        <f t="shared" si="1"/>
        <v>20284.19118</v>
      </c>
      <c r="N54" s="95">
        <v>22.10474263</v>
      </c>
      <c r="O54" s="95">
        <v>15536.318359375</v>
      </c>
      <c r="P54" s="95">
        <v>53.861822086</v>
      </c>
      <c r="Q54" s="97">
        <f t="shared" si="2"/>
        <v>-0.2340676429</v>
      </c>
      <c r="R54" s="98">
        <f t="shared" si="3"/>
        <v>-81.54877669</v>
      </c>
      <c r="S54" s="94">
        <v>1000000.0</v>
      </c>
      <c r="T54" s="99">
        <f t="shared" si="4"/>
        <v>308853.5902</v>
      </c>
      <c r="U54" s="99">
        <f t="shared" si="14"/>
        <v>1193.409674</v>
      </c>
      <c r="V54" s="95">
        <f t="shared" si="6"/>
        <v>1.305598322</v>
      </c>
      <c r="W54" s="94">
        <f t="shared" si="7"/>
        <v>0</v>
      </c>
      <c r="X54" s="94">
        <f t="shared" si="8"/>
        <v>49</v>
      </c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2.5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3.28653676470588E-6</v>
      </c>
      <c r="L55" s="103">
        <v>4.69767331043681E-8</v>
      </c>
      <c r="M55" s="102">
        <f t="shared" si="1"/>
        <v>3.286536765</v>
      </c>
      <c r="N55" s="102">
        <v>0.003551867</v>
      </c>
      <c r="O55" s="102">
        <v>3.691156864</v>
      </c>
      <c r="P55" s="102">
        <v>0.008821283</v>
      </c>
      <c r="Q55" s="104">
        <f t="shared" si="2"/>
        <v>0.1231144296</v>
      </c>
      <c r="R55" s="106">
        <f t="shared" si="3"/>
        <v>42.54899267</v>
      </c>
      <c r="S55" s="101">
        <v>910723.0</v>
      </c>
      <c r="T55" s="108">
        <f t="shared" si="4"/>
        <v>50.04186118</v>
      </c>
      <c r="U55" s="108">
        <f t="shared" ref="U55:U61" si="15">K55/$K$56</f>
        <v>0.07694342975</v>
      </c>
      <c r="V55" s="102">
        <f t="shared" si="6"/>
        <v>0.8903812235</v>
      </c>
      <c r="W55" s="101">
        <f t="shared" si="7"/>
        <v>0</v>
      </c>
      <c r="X55" s="101">
        <f t="shared" si="8"/>
        <v>50</v>
      </c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2.5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4.27136764705882E-5</v>
      </c>
      <c r="L56" s="103">
        <v>8.17348748108699E-7</v>
      </c>
      <c r="M56" s="102">
        <f t="shared" si="1"/>
        <v>42.71367647</v>
      </c>
      <c r="N56" s="102">
        <v>0.048338391</v>
      </c>
      <c r="O56" s="102">
        <v>40.899333954</v>
      </c>
      <c r="P56" s="102">
        <v>0.046622027</v>
      </c>
      <c r="Q56" s="104">
        <f t="shared" si="2"/>
        <v>-0.04247685206</v>
      </c>
      <c r="R56" s="106">
        <f t="shared" si="3"/>
        <v>-27.01598025</v>
      </c>
      <c r="S56" s="101">
        <v>1000000.0</v>
      </c>
      <c r="T56" s="108">
        <f t="shared" si="4"/>
        <v>650.3721156</v>
      </c>
      <c r="U56" s="108">
        <f t="shared" si="15"/>
        <v>1</v>
      </c>
      <c r="V56" s="102">
        <f t="shared" si="6"/>
        <v>1.044361175</v>
      </c>
      <c r="W56" s="101">
        <f t="shared" si="7"/>
        <v>1</v>
      </c>
      <c r="X56" s="101">
        <f t="shared" si="8"/>
        <v>51</v>
      </c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2.5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5.06642647058823E-4</v>
      </c>
      <c r="L57" s="103">
        <v>1.00569757058761E-5</v>
      </c>
      <c r="M57" s="102">
        <f t="shared" si="1"/>
        <v>506.6426471</v>
      </c>
      <c r="N57" s="102">
        <v>0.565187321</v>
      </c>
      <c r="O57" s="102">
        <v>467.382843018</v>
      </c>
      <c r="P57" s="102">
        <v>0.854950972</v>
      </c>
      <c r="Q57" s="104">
        <f t="shared" si="2"/>
        <v>-0.07749012893</v>
      </c>
      <c r="R57" s="106">
        <f t="shared" si="3"/>
        <v>-38.30675336</v>
      </c>
      <c r="S57" s="101">
        <v>1000000.0</v>
      </c>
      <c r="T57" s="108">
        <f t="shared" si="4"/>
        <v>7714.30318</v>
      </c>
      <c r="U57" s="108">
        <f t="shared" si="15"/>
        <v>11.86136828</v>
      </c>
      <c r="V57" s="102">
        <f t="shared" si="6"/>
        <v>1.083999241</v>
      </c>
      <c r="W57" s="101">
        <f t="shared" si="7"/>
        <v>1</v>
      </c>
      <c r="X57" s="101">
        <f t="shared" si="8"/>
        <v>52</v>
      </c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2.5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0.00256420588235294</v>
      </c>
      <c r="L58" s="103">
        <v>4.45875115628113E-5</v>
      </c>
      <c r="M58" s="102">
        <f t="shared" si="1"/>
        <v>2564.205882</v>
      </c>
      <c r="N58" s="102">
        <v>2.827643279</v>
      </c>
      <c r="O58" s="102">
        <v>2212.521972656</v>
      </c>
      <c r="P58" s="102">
        <v>5.898416318</v>
      </c>
      <c r="Q58" s="104">
        <f t="shared" si="2"/>
        <v>-0.1371511984</v>
      </c>
      <c r="R58" s="106">
        <f t="shared" si="3"/>
        <v>-53.76469437</v>
      </c>
      <c r="S58" s="101">
        <v>1000000.0</v>
      </c>
      <c r="T58" s="108">
        <f t="shared" si="4"/>
        <v>39043.41987</v>
      </c>
      <c r="U58" s="108">
        <f t="shared" si="15"/>
        <v>60.0324321</v>
      </c>
      <c r="V58" s="102">
        <f t="shared" si="6"/>
        <v>1.158951601</v>
      </c>
      <c r="W58" s="101">
        <f t="shared" si="7"/>
        <v>0</v>
      </c>
      <c r="X58" s="101">
        <f t="shared" si="8"/>
        <v>53</v>
      </c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2.5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0.0088719044117647</v>
      </c>
      <c r="L59" s="103">
        <v>1.44311334154935E-4</v>
      </c>
      <c r="M59" s="102">
        <f t="shared" si="1"/>
        <v>8871.904412</v>
      </c>
      <c r="N59" s="102">
        <v>9.718831453</v>
      </c>
      <c r="O59" s="102">
        <v>7102.327148438</v>
      </c>
      <c r="P59" s="102">
        <v>22.026517272</v>
      </c>
      <c r="Q59" s="104">
        <f t="shared" si="2"/>
        <v>-0.1994585583</v>
      </c>
      <c r="R59" s="106">
        <f t="shared" si="3"/>
        <v>-73.501579</v>
      </c>
      <c r="S59" s="101">
        <v>1000000.0</v>
      </c>
      <c r="T59" s="108">
        <f t="shared" si="4"/>
        <v>135086.4575</v>
      </c>
      <c r="U59" s="108">
        <f t="shared" si="15"/>
        <v>207.7064103</v>
      </c>
      <c r="V59" s="102">
        <f t="shared" si="6"/>
        <v>1.24915457</v>
      </c>
      <c r="W59" s="101">
        <f t="shared" si="7"/>
        <v>0</v>
      </c>
      <c r="X59" s="101">
        <f t="shared" si="8"/>
        <v>54</v>
      </c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2.5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0.0237363235294117</v>
      </c>
      <c r="L60" s="103">
        <v>4.27403545668111E-4</v>
      </c>
      <c r="M60" s="102">
        <f t="shared" si="1"/>
        <v>23736.32353</v>
      </c>
      <c r="N60" s="102">
        <v>25.908516491</v>
      </c>
      <c r="O60" s="102">
        <v>17875.591796875</v>
      </c>
      <c r="P60" s="102">
        <v>59.396286623</v>
      </c>
      <c r="Q60" s="104">
        <f t="shared" si="2"/>
        <v>-0.2469098353</v>
      </c>
      <c r="R60" s="106">
        <f t="shared" si="3"/>
        <v>-90.44198994</v>
      </c>
      <c r="S60" s="101">
        <v>1000000.0</v>
      </c>
      <c r="T60" s="108">
        <f t="shared" si="4"/>
        <v>361416.8628</v>
      </c>
      <c r="U60" s="108">
        <f t="shared" si="15"/>
        <v>555.7078081</v>
      </c>
      <c r="V60" s="102">
        <f t="shared" si="6"/>
        <v>1.327862249</v>
      </c>
      <c r="W60" s="101">
        <f t="shared" si="7"/>
        <v>0</v>
      </c>
      <c r="X60" s="101">
        <f t="shared" si="8"/>
        <v>55</v>
      </c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2.5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0.0526199264705882</v>
      </c>
      <c r="L61" s="103">
        <v>7.63098456172357E-4</v>
      </c>
      <c r="M61" s="102">
        <f t="shared" si="1"/>
        <v>52619.92647</v>
      </c>
      <c r="N61" s="102">
        <v>57.261062566</v>
      </c>
      <c r="O61" s="102">
        <v>38010.41796875</v>
      </c>
      <c r="P61" s="102">
        <v>131.498589101</v>
      </c>
      <c r="Q61" s="104">
        <f t="shared" si="2"/>
        <v>-0.2776421307</v>
      </c>
      <c r="R61" s="106">
        <f t="shared" si="3"/>
        <v>-101.8617149</v>
      </c>
      <c r="S61" s="101">
        <v>1000000.0</v>
      </c>
      <c r="T61" s="108">
        <f t="shared" si="4"/>
        <v>801207.8502</v>
      </c>
      <c r="U61" s="108">
        <f t="shared" si="15"/>
        <v>1231.922204</v>
      </c>
      <c r="V61" s="102">
        <f t="shared" si="6"/>
        <v>1.384355376</v>
      </c>
      <c r="W61" s="101">
        <f t="shared" si="7"/>
        <v>0</v>
      </c>
      <c r="X61" s="101">
        <f t="shared" si="8"/>
        <v>56</v>
      </c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2.5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2.1176544117647E-7</v>
      </c>
      <c r="L62" s="117">
        <v>4.36834367587856E-9</v>
      </c>
      <c r="M62" s="116">
        <f t="shared" si="1"/>
        <v>0.2117654412</v>
      </c>
      <c r="N62" s="116">
        <v>2.43012E-4</v>
      </c>
      <c r="O62" s="116">
        <v>0.06543342</v>
      </c>
      <c r="P62" s="116">
        <v>7.4595E-5</v>
      </c>
      <c r="Q62" s="118">
        <f t="shared" si="2"/>
        <v>-0.6910099229</v>
      </c>
      <c r="R62" s="119">
        <f t="shared" si="3"/>
        <v>-575.649892</v>
      </c>
      <c r="S62" s="4">
        <v>1000000.0</v>
      </c>
      <c r="T62" s="120">
        <f t="shared" si="4"/>
        <v>3.224408418</v>
      </c>
      <c r="V62" s="1">
        <f t="shared" si="6"/>
        <v>3.236349883</v>
      </c>
      <c r="W62" s="121">
        <f t="shared" si="7"/>
        <v>0</v>
      </c>
      <c r="X62" s="121">
        <f t="shared" si="8"/>
        <v>57</v>
      </c>
    </row>
    <row r="63">
      <c r="A63" s="4" t="s">
        <v>45</v>
      </c>
      <c r="B63" s="4">
        <v>58.0</v>
      </c>
      <c r="C63" s="44">
        <v>2.5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2.1176544117647E-7</v>
      </c>
      <c r="L63" s="117">
        <v>4.36834367587856E-9</v>
      </c>
      <c r="M63" s="116">
        <f t="shared" si="1"/>
        <v>0.2117654412</v>
      </c>
      <c r="N63" s="116">
        <v>2.43012E-4</v>
      </c>
      <c r="O63" s="116">
        <v>0.06543342</v>
      </c>
      <c r="P63" s="116">
        <v>7.4595E-5</v>
      </c>
      <c r="Q63" s="118">
        <f t="shared" si="2"/>
        <v>-0.6910099229</v>
      </c>
      <c r="R63" s="119">
        <f t="shared" si="3"/>
        <v>-575.649892</v>
      </c>
      <c r="S63" s="4">
        <v>1000000.0</v>
      </c>
      <c r="T63" s="120">
        <f t="shared" si="4"/>
        <v>3.224408418</v>
      </c>
      <c r="V63" s="1">
        <f t="shared" si="6"/>
        <v>3.236349883</v>
      </c>
      <c r="W63" s="121">
        <f t="shared" si="7"/>
        <v>0</v>
      </c>
      <c r="X63" s="121">
        <f t="shared" si="8"/>
        <v>58</v>
      </c>
    </row>
    <row r="64">
      <c r="A64" s="4"/>
      <c r="B64" s="4">
        <v>59.0</v>
      </c>
      <c r="C64" s="44">
        <v>2.5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2.3005E-6</v>
      </c>
      <c r="L64" s="117">
        <v>4.57759438683358E-8</v>
      </c>
      <c r="M64" s="116">
        <f t="shared" si="1"/>
        <v>2.3005</v>
      </c>
      <c r="N64" s="116">
        <v>0.002508642</v>
      </c>
      <c r="O64" s="116">
        <v>2.299809456</v>
      </c>
      <c r="P64" s="116">
        <v>0.008683543</v>
      </c>
      <c r="Q64" s="118">
        <f t="shared" si="2"/>
        <v>-0.0003001712671</v>
      </c>
      <c r="R64" s="119">
        <f t="shared" si="3"/>
        <v>-0.07639901514</v>
      </c>
      <c r="S64" s="4">
        <v>208346.0</v>
      </c>
      <c r="T64" s="120">
        <f t="shared" si="4"/>
        <v>35.02814966</v>
      </c>
      <c r="V64" s="1">
        <f t="shared" si="6"/>
        <v>1.000300261</v>
      </c>
      <c r="W64" s="121">
        <f t="shared" si="7"/>
        <v>1</v>
      </c>
      <c r="X64" s="121">
        <f t="shared" si="8"/>
        <v>59</v>
      </c>
    </row>
    <row r="65">
      <c r="A65" s="4"/>
      <c r="B65" s="4">
        <v>60.0</v>
      </c>
      <c r="C65" s="44">
        <v>2.5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6.54407352941176E-8</v>
      </c>
      <c r="L65" s="117">
        <v>1.03410554110908E-9</v>
      </c>
      <c r="M65" s="116">
        <f t="shared" si="1"/>
        <v>0.06544073529</v>
      </c>
      <c r="N65" s="116">
        <v>7.4339E-5</v>
      </c>
      <c r="O65" s="116">
        <v>0.065030217</v>
      </c>
      <c r="P65" s="116">
        <v>7.5248E-5</v>
      </c>
      <c r="Q65" s="118">
        <f t="shared" si="2"/>
        <v>-0.00627313083</v>
      </c>
      <c r="R65" s="119">
        <f t="shared" si="3"/>
        <v>-3.881017872</v>
      </c>
      <c r="S65" s="4">
        <v>1000000.0</v>
      </c>
      <c r="T65" s="120">
        <f t="shared" si="4"/>
        <v>0.9964215908</v>
      </c>
      <c r="V65" s="1">
        <f t="shared" si="6"/>
        <v>1.006312731</v>
      </c>
      <c r="W65" s="121">
        <f t="shared" si="7"/>
        <v>1</v>
      </c>
      <c r="X65" s="121">
        <f t="shared" si="8"/>
        <v>60</v>
      </c>
    </row>
    <row r="66">
      <c r="A66" s="4"/>
      <c r="B66" s="4">
        <v>61.0</v>
      </c>
      <c r="C66" s="44">
        <v>2.5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6.5326544117647E-8</v>
      </c>
      <c r="L66" s="117">
        <v>1.15690735803531E-9</v>
      </c>
      <c r="M66" s="116">
        <f t="shared" si="1"/>
        <v>0.06532654412</v>
      </c>
      <c r="N66" s="116">
        <v>7.4183E-5</v>
      </c>
      <c r="O66" s="116">
        <v>0.065028794</v>
      </c>
      <c r="P66" s="116">
        <v>7.5248E-5</v>
      </c>
      <c r="Q66" s="118">
        <f t="shared" si="2"/>
        <v>-0.004557873398</v>
      </c>
      <c r="R66" s="119">
        <f t="shared" si="3"/>
        <v>-2.817832716</v>
      </c>
      <c r="S66" s="4">
        <v>1000000.0</v>
      </c>
      <c r="T66" s="120">
        <f t="shared" si="4"/>
        <v>0.9946828794</v>
      </c>
      <c r="V66" s="1">
        <f t="shared" si="6"/>
        <v>1.004578743</v>
      </c>
      <c r="W66" s="121">
        <f t="shared" si="7"/>
        <v>1</v>
      </c>
      <c r="X66" s="121">
        <f t="shared" si="8"/>
        <v>61</v>
      </c>
    </row>
    <row r="67">
      <c r="K67" s="1"/>
      <c r="L67" s="2"/>
      <c r="M67" s="1"/>
      <c r="N67" s="1"/>
      <c r="O67" s="1"/>
      <c r="W67" s="122">
        <f>(SUM(W6:W61)-1)/55</f>
        <v>0.7818181818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48</v>
      </c>
      <c r="W5" s="4">
        <v>0.1</v>
      </c>
      <c r="X5" s="4" t="s">
        <v>2</v>
      </c>
      <c r="Y5" s="4" t="s">
        <v>44</v>
      </c>
    </row>
    <row r="6">
      <c r="A6" s="8"/>
      <c r="B6" s="8">
        <v>1.0</v>
      </c>
      <c r="C6" s="8">
        <v>3.0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1.94743119266055E-10</v>
      </c>
      <c r="L6" s="11">
        <v>2.61556477055668E-12</v>
      </c>
      <c r="M6" s="10">
        <f t="shared" ref="M6:M66" si="1">K6*1000000</f>
        <v>0.0001947431193</v>
      </c>
      <c r="N6" s="10">
        <v>2.07E-7</v>
      </c>
      <c r="O6" s="10">
        <v>1.70912E-4</v>
      </c>
      <c r="P6" s="10">
        <v>4.12E-7</v>
      </c>
      <c r="Q6" s="12">
        <f t="shared" ref="Q6:Q66" si="2">(O6-M6)/M6</f>
        <v>-0.1223720733</v>
      </c>
      <c r="R6" s="13">
        <f t="shared" ref="R6:R66" si="3">(O6-M6)/sqrt(N6*N6+P6*P6)</f>
        <v>-51.68564733</v>
      </c>
      <c r="S6" s="8">
        <v>910610.0</v>
      </c>
      <c r="T6" s="14">
        <f t="shared" ref="T6:T66" si="4">K6/$K$14</f>
        <v>0.006163230195</v>
      </c>
      <c r="U6" s="14">
        <f t="shared" ref="U6:U12" si="5">K6/$K$7</f>
        <v>0.0960619445</v>
      </c>
      <c r="V6" s="10">
        <f t="shared" ref="V6:V66" si="6">M6/O6</f>
        <v>1.139435027</v>
      </c>
      <c r="W6" s="8">
        <f t="shared" ref="W6:W66" si="7">IF(abs(1/V6-1)&lt;$W$5, 1, 0)</f>
        <v>0</v>
      </c>
      <c r="X6" s="8">
        <v>1.0</v>
      </c>
      <c r="Y6" s="86">
        <v>9.914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3.0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2.02726605504587E-9</v>
      </c>
      <c r="L7" s="11">
        <v>2.72609618461036E-11</v>
      </c>
      <c r="M7" s="10">
        <f t="shared" si="1"/>
        <v>0.002027266055</v>
      </c>
      <c r="N7" s="10">
        <v>2.303E-6</v>
      </c>
      <c r="O7" s="10">
        <v>0.00198151</v>
      </c>
      <c r="P7" s="10">
        <v>2.245E-6</v>
      </c>
      <c r="Q7" s="12">
        <f t="shared" si="2"/>
        <v>-0.02257032565</v>
      </c>
      <c r="R7" s="13">
        <f t="shared" si="3"/>
        <v>-14.22681888</v>
      </c>
      <c r="S7" s="8">
        <v>1000000.0</v>
      </c>
      <c r="T7" s="14">
        <f t="shared" si="4"/>
        <v>0.06415891566</v>
      </c>
      <c r="U7" s="14">
        <f t="shared" si="5"/>
        <v>1</v>
      </c>
      <c r="V7" s="10">
        <f t="shared" si="6"/>
        <v>1.023091509</v>
      </c>
      <c r="W7" s="8">
        <f t="shared" si="7"/>
        <v>1</v>
      </c>
      <c r="X7" s="8">
        <v>2.0</v>
      </c>
      <c r="Y7" s="86">
        <v>10.33</v>
      </c>
      <c r="Z7" s="127">
        <f t="shared" ref="Z7:Z12" si="8">Y7/(H7*H7*F7*C7)</f>
        <v>68.86666667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3.0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2.27533E-8</v>
      </c>
      <c r="L8" s="11">
        <v>2.63707271899212E-10</v>
      </c>
      <c r="M8" s="10">
        <f t="shared" si="1"/>
        <v>0.0227533</v>
      </c>
      <c r="N8" s="10">
        <v>2.5493E-5</v>
      </c>
      <c r="O8" s="10">
        <v>0.022407344</v>
      </c>
      <c r="P8" s="10">
        <v>4.1168E-5</v>
      </c>
      <c r="Q8" s="12">
        <f t="shared" si="2"/>
        <v>-0.01520465163</v>
      </c>
      <c r="R8" s="13">
        <f t="shared" si="3"/>
        <v>-7.14459274</v>
      </c>
      <c r="S8" s="8">
        <v>1000000.0</v>
      </c>
      <c r="T8" s="14">
        <f t="shared" si="4"/>
        <v>0.7200964333</v>
      </c>
      <c r="U8" s="14">
        <f t="shared" si="5"/>
        <v>11.22363784</v>
      </c>
      <c r="V8" s="10">
        <f t="shared" si="6"/>
        <v>1.015439402</v>
      </c>
      <c r="W8" s="8">
        <f t="shared" si="7"/>
        <v>1</v>
      </c>
      <c r="X8" s="8">
        <v>3.0</v>
      </c>
      <c r="Y8" s="86">
        <v>13.57</v>
      </c>
      <c r="Z8" s="127">
        <f t="shared" si="8"/>
        <v>30.15555556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3.0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1.0765E-7</v>
      </c>
      <c r="L9" s="11">
        <v>1.03811211710333E-9</v>
      </c>
      <c r="M9" s="10">
        <f t="shared" si="1"/>
        <v>0.10765</v>
      </c>
      <c r="N9" s="10">
        <v>1.19356E-4</v>
      </c>
      <c r="O9" s="10">
        <v>0.106690958</v>
      </c>
      <c r="P9" s="10">
        <v>2.84017E-4</v>
      </c>
      <c r="Q9" s="12">
        <f t="shared" si="2"/>
        <v>-0.008908889921</v>
      </c>
      <c r="R9" s="13">
        <f t="shared" si="3"/>
        <v>-3.11299328</v>
      </c>
      <c r="S9" s="8">
        <v>1000000.0</v>
      </c>
      <c r="T9" s="14">
        <f t="shared" si="4"/>
        <v>3.406907176</v>
      </c>
      <c r="U9" s="14">
        <f t="shared" si="5"/>
        <v>53.10107163</v>
      </c>
      <c r="V9" s="10">
        <f t="shared" si="6"/>
        <v>1.008988972</v>
      </c>
      <c r="W9" s="8">
        <f t="shared" si="7"/>
        <v>1</v>
      </c>
      <c r="X9" s="8">
        <v>4.0</v>
      </c>
      <c r="Y9" s="86">
        <v>20.19</v>
      </c>
      <c r="Z9" s="127">
        <f t="shared" si="8"/>
        <v>26.92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3.0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3.44498999999999E-7</v>
      </c>
      <c r="L10" s="11">
        <v>3.47166001104993E-9</v>
      </c>
      <c r="M10" s="10">
        <f t="shared" si="1"/>
        <v>0.344499</v>
      </c>
      <c r="N10" s="10">
        <v>3.79374E-4</v>
      </c>
      <c r="O10" s="10">
        <v>0.343706697</v>
      </c>
      <c r="P10" s="10">
        <v>0.001060653</v>
      </c>
      <c r="Q10" s="12">
        <f t="shared" si="2"/>
        <v>-0.002299870246</v>
      </c>
      <c r="R10" s="13">
        <f t="shared" si="3"/>
        <v>-0.7033572848</v>
      </c>
      <c r="S10" s="8">
        <v>1000000.0</v>
      </c>
      <c r="T10" s="14">
        <f t="shared" si="4"/>
        <v>10.90270428</v>
      </c>
      <c r="U10" s="14">
        <f t="shared" si="5"/>
        <v>169.9328014</v>
      </c>
      <c r="V10" s="10">
        <f t="shared" si="6"/>
        <v>1.002305172</v>
      </c>
      <c r="W10" s="8">
        <f t="shared" si="7"/>
        <v>1</v>
      </c>
      <c r="X10" s="8">
        <v>5.0</v>
      </c>
      <c r="Y10" s="86">
        <v>30.05</v>
      </c>
      <c r="Z10" s="127">
        <f t="shared" si="8"/>
        <v>28.61904762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3.0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8.61202999999999E-7</v>
      </c>
      <c r="L11" s="11">
        <v>8.96978604071254E-9</v>
      </c>
      <c r="M11" s="10">
        <f t="shared" si="1"/>
        <v>0.861203</v>
      </c>
      <c r="N11" s="10">
        <v>9.45983E-4</v>
      </c>
      <c r="O11" s="10">
        <v>0.858353436</v>
      </c>
      <c r="P11" s="10">
        <v>0.002860228</v>
      </c>
      <c r="Q11" s="12">
        <f t="shared" si="2"/>
        <v>-0.003308818014</v>
      </c>
      <c r="R11" s="13">
        <f t="shared" si="3"/>
        <v>-0.9458804362</v>
      </c>
      <c r="S11" s="8">
        <v>1000000.0</v>
      </c>
      <c r="T11" s="14">
        <f t="shared" si="4"/>
        <v>27.25535235</v>
      </c>
      <c r="U11" s="14">
        <f t="shared" si="5"/>
        <v>424.8100529</v>
      </c>
      <c r="V11" s="10">
        <f t="shared" si="6"/>
        <v>1.003319803</v>
      </c>
      <c r="W11" s="8">
        <f t="shared" si="7"/>
        <v>1</v>
      </c>
      <c r="X11" s="8">
        <v>6.0</v>
      </c>
      <c r="Y11" s="86">
        <v>43.33</v>
      </c>
      <c r="Z11" s="127">
        <f t="shared" si="8"/>
        <v>32.0962963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3.0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1.83502752293578E-6</v>
      </c>
      <c r="L12" s="11">
        <v>1.73874468956221E-8</v>
      </c>
      <c r="M12" s="10">
        <f t="shared" si="1"/>
        <v>1.835027523</v>
      </c>
      <c r="N12" s="10">
        <v>0.002012234</v>
      </c>
      <c r="O12" s="10">
        <v>1.830536008</v>
      </c>
      <c r="P12" s="10">
        <v>0.006332453</v>
      </c>
      <c r="Q12" s="12">
        <f t="shared" si="2"/>
        <v>-0.002447655351</v>
      </c>
      <c r="R12" s="13">
        <f t="shared" si="3"/>
        <v>-0.6759774105</v>
      </c>
      <c r="S12" s="8">
        <v>1000000.0</v>
      </c>
      <c r="T12" s="14">
        <f t="shared" si="4"/>
        <v>58.07495064</v>
      </c>
      <c r="U12" s="14">
        <f t="shared" si="5"/>
        <v>905.1735061</v>
      </c>
      <c r="V12" s="10">
        <f t="shared" si="6"/>
        <v>1.002453661</v>
      </c>
      <c r="W12" s="8">
        <f t="shared" si="7"/>
        <v>1</v>
      </c>
      <c r="X12" s="8">
        <v>7.0</v>
      </c>
      <c r="Y12" s="86">
        <v>59.83</v>
      </c>
      <c r="Z12" s="127">
        <f t="shared" si="8"/>
        <v>36.26060606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3.0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2.74516513761467E-9</v>
      </c>
      <c r="L13" s="24">
        <v>3.90682009941086E-11</v>
      </c>
      <c r="M13" s="23">
        <f t="shared" si="1"/>
        <v>0.002745165138</v>
      </c>
      <c r="N13" s="23">
        <v>2.947E-6</v>
      </c>
      <c r="O13" s="23">
        <v>0.002734592</v>
      </c>
      <c r="P13" s="23">
        <v>6.595E-6</v>
      </c>
      <c r="Q13" s="26">
        <f t="shared" si="2"/>
        <v>-0.003851548845</v>
      </c>
      <c r="R13" s="27">
        <f t="shared" si="3"/>
        <v>-1.463715594</v>
      </c>
      <c r="S13" s="22">
        <v>910610.0</v>
      </c>
      <c r="T13" s="28">
        <f t="shared" si="4"/>
        <v>0.08687898566</v>
      </c>
      <c r="U13" s="28">
        <f t="shared" ref="U13:U19" si="9">K13/$K$14</f>
        <v>0.08687898566</v>
      </c>
      <c r="V13" s="107">
        <f t="shared" si="6"/>
        <v>1.003866441</v>
      </c>
      <c r="W13" s="22">
        <f t="shared" si="7"/>
        <v>1</v>
      </c>
      <c r="X13" s="22">
        <v>8.0</v>
      </c>
      <c r="Y13" s="111">
        <v>39.66</v>
      </c>
      <c r="Z13" s="71"/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3.0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3.15975735294117E-8</v>
      </c>
      <c r="L14" s="31">
        <v>5.91265430553987E-10</v>
      </c>
      <c r="M14" s="30">
        <f t="shared" si="1"/>
        <v>0.03159757353</v>
      </c>
      <c r="N14" s="30">
        <v>3.5923E-5</v>
      </c>
      <c r="O14" s="30">
        <v>0.031704158</v>
      </c>
      <c r="P14" s="30">
        <v>3.5923E-5</v>
      </c>
      <c r="Q14" s="32">
        <f t="shared" si="2"/>
        <v>0.003373185301</v>
      </c>
      <c r="R14" s="34">
        <f t="shared" si="3"/>
        <v>2.098004118</v>
      </c>
      <c r="S14" s="29">
        <v>1000000.0</v>
      </c>
      <c r="T14" s="35">
        <f t="shared" si="4"/>
        <v>1</v>
      </c>
      <c r="U14" s="35">
        <f t="shared" si="9"/>
        <v>1</v>
      </c>
      <c r="V14" s="30">
        <f t="shared" si="6"/>
        <v>0.9966381548</v>
      </c>
      <c r="W14" s="29">
        <f t="shared" si="7"/>
        <v>1</v>
      </c>
      <c r="X14" s="29">
        <v>9.0</v>
      </c>
      <c r="Y14" s="131">
        <v>41.31</v>
      </c>
      <c r="Z14" s="132">
        <f t="shared" ref="Z14:Z19" si="10">Y14/(H14*H14*F14*C14)</f>
        <v>68.85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3.0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3.58904587155963E-7</v>
      </c>
      <c r="L15" s="24">
        <v>4.96357818441459E-9</v>
      </c>
      <c r="M15" s="23">
        <f t="shared" si="1"/>
        <v>0.3589045872</v>
      </c>
      <c r="N15" s="23">
        <v>4.01982E-4</v>
      </c>
      <c r="O15" s="23">
        <v>0.358517498</v>
      </c>
      <c r="P15" s="23">
        <v>6.58684E-4</v>
      </c>
      <c r="Q15" s="26">
        <f t="shared" si="2"/>
        <v>-0.001078529419</v>
      </c>
      <c r="R15" s="27">
        <f t="shared" si="3"/>
        <v>-0.5016338623</v>
      </c>
      <c r="S15" s="22">
        <v>1000000.0</v>
      </c>
      <c r="T15" s="28">
        <f t="shared" si="4"/>
        <v>11.35861229</v>
      </c>
      <c r="U15" s="28">
        <f t="shared" si="9"/>
        <v>11.35861229</v>
      </c>
      <c r="V15" s="107">
        <f t="shared" si="6"/>
        <v>1.001079694</v>
      </c>
      <c r="W15" s="22">
        <f t="shared" si="7"/>
        <v>1</v>
      </c>
      <c r="X15" s="22">
        <v>10.0</v>
      </c>
      <c r="Y15" s="111">
        <v>54.48</v>
      </c>
      <c r="Z15" s="133">
        <f t="shared" si="10"/>
        <v>30.26666667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3.0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1.71065137614678E-6</v>
      </c>
      <c r="L16" s="24">
        <v>2.12569710338309E-8</v>
      </c>
      <c r="M16" s="23">
        <f t="shared" si="1"/>
        <v>1.710651376</v>
      </c>
      <c r="N16" s="23">
        <v>0.001896291</v>
      </c>
      <c r="O16" s="23">
        <v>1.70705533</v>
      </c>
      <c r="P16" s="23">
        <v>0.004544268</v>
      </c>
      <c r="Q16" s="26">
        <f t="shared" si="2"/>
        <v>-0.002102150208</v>
      </c>
      <c r="R16" s="27">
        <f t="shared" si="3"/>
        <v>-0.7303021812</v>
      </c>
      <c r="S16" s="22">
        <v>1000000.0</v>
      </c>
      <c r="T16" s="28">
        <f t="shared" si="4"/>
        <v>54.13869437</v>
      </c>
      <c r="U16" s="28">
        <f t="shared" si="9"/>
        <v>54.13869437</v>
      </c>
      <c r="V16" s="107">
        <f t="shared" si="6"/>
        <v>1.002106579</v>
      </c>
      <c r="W16" s="22">
        <f t="shared" si="7"/>
        <v>1</v>
      </c>
      <c r="X16" s="22">
        <v>11.0</v>
      </c>
      <c r="Y16" s="111">
        <v>80.94</v>
      </c>
      <c r="Z16" s="133">
        <f t="shared" si="10"/>
        <v>26.98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3.0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5.48018348623853E-6</v>
      </c>
      <c r="L17" s="24">
        <v>7.70804251868972E-8</v>
      </c>
      <c r="M17" s="23">
        <f t="shared" si="1"/>
        <v>5.480183486</v>
      </c>
      <c r="N17" s="23">
        <v>0.006044383</v>
      </c>
      <c r="O17" s="23">
        <v>5.499307156</v>
      </c>
      <c r="P17" s="23">
        <v>0.016970453</v>
      </c>
      <c r="Q17" s="26">
        <f t="shared" si="2"/>
        <v>0.003489603917</v>
      </c>
      <c r="R17" s="27">
        <f t="shared" si="3"/>
        <v>1.061556828</v>
      </c>
      <c r="S17" s="22">
        <v>1000000.0</v>
      </c>
      <c r="T17" s="28">
        <f t="shared" si="4"/>
        <v>173.4368457</v>
      </c>
      <c r="U17" s="28">
        <f t="shared" si="9"/>
        <v>173.4368457</v>
      </c>
      <c r="V17" s="107">
        <f t="shared" si="6"/>
        <v>0.9965225311</v>
      </c>
      <c r="W17" s="22">
        <f t="shared" si="7"/>
        <v>1</v>
      </c>
      <c r="X17" s="22">
        <v>12.0</v>
      </c>
      <c r="Y17" s="111">
        <v>120.5</v>
      </c>
      <c r="Z17" s="133">
        <f t="shared" si="10"/>
        <v>28.69047619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3.0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1.36461467889908E-5</v>
      </c>
      <c r="L18" s="24">
        <v>1.70086624209443E-7</v>
      </c>
      <c r="M18" s="23">
        <f t="shared" si="1"/>
        <v>13.64614679</v>
      </c>
      <c r="N18" s="23">
        <v>0.015002006</v>
      </c>
      <c r="O18" s="23">
        <v>13.733654976</v>
      </c>
      <c r="P18" s="23">
        <v>0.045763645</v>
      </c>
      <c r="Q18" s="26">
        <f t="shared" si="2"/>
        <v>0.0064126664</v>
      </c>
      <c r="R18" s="27">
        <f t="shared" si="3"/>
        <v>1.817036028</v>
      </c>
      <c r="S18" s="22">
        <v>1000000.0</v>
      </c>
      <c r="T18" s="28">
        <f t="shared" si="4"/>
        <v>431.8732505</v>
      </c>
      <c r="U18" s="28">
        <f t="shared" si="9"/>
        <v>431.8732505</v>
      </c>
      <c r="V18" s="107">
        <f t="shared" si="6"/>
        <v>0.9936281939</v>
      </c>
      <c r="W18" s="22">
        <f t="shared" si="7"/>
        <v>1</v>
      </c>
      <c r="X18" s="22">
        <v>13.0</v>
      </c>
      <c r="Y18" s="111">
        <v>173.3</v>
      </c>
      <c r="Z18" s="133">
        <f t="shared" si="10"/>
        <v>32.09259259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3.0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2.793E-5</v>
      </c>
      <c r="L19" s="24">
        <v>3.30386978489703E-7</v>
      </c>
      <c r="M19" s="23">
        <f t="shared" si="1"/>
        <v>27.93</v>
      </c>
      <c r="N19" s="23">
        <v>0.0306005</v>
      </c>
      <c r="O19" s="23">
        <v>29.288576126</v>
      </c>
      <c r="P19" s="23">
        <v>0.10131924</v>
      </c>
      <c r="Q19" s="26">
        <f t="shared" si="2"/>
        <v>0.04864218138</v>
      </c>
      <c r="R19" s="27">
        <f t="shared" si="3"/>
        <v>12.83620374</v>
      </c>
      <c r="S19" s="22">
        <v>1000000.0</v>
      </c>
      <c r="T19" s="28">
        <f t="shared" si="4"/>
        <v>883.9286338</v>
      </c>
      <c r="U19" s="28">
        <f t="shared" si="9"/>
        <v>883.9286338</v>
      </c>
      <c r="V19" s="107">
        <f t="shared" si="6"/>
        <v>0.9536141286</v>
      </c>
      <c r="W19" s="22">
        <f t="shared" si="7"/>
        <v>1</v>
      </c>
      <c r="X19" s="22">
        <v>14.0</v>
      </c>
      <c r="Y19" s="111">
        <v>239.3</v>
      </c>
      <c r="Z19" s="133">
        <f t="shared" si="10"/>
        <v>36.25757576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3.0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1.35600917431192E-8</v>
      </c>
      <c r="L20" s="39">
        <v>1.37419979495435E-10</v>
      </c>
      <c r="M20" s="38">
        <f t="shared" si="1"/>
        <v>0.01356009174</v>
      </c>
      <c r="N20" s="38">
        <v>1.4579E-5</v>
      </c>
      <c r="O20" s="38">
        <v>0.013765262</v>
      </c>
      <c r="P20" s="38">
        <v>3.3386E-5</v>
      </c>
      <c r="Q20" s="40">
        <f t="shared" si="2"/>
        <v>0.01513044755</v>
      </c>
      <c r="R20" s="41">
        <f t="shared" si="3"/>
        <v>5.631845837</v>
      </c>
      <c r="S20" s="37">
        <v>910610.0</v>
      </c>
      <c r="T20" s="42">
        <f t="shared" si="4"/>
        <v>0.4291497805</v>
      </c>
      <c r="U20" s="42">
        <f t="shared" ref="U20:U26" si="11">K20/$K$21</f>
        <v>0.08509981113</v>
      </c>
      <c r="V20" s="38">
        <f t="shared" si="6"/>
        <v>0.9850950707</v>
      </c>
      <c r="W20" s="37">
        <f t="shared" si="7"/>
        <v>1</v>
      </c>
      <c r="X20" s="37">
        <v>15.0</v>
      </c>
      <c r="Y20" s="126">
        <v>89.22</v>
      </c>
      <c r="Z20" s="81"/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3.0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1.59343382352941E-7</v>
      </c>
      <c r="L21" s="39">
        <v>3.06117145830934E-9</v>
      </c>
      <c r="M21" s="38">
        <f t="shared" si="1"/>
        <v>0.1593433824</v>
      </c>
      <c r="N21" s="38">
        <v>1.81003E-4</v>
      </c>
      <c r="O21" s="38">
        <v>0.159639567</v>
      </c>
      <c r="P21" s="38">
        <v>1.81859E-4</v>
      </c>
      <c r="Q21" s="40">
        <f t="shared" si="2"/>
        <v>0.001858782227</v>
      </c>
      <c r="R21" s="41">
        <f t="shared" si="3"/>
        <v>1.154342916</v>
      </c>
      <c r="S21" s="37">
        <v>1000000.0</v>
      </c>
      <c r="T21" s="42">
        <f t="shared" si="4"/>
        <v>5.042899329</v>
      </c>
      <c r="U21" s="42">
        <f t="shared" si="11"/>
        <v>1</v>
      </c>
      <c r="V21" s="124">
        <f t="shared" si="6"/>
        <v>0.9981446664</v>
      </c>
      <c r="W21" s="37">
        <f t="shared" si="7"/>
        <v>1</v>
      </c>
      <c r="X21" s="37">
        <v>16.0</v>
      </c>
      <c r="Y21" s="126">
        <v>92.95</v>
      </c>
      <c r="Z21" s="134">
        <f t="shared" ref="Z21:Z26" si="12">Y21/(H21*H21*F21*C21)</f>
        <v>68.85185185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3.0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1.81415E-6</v>
      </c>
      <c r="L22" s="39">
        <v>1.83437298345353E-8</v>
      </c>
      <c r="M22" s="124">
        <f t="shared" si="1"/>
        <v>1.81415</v>
      </c>
      <c r="N22" s="38">
        <v>0.00203192</v>
      </c>
      <c r="O22" s="38">
        <v>1.827087998</v>
      </c>
      <c r="P22" s="38">
        <v>0.003334587</v>
      </c>
      <c r="Q22" s="40">
        <f t="shared" si="2"/>
        <v>0.007131713475</v>
      </c>
      <c r="R22" s="41">
        <f t="shared" si="3"/>
        <v>3.313280667</v>
      </c>
      <c r="S22" s="37">
        <v>1000000.0</v>
      </c>
      <c r="T22" s="42">
        <f t="shared" si="4"/>
        <v>57.41421879</v>
      </c>
      <c r="U22" s="42">
        <f t="shared" si="11"/>
        <v>11.38516061</v>
      </c>
      <c r="V22" s="124">
        <f t="shared" si="6"/>
        <v>0.9929187877</v>
      </c>
      <c r="W22" s="37">
        <f t="shared" si="7"/>
        <v>1</v>
      </c>
      <c r="X22" s="37">
        <v>17.0</v>
      </c>
      <c r="Y22" s="126">
        <v>122.7</v>
      </c>
      <c r="Z22" s="134">
        <f t="shared" si="12"/>
        <v>30.2962963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3.0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8.53218E-6</v>
      </c>
      <c r="L23" s="39">
        <v>8.60093229618954E-8</v>
      </c>
      <c r="M23" s="38">
        <f t="shared" si="1"/>
        <v>8.53218</v>
      </c>
      <c r="N23" s="38">
        <v>0.009455504</v>
      </c>
      <c r="O23" s="38">
        <v>8.648050308</v>
      </c>
      <c r="P23" s="38">
        <v>0.023005358</v>
      </c>
      <c r="Q23" s="40">
        <f t="shared" si="2"/>
        <v>0.01358038719</v>
      </c>
      <c r="R23" s="41">
        <f t="shared" si="3"/>
        <v>4.658526618</v>
      </c>
      <c r="S23" s="37">
        <v>1000000.0</v>
      </c>
      <c r="T23" s="42">
        <f t="shared" si="4"/>
        <v>270.0264307</v>
      </c>
      <c r="U23" s="42">
        <f t="shared" si="11"/>
        <v>53.54586977</v>
      </c>
      <c r="V23" s="124">
        <f t="shared" si="6"/>
        <v>0.9866015687</v>
      </c>
      <c r="W23" s="37">
        <f t="shared" si="7"/>
        <v>1</v>
      </c>
      <c r="X23" s="37">
        <v>18.0</v>
      </c>
      <c r="Y23" s="126">
        <v>182.1</v>
      </c>
      <c r="Z23" s="134">
        <f t="shared" si="12"/>
        <v>26.97777778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3.0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2.65395E-5</v>
      </c>
      <c r="L24" s="39">
        <v>2.60370268593932E-7</v>
      </c>
      <c r="M24" s="124">
        <f t="shared" si="1"/>
        <v>26.5395</v>
      </c>
      <c r="N24" s="38">
        <v>0.029268098</v>
      </c>
      <c r="O24" s="38">
        <v>27.749694824</v>
      </c>
      <c r="P24" s="38">
        <v>0.085912919</v>
      </c>
      <c r="Q24" s="40">
        <f t="shared" si="2"/>
        <v>0.04559975975</v>
      </c>
      <c r="R24" s="41">
        <f t="shared" si="3"/>
        <v>13.3337894</v>
      </c>
      <c r="S24" s="37">
        <v>1000000.0</v>
      </c>
      <c r="T24" s="42">
        <f t="shared" si="4"/>
        <v>839.9220901</v>
      </c>
      <c r="U24" s="42">
        <f t="shared" si="11"/>
        <v>166.5553951</v>
      </c>
      <c r="V24" s="124">
        <f t="shared" si="6"/>
        <v>0.9563888961</v>
      </c>
      <c r="W24" s="37">
        <f t="shared" si="7"/>
        <v>1</v>
      </c>
      <c r="X24" s="37">
        <v>19.0</v>
      </c>
      <c r="Y24" s="126">
        <v>271.2</v>
      </c>
      <c r="Z24" s="134">
        <f t="shared" si="12"/>
        <v>28.6984127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3.0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7.01530999999999E-5</v>
      </c>
      <c r="L25" s="39">
        <v>6.72870670629906E-7</v>
      </c>
      <c r="M25" s="124">
        <f t="shared" si="1"/>
        <v>70.1531</v>
      </c>
      <c r="N25" s="38">
        <v>0.077133167</v>
      </c>
      <c r="O25" s="38">
        <v>69.827896118</v>
      </c>
      <c r="P25" s="38">
        <v>0.231678454</v>
      </c>
      <c r="Q25" s="40">
        <f t="shared" si="2"/>
        <v>-0.004635630956</v>
      </c>
      <c r="R25" s="41">
        <f t="shared" si="3"/>
        <v>-1.33181406</v>
      </c>
      <c r="S25" s="37">
        <v>1000000.0</v>
      </c>
      <c r="T25" s="42">
        <f t="shared" si="4"/>
        <v>2220.205293</v>
      </c>
      <c r="U25" s="42">
        <f t="shared" si="11"/>
        <v>440.2636555</v>
      </c>
      <c r="V25" s="124">
        <f t="shared" si="6"/>
        <v>1.00465722</v>
      </c>
      <c r="W25" s="37">
        <f t="shared" si="7"/>
        <v>1</v>
      </c>
      <c r="X25" s="37">
        <v>20.0</v>
      </c>
      <c r="Y25" s="126">
        <v>390.0</v>
      </c>
      <c r="Z25" s="134">
        <f t="shared" si="12"/>
        <v>32.09876543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3.0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1.50523853211009E-4</v>
      </c>
      <c r="L26" s="39">
        <v>1.77314843869905E-6</v>
      </c>
      <c r="M26" s="38">
        <f t="shared" si="1"/>
        <v>150.5238532</v>
      </c>
      <c r="N26" s="38">
        <v>0.165128958</v>
      </c>
      <c r="O26" s="38">
        <v>148.356933594</v>
      </c>
      <c r="P26" s="38">
        <v>0.512928654</v>
      </c>
      <c r="Q26" s="40">
        <f t="shared" si="2"/>
        <v>-0.01439585535</v>
      </c>
      <c r="R26" s="41">
        <f t="shared" si="3"/>
        <v>-4.021350076</v>
      </c>
      <c r="S26" s="37">
        <v>1000000.0</v>
      </c>
      <c r="T26" s="42">
        <f t="shared" si="4"/>
        <v>4763.778873</v>
      </c>
      <c r="U26" s="42">
        <f t="shared" si="11"/>
        <v>944.6507975</v>
      </c>
      <c r="V26" s="124">
        <f t="shared" si="6"/>
        <v>1.014606123</v>
      </c>
      <c r="W26" s="37">
        <f t="shared" si="7"/>
        <v>1</v>
      </c>
      <c r="X26" s="37">
        <v>21.0</v>
      </c>
      <c r="Y26" s="126">
        <v>538.4</v>
      </c>
      <c r="Z26" s="134">
        <f t="shared" si="12"/>
        <v>36.25589226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3.0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4.23462E-8</v>
      </c>
      <c r="L27" s="46">
        <v>4.19580791271526E-10</v>
      </c>
      <c r="M27" s="45">
        <f t="shared" si="1"/>
        <v>0.0423462</v>
      </c>
      <c r="N27" s="45">
        <v>4.5586E-5</v>
      </c>
      <c r="O27" s="45">
        <v>0.043753471</v>
      </c>
      <c r="P27" s="45">
        <v>1.05515E-4</v>
      </c>
      <c r="Q27" s="47">
        <f t="shared" si="2"/>
        <v>0.03323252145</v>
      </c>
      <c r="R27" s="48">
        <f t="shared" si="3"/>
        <v>12.24339035</v>
      </c>
      <c r="S27" s="44">
        <v>910610.0</v>
      </c>
      <c r="T27" s="49">
        <f t="shared" si="4"/>
        <v>1.340172528</v>
      </c>
      <c r="U27" s="49">
        <f t="shared" ref="U27:U33" si="13">K27/$K$28</f>
        <v>0.08459190482</v>
      </c>
      <c r="V27" s="45">
        <f t="shared" si="6"/>
        <v>0.9678363575</v>
      </c>
      <c r="W27" s="44">
        <f t="shared" si="7"/>
        <v>1</v>
      </c>
      <c r="X27" s="44">
        <v>22.0</v>
      </c>
      <c r="Y27" s="138">
        <v>158.8</v>
      </c>
      <c r="Z27" s="85"/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3.0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5.00594E-7</v>
      </c>
      <c r="L28" s="46">
        <v>4.77065567354798E-9</v>
      </c>
      <c r="M28" s="45">
        <f t="shared" si="1"/>
        <v>0.500594</v>
      </c>
      <c r="N28" s="45">
        <v>5.68372E-4</v>
      </c>
      <c r="O28" s="45">
        <v>0.507266521</v>
      </c>
      <c r="P28" s="45">
        <v>5.74765E-4</v>
      </c>
      <c r="Q28" s="47">
        <f t="shared" si="2"/>
        <v>0.0133292069</v>
      </c>
      <c r="R28" s="48">
        <f t="shared" si="3"/>
        <v>8.254673001</v>
      </c>
      <c r="S28" s="44">
        <v>1000000.0</v>
      </c>
      <c r="T28" s="49">
        <f t="shared" si="4"/>
        <v>15.8427988</v>
      </c>
      <c r="U28" s="49">
        <f t="shared" si="13"/>
        <v>1</v>
      </c>
      <c r="V28" s="136">
        <f t="shared" si="6"/>
        <v>0.9868461238</v>
      </c>
      <c r="W28" s="44">
        <f t="shared" si="7"/>
        <v>1</v>
      </c>
      <c r="X28" s="44">
        <v>23.0</v>
      </c>
      <c r="Y28" s="138">
        <v>165.2</v>
      </c>
      <c r="Z28" s="139">
        <f t="shared" ref="Z28:Z33" si="14">Y28/(H28*H28*F28*C28)</f>
        <v>68.83333333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3.0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5.42220999999999E-6</v>
      </c>
      <c r="L29" s="46">
        <v>5.82331251839265E-8</v>
      </c>
      <c r="M29" s="136">
        <f t="shared" si="1"/>
        <v>5.42221</v>
      </c>
      <c r="N29" s="45">
        <v>0.006078803</v>
      </c>
      <c r="O29" s="45">
        <v>5.736279964</v>
      </c>
      <c r="P29" s="45">
        <v>0.010538943</v>
      </c>
      <c r="Q29" s="47">
        <f t="shared" si="2"/>
        <v>0.05792286983</v>
      </c>
      <c r="R29" s="48">
        <f t="shared" si="3"/>
        <v>25.81454621</v>
      </c>
      <c r="S29" s="44">
        <v>1000000.0</v>
      </c>
      <c r="T29" s="49">
        <f t="shared" si="4"/>
        <v>171.6021009</v>
      </c>
      <c r="U29" s="49">
        <f t="shared" si="13"/>
        <v>10.83155212</v>
      </c>
      <c r="V29" s="136">
        <f t="shared" si="6"/>
        <v>0.9452484945</v>
      </c>
      <c r="W29" s="44">
        <f t="shared" si="7"/>
        <v>1</v>
      </c>
      <c r="X29" s="44">
        <v>24.0</v>
      </c>
      <c r="Y29" s="138">
        <v>218.2</v>
      </c>
      <c r="Z29" s="139">
        <f t="shared" si="14"/>
        <v>30.30555556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3.0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2.75581E-5</v>
      </c>
      <c r="L30" s="46">
        <v>2.79319862986122E-7</v>
      </c>
      <c r="M30" s="45">
        <f t="shared" si="1"/>
        <v>27.5581</v>
      </c>
      <c r="N30" s="45">
        <v>0.03055377</v>
      </c>
      <c r="O30" s="45">
        <v>27.312885284</v>
      </c>
      <c r="P30" s="45">
        <v>0.072708292</v>
      </c>
      <c r="Q30" s="47">
        <f t="shared" si="2"/>
        <v>-0.008898099506</v>
      </c>
      <c r="R30" s="48">
        <f t="shared" si="3"/>
        <v>-3.109212031</v>
      </c>
      <c r="S30" s="44">
        <v>1000000.0</v>
      </c>
      <c r="T30" s="49">
        <f t="shared" si="4"/>
        <v>872.1587426</v>
      </c>
      <c r="U30" s="49">
        <f t="shared" si="13"/>
        <v>55.05079965</v>
      </c>
      <c r="V30" s="136">
        <f t="shared" si="6"/>
        <v>1.008977987</v>
      </c>
      <c r="W30" s="44">
        <f t="shared" si="7"/>
        <v>1</v>
      </c>
      <c r="X30" s="44">
        <v>25.0</v>
      </c>
      <c r="Y30" s="138">
        <v>323.8</v>
      </c>
      <c r="Z30" s="139">
        <f t="shared" si="14"/>
        <v>26.98333333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3.0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8.90543E-5</v>
      </c>
      <c r="L31" s="46">
        <v>8.19519759593163E-7</v>
      </c>
      <c r="M31" s="136">
        <f t="shared" si="1"/>
        <v>89.0543</v>
      </c>
      <c r="N31" s="45">
        <v>0.098144088</v>
      </c>
      <c r="O31" s="45">
        <v>87.98891449</v>
      </c>
      <c r="P31" s="45">
        <v>0.27152725</v>
      </c>
      <c r="Q31" s="47">
        <f t="shared" si="2"/>
        <v>-0.01196332474</v>
      </c>
      <c r="R31" s="48">
        <f t="shared" si="3"/>
        <v>-3.690028594</v>
      </c>
      <c r="S31" s="44">
        <v>1000000.0</v>
      </c>
      <c r="T31" s="49">
        <f t="shared" si="4"/>
        <v>2818.390467</v>
      </c>
      <c r="U31" s="49">
        <f t="shared" si="13"/>
        <v>177.8972581</v>
      </c>
      <c r="V31" s="136">
        <f t="shared" si="6"/>
        <v>1.012108179</v>
      </c>
      <c r="W31" s="44">
        <f t="shared" si="7"/>
        <v>1</v>
      </c>
      <c r="X31" s="44">
        <v>26.0</v>
      </c>
      <c r="Y31" s="138">
        <v>482.1</v>
      </c>
      <c r="Z31" s="139">
        <f t="shared" si="14"/>
        <v>28.69642857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3.0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2.26113E-4</v>
      </c>
      <c r="L32" s="46">
        <v>1.974619513279E-6</v>
      </c>
      <c r="M32" s="136">
        <f t="shared" si="1"/>
        <v>226.113</v>
      </c>
      <c r="N32" s="45">
        <v>0.248183529</v>
      </c>
      <c r="O32" s="45">
        <v>219.738479614</v>
      </c>
      <c r="P32" s="45">
        <v>0.732218324</v>
      </c>
      <c r="Q32" s="47">
        <f t="shared" si="2"/>
        <v>-0.02819174654</v>
      </c>
      <c r="R32" s="48">
        <f t="shared" si="3"/>
        <v>-8.245021893</v>
      </c>
      <c r="S32" s="44">
        <v>1000000.0</v>
      </c>
      <c r="T32" s="49">
        <f t="shared" si="4"/>
        <v>7156.024173</v>
      </c>
      <c r="U32" s="49">
        <f t="shared" si="13"/>
        <v>451.689393</v>
      </c>
      <c r="V32" s="136">
        <f t="shared" si="6"/>
        <v>1.029009577</v>
      </c>
      <c r="W32" s="44">
        <f t="shared" si="7"/>
        <v>1</v>
      </c>
      <c r="X32" s="44">
        <v>27.0</v>
      </c>
      <c r="Y32" s="138">
        <v>693.3</v>
      </c>
      <c r="Z32" s="139">
        <f t="shared" si="14"/>
        <v>32.09722222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3.0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4.90829999999999E-4</v>
      </c>
      <c r="L33" s="46">
        <v>5.08093087788631E-6</v>
      </c>
      <c r="M33" s="136">
        <f t="shared" si="1"/>
        <v>490.83</v>
      </c>
      <c r="N33" s="45">
        <v>0.537875126</v>
      </c>
      <c r="O33" s="45">
        <v>468.617218018</v>
      </c>
      <c r="P33" s="45">
        <v>1.621107841</v>
      </c>
      <c r="Q33" s="47">
        <f t="shared" si="2"/>
        <v>-0.04525555077</v>
      </c>
      <c r="R33" s="48">
        <f t="shared" si="3"/>
        <v>-13.0050608</v>
      </c>
      <c r="S33" s="44">
        <v>1000000.0</v>
      </c>
      <c r="T33" s="49">
        <f t="shared" si="4"/>
        <v>15533.78773</v>
      </c>
      <c r="U33" s="49">
        <f t="shared" si="13"/>
        <v>980.4951717</v>
      </c>
      <c r="V33" s="136">
        <f t="shared" si="6"/>
        <v>1.047400695</v>
      </c>
      <c r="W33" s="44">
        <f t="shared" si="7"/>
        <v>1</v>
      </c>
      <c r="X33" s="44">
        <v>28.0</v>
      </c>
      <c r="Y33" s="138">
        <v>957.2</v>
      </c>
      <c r="Z33" s="139">
        <f t="shared" si="14"/>
        <v>36.25757576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3.0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1.003528E-7</v>
      </c>
      <c r="L34" s="53">
        <v>8.80956871873424E-10</v>
      </c>
      <c r="M34" s="52">
        <f t="shared" si="1"/>
        <v>0.1003528</v>
      </c>
      <c r="N34" s="52">
        <v>1.07547E-4</v>
      </c>
      <c r="O34" s="52">
        <v>0.106369205</v>
      </c>
      <c r="P34" s="52">
        <v>2.57605E-4</v>
      </c>
      <c r="Q34" s="54">
        <f t="shared" si="2"/>
        <v>0.05995253745</v>
      </c>
      <c r="R34" s="55">
        <f t="shared" si="3"/>
        <v>21.55231568</v>
      </c>
      <c r="S34" s="51">
        <v>910610.0</v>
      </c>
      <c r="T34" s="56">
        <f t="shared" si="4"/>
        <v>3.175965392</v>
      </c>
      <c r="U34" s="56">
        <f t="shared" ref="U34:U40" si="15">K34/$K$35</f>
        <v>0.08661631811</v>
      </c>
      <c r="V34" s="52">
        <f t="shared" si="6"/>
        <v>0.9434384698</v>
      </c>
      <c r="W34" s="51">
        <f t="shared" si="7"/>
        <v>1</v>
      </c>
      <c r="X34" s="51">
        <v>29.0</v>
      </c>
      <c r="Y34" s="143">
        <v>248.1</v>
      </c>
      <c r="Z34" s="87"/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3.0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1.15859E-6</v>
      </c>
      <c r="L35" s="53">
        <v>1.08470495918698E-8</v>
      </c>
      <c r="M35" s="52">
        <f t="shared" si="1"/>
        <v>1.15859</v>
      </c>
      <c r="N35" s="52">
        <v>0.001319543</v>
      </c>
      <c r="O35" s="52">
        <v>1.22988677</v>
      </c>
      <c r="P35" s="52">
        <v>0.001403236</v>
      </c>
      <c r="Q35" s="54">
        <f t="shared" si="2"/>
        <v>0.06153753269</v>
      </c>
      <c r="R35" s="55">
        <f t="shared" si="3"/>
        <v>37.01411674</v>
      </c>
      <c r="S35" s="51">
        <v>1000000.0</v>
      </c>
      <c r="T35" s="56">
        <f t="shared" si="4"/>
        <v>36.66705606</v>
      </c>
      <c r="U35" s="56">
        <f t="shared" si="15"/>
        <v>1</v>
      </c>
      <c r="V35" s="151">
        <f t="shared" si="6"/>
        <v>0.9420298098</v>
      </c>
      <c r="W35" s="51">
        <f t="shared" si="7"/>
        <v>1</v>
      </c>
      <c r="X35" s="51">
        <v>30.0</v>
      </c>
      <c r="Y35" s="143">
        <v>258.3</v>
      </c>
      <c r="Z35" s="144">
        <f t="shared" ref="Z35:Z40" si="16">Y35/(H35*H35*F35*C35)</f>
        <v>68.88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3.0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1.41116999999999E-5</v>
      </c>
      <c r="L36" s="53">
        <v>1.2873161337771E-7</v>
      </c>
      <c r="M36" s="151">
        <f t="shared" si="1"/>
        <v>14.1117</v>
      </c>
      <c r="N36" s="52">
        <v>0.01580449</v>
      </c>
      <c r="O36" s="52">
        <v>14.021092415</v>
      </c>
      <c r="P36" s="52">
        <v>0.025729842</v>
      </c>
      <c r="Q36" s="54">
        <f t="shared" si="2"/>
        <v>-0.006420742008</v>
      </c>
      <c r="R36" s="55">
        <f t="shared" si="3"/>
        <v>-3.000635009</v>
      </c>
      <c r="S36" s="51">
        <v>1000000.0</v>
      </c>
      <c r="T36" s="56">
        <f t="shared" si="4"/>
        <v>446.6070784</v>
      </c>
      <c r="U36" s="56">
        <f t="shared" si="15"/>
        <v>12.1800637</v>
      </c>
      <c r="V36" s="151">
        <f t="shared" si="6"/>
        <v>1.006462234</v>
      </c>
      <c r="W36" s="51">
        <f t="shared" si="7"/>
        <v>1</v>
      </c>
      <c r="X36" s="51">
        <v>31.0</v>
      </c>
      <c r="Y36" s="143">
        <v>340.9</v>
      </c>
      <c r="Z36" s="144">
        <f t="shared" si="16"/>
        <v>30.30222222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3.0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6.77453E-5</v>
      </c>
      <c r="L37" s="53">
        <v>6.84923434488199E-7</v>
      </c>
      <c r="M37" s="52">
        <f t="shared" si="1"/>
        <v>67.7453</v>
      </c>
      <c r="N37" s="52">
        <v>0.075045844</v>
      </c>
      <c r="O37" s="52">
        <v>66.736747742</v>
      </c>
      <c r="P37" s="52">
        <v>0.177510477</v>
      </c>
      <c r="Q37" s="54">
        <f t="shared" si="2"/>
        <v>-0.01488741297</v>
      </c>
      <c r="R37" s="55">
        <f t="shared" si="3"/>
        <v>-5.233191785</v>
      </c>
      <c r="S37" s="51">
        <v>1000000.0</v>
      </c>
      <c r="T37" s="56">
        <f t="shared" si="4"/>
        <v>2144.003239</v>
      </c>
      <c r="U37" s="56">
        <f t="shared" si="15"/>
        <v>58.47219465</v>
      </c>
      <c r="V37" s="151">
        <f t="shared" si="6"/>
        <v>1.015112397</v>
      </c>
      <c r="W37" s="51">
        <f t="shared" si="7"/>
        <v>1</v>
      </c>
      <c r="X37" s="51">
        <v>32.0</v>
      </c>
      <c r="Y37" s="143">
        <v>505.9</v>
      </c>
      <c r="Z37" s="144">
        <f t="shared" si="16"/>
        <v>26.98133333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3.0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2.21196999999999E-4</v>
      </c>
      <c r="L38" s="53">
        <v>1.93215507460535E-6</v>
      </c>
      <c r="M38" s="151">
        <f t="shared" si="1"/>
        <v>221.197</v>
      </c>
      <c r="N38" s="52">
        <v>0.243776701</v>
      </c>
      <c r="O38" s="52">
        <v>214.430145264</v>
      </c>
      <c r="P38" s="52">
        <v>0.662908324</v>
      </c>
      <c r="Q38" s="54">
        <f t="shared" si="2"/>
        <v>-0.03059198242</v>
      </c>
      <c r="R38" s="55">
        <f t="shared" si="3"/>
        <v>-9.580566496</v>
      </c>
      <c r="S38" s="51">
        <v>1000000.0</v>
      </c>
      <c r="T38" s="56">
        <f t="shared" si="4"/>
        <v>7000.442607</v>
      </c>
      <c r="U38" s="56">
        <f t="shared" si="15"/>
        <v>190.9191345</v>
      </c>
      <c r="V38" s="151">
        <f t="shared" si="6"/>
        <v>1.031557385</v>
      </c>
      <c r="W38" s="51">
        <f t="shared" si="7"/>
        <v>1</v>
      </c>
      <c r="X38" s="51">
        <v>33.0</v>
      </c>
      <c r="Y38" s="143">
        <v>753.3</v>
      </c>
      <c r="Z38" s="144">
        <f t="shared" si="16"/>
        <v>28.69714286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3.0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5.69809E-4</v>
      </c>
      <c r="L39" s="53">
        <v>5.32641777019285E-6</v>
      </c>
      <c r="M39" s="151">
        <f t="shared" si="1"/>
        <v>569.809</v>
      </c>
      <c r="N39" s="52">
        <v>0.625386088</v>
      </c>
      <c r="O39" s="52">
        <v>539.389343262</v>
      </c>
      <c r="P39" s="52">
        <v>1.787642389</v>
      </c>
      <c r="Q39" s="54">
        <f t="shared" si="2"/>
        <v>-0.05338570773</v>
      </c>
      <c r="R39" s="55">
        <f t="shared" si="3"/>
        <v>-16.06210124</v>
      </c>
      <c r="S39" s="51">
        <v>1000000.0</v>
      </c>
      <c r="T39" s="56">
        <f t="shared" si="4"/>
        <v>18033.3151</v>
      </c>
      <c r="U39" s="56">
        <f t="shared" si="15"/>
        <v>491.8124617</v>
      </c>
      <c r="V39" s="151">
        <f t="shared" si="6"/>
        <v>1.056396473</v>
      </c>
      <c r="W39" s="51">
        <f t="shared" si="7"/>
        <v>1</v>
      </c>
      <c r="X39" s="51">
        <v>34.0</v>
      </c>
      <c r="Y39" s="143">
        <v>1083.0</v>
      </c>
      <c r="Z39" s="144">
        <f t="shared" si="16"/>
        <v>32.08888889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3.0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0.00126255999999999</v>
      </c>
      <c r="L40" s="53">
        <v>1.18920396089403E-5</v>
      </c>
      <c r="M40" s="151">
        <f t="shared" si="1"/>
        <v>1262.56</v>
      </c>
      <c r="N40" s="52">
        <v>1.382850822</v>
      </c>
      <c r="O40" s="52">
        <v>1143.884765625</v>
      </c>
      <c r="P40" s="52">
        <v>3.957782822</v>
      </c>
      <c r="Q40" s="54">
        <f t="shared" si="2"/>
        <v>-0.09399571852</v>
      </c>
      <c r="R40" s="55">
        <f t="shared" si="3"/>
        <v>-28.30714745</v>
      </c>
      <c r="S40" s="51">
        <v>1000000.0</v>
      </c>
      <c r="T40" s="56">
        <f t="shared" si="4"/>
        <v>39957.4986</v>
      </c>
      <c r="U40" s="56">
        <f t="shared" si="15"/>
        <v>1089.738389</v>
      </c>
      <c r="V40" s="151">
        <f t="shared" si="6"/>
        <v>1.103747543</v>
      </c>
      <c r="W40" s="51">
        <f t="shared" si="7"/>
        <v>1</v>
      </c>
      <c r="X40" s="51">
        <v>35.0</v>
      </c>
      <c r="Y40" s="143">
        <v>1496.0</v>
      </c>
      <c r="Z40" s="144">
        <f t="shared" si="16"/>
        <v>36.26666667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3.0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2.12986E-7</v>
      </c>
      <c r="L41" s="60">
        <v>1.92290920169928E-9</v>
      </c>
      <c r="M41" s="59">
        <f t="shared" si="1"/>
        <v>0.212986</v>
      </c>
      <c r="N41" s="59">
        <v>2.29516E-4</v>
      </c>
      <c r="O41" s="59">
        <v>0.220244199</v>
      </c>
      <c r="P41" s="59">
        <v>5.3417E-4</v>
      </c>
      <c r="Q41" s="61">
        <f t="shared" si="2"/>
        <v>0.03407829153</v>
      </c>
      <c r="R41" s="62">
        <f t="shared" si="3"/>
        <v>12.48420142</v>
      </c>
      <c r="S41" s="58">
        <v>910610.0</v>
      </c>
      <c r="T41" s="63">
        <f t="shared" si="4"/>
        <v>6.74058088</v>
      </c>
      <c r="U41" s="63">
        <f t="shared" ref="U41:U47" si="17">K41/$K$42</f>
        <v>0.08303385899</v>
      </c>
      <c r="V41" s="59">
        <f t="shared" si="6"/>
        <v>0.9670447665</v>
      </c>
      <c r="W41" s="58">
        <f t="shared" si="7"/>
        <v>1</v>
      </c>
      <c r="X41" s="58">
        <v>36.0</v>
      </c>
      <c r="Y41" s="147">
        <v>357.2</v>
      </c>
      <c r="Z41" s="89"/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3.0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2.56505E-6</v>
      </c>
      <c r="L42" s="60">
        <v>2.46504348723088E-8</v>
      </c>
      <c r="M42" s="59">
        <f t="shared" si="1"/>
        <v>2.56505</v>
      </c>
      <c r="N42" s="59">
        <v>0.002912694</v>
      </c>
      <c r="O42" s="59">
        <v>2.554233074</v>
      </c>
      <c r="P42" s="59">
        <v>0.00290975</v>
      </c>
      <c r="Q42" s="61">
        <f t="shared" si="2"/>
        <v>-0.004217042943</v>
      </c>
      <c r="R42" s="62">
        <f t="shared" si="3"/>
        <v>-2.627323079</v>
      </c>
      <c r="S42" s="58">
        <v>1000000.0</v>
      </c>
      <c r="T42" s="63">
        <f t="shared" si="4"/>
        <v>81.17870183</v>
      </c>
      <c r="U42" s="63">
        <f t="shared" si="17"/>
        <v>1</v>
      </c>
      <c r="V42" s="161">
        <f t="shared" si="6"/>
        <v>1.004234902</v>
      </c>
      <c r="W42" s="58">
        <f t="shared" si="7"/>
        <v>1</v>
      </c>
      <c r="X42" s="58">
        <v>37.0</v>
      </c>
      <c r="Y42" s="147">
        <v>372.0</v>
      </c>
      <c r="Z42" s="148">
        <f t="shared" ref="Z42:Z47" si="18">Y42/(H42*H42*F42*C42)</f>
        <v>68.88888889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3.0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2.94914999999999E-5</v>
      </c>
      <c r="L43" s="60">
        <v>2.79192106484463E-7</v>
      </c>
      <c r="M43" s="161">
        <f t="shared" si="1"/>
        <v>29.4915</v>
      </c>
      <c r="N43" s="59">
        <v>0.03306662</v>
      </c>
      <c r="O43" s="59">
        <v>29.233407974</v>
      </c>
      <c r="P43" s="59">
        <v>0.0533534</v>
      </c>
      <c r="Q43" s="61">
        <f t="shared" si="2"/>
        <v>-0.008751403828</v>
      </c>
      <c r="R43" s="62">
        <f t="shared" si="3"/>
        <v>-4.111754834</v>
      </c>
      <c r="S43" s="58">
        <v>1000000.0</v>
      </c>
      <c r="T43" s="63">
        <f t="shared" si="4"/>
        <v>933.3469854</v>
      </c>
      <c r="U43" s="63">
        <f t="shared" si="17"/>
        <v>11.4974367</v>
      </c>
      <c r="V43" s="161">
        <f t="shared" si="6"/>
        <v>1.008828667</v>
      </c>
      <c r="W43" s="58">
        <f t="shared" si="7"/>
        <v>1</v>
      </c>
      <c r="X43" s="58">
        <v>38.0</v>
      </c>
      <c r="Y43" s="147">
        <v>490.9</v>
      </c>
      <c r="Z43" s="148">
        <f t="shared" si="18"/>
        <v>30.30246914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3.0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1.42964999999999E-4</v>
      </c>
      <c r="L44" s="60">
        <v>1.29141493148117E-6</v>
      </c>
      <c r="M44" s="59">
        <f t="shared" si="1"/>
        <v>142.965</v>
      </c>
      <c r="N44" s="59">
        <v>0.158552987</v>
      </c>
      <c r="O44" s="59">
        <v>138.368804932</v>
      </c>
      <c r="P44" s="59">
        <v>0.368085726</v>
      </c>
      <c r="Q44" s="61">
        <f t="shared" si="2"/>
        <v>-0.03214909291</v>
      </c>
      <c r="R44" s="62">
        <f t="shared" si="3"/>
        <v>-11.46806975</v>
      </c>
      <c r="S44" s="58">
        <v>1000000.0</v>
      </c>
      <c r="T44" s="63">
        <f t="shared" si="4"/>
        <v>4524.556288</v>
      </c>
      <c r="U44" s="63">
        <f t="shared" si="17"/>
        <v>55.73575564</v>
      </c>
      <c r="V44" s="161">
        <f t="shared" si="6"/>
        <v>1.033216989</v>
      </c>
      <c r="W44" s="58">
        <f t="shared" si="7"/>
        <v>1</v>
      </c>
      <c r="X44" s="58">
        <v>39.0</v>
      </c>
      <c r="Y44" s="147">
        <v>728.4</v>
      </c>
      <c r="Z44" s="148">
        <f t="shared" si="18"/>
        <v>26.97777778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3.0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4.71686E-4</v>
      </c>
      <c r="L45" s="60">
        <v>4.70563856914599E-6</v>
      </c>
      <c r="M45" s="161">
        <f t="shared" si="1"/>
        <v>471.686</v>
      </c>
      <c r="N45" s="59">
        <v>0.519290417</v>
      </c>
      <c r="O45" s="59">
        <v>443.995117188</v>
      </c>
      <c r="P45" s="59">
        <v>1.374606701</v>
      </c>
      <c r="Q45" s="61">
        <f t="shared" si="2"/>
        <v>-0.05870617914</v>
      </c>
      <c r="R45" s="62">
        <f t="shared" si="3"/>
        <v>-18.84472267</v>
      </c>
      <c r="S45" s="58">
        <v>1000000.0</v>
      </c>
      <c r="T45" s="63">
        <f t="shared" si="4"/>
        <v>14927.91842</v>
      </c>
      <c r="U45" s="63">
        <f t="shared" si="17"/>
        <v>183.8895928</v>
      </c>
      <c r="V45" s="161">
        <f t="shared" si="6"/>
        <v>1.062367539</v>
      </c>
      <c r="W45" s="58">
        <f t="shared" si="7"/>
        <v>1</v>
      </c>
      <c r="X45" s="58">
        <v>40.0</v>
      </c>
      <c r="Y45" s="147">
        <v>1085.0</v>
      </c>
      <c r="Z45" s="148">
        <f t="shared" si="18"/>
        <v>28.7037037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3.0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0.00123958</v>
      </c>
      <c r="L46" s="60">
        <v>1.18212101792079E-5</v>
      </c>
      <c r="M46" s="161">
        <f t="shared" si="1"/>
        <v>1239.58</v>
      </c>
      <c r="N46" s="59">
        <v>1.359210752</v>
      </c>
      <c r="O46" s="59">
        <v>1117.246337891</v>
      </c>
      <c r="P46" s="59">
        <v>3.706855262</v>
      </c>
      <c r="Q46" s="61">
        <f t="shared" si="2"/>
        <v>-0.09868960624</v>
      </c>
      <c r="R46" s="62">
        <f t="shared" si="3"/>
        <v>-30.98472007</v>
      </c>
      <c r="S46" s="58">
        <v>1000000.0</v>
      </c>
      <c r="T46" s="63">
        <f t="shared" si="4"/>
        <v>39230.22756</v>
      </c>
      <c r="U46" s="63">
        <f t="shared" si="17"/>
        <v>483.2576363</v>
      </c>
      <c r="V46" s="161">
        <f t="shared" si="6"/>
        <v>1.109495693</v>
      </c>
      <c r="W46" s="58">
        <f t="shared" si="7"/>
        <v>1</v>
      </c>
      <c r="X46" s="58">
        <v>41.0</v>
      </c>
      <c r="Y46" s="147">
        <v>1560.0</v>
      </c>
      <c r="Z46" s="148">
        <f t="shared" si="18"/>
        <v>32.09876543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3.0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0.00279079</v>
      </c>
      <c r="L47" s="60">
        <v>3.01157011298999E-5</v>
      </c>
      <c r="M47" s="161">
        <f t="shared" si="1"/>
        <v>2790.79</v>
      </c>
      <c r="N47" s="59">
        <v>3.051856004</v>
      </c>
      <c r="O47" s="59">
        <v>2373.7109375</v>
      </c>
      <c r="P47" s="59">
        <v>8.206858452</v>
      </c>
      <c r="Q47" s="61">
        <f t="shared" si="2"/>
        <v>-0.1494483865</v>
      </c>
      <c r="R47" s="62">
        <f t="shared" si="3"/>
        <v>-47.6338838</v>
      </c>
      <c r="S47" s="58">
        <v>1000000.0</v>
      </c>
      <c r="T47" s="63">
        <f t="shared" si="4"/>
        <v>88322.9213</v>
      </c>
      <c r="U47" s="63">
        <f t="shared" si="17"/>
        <v>1088.006082</v>
      </c>
      <c r="V47" s="161">
        <f t="shared" si="6"/>
        <v>1.175707604</v>
      </c>
      <c r="W47" s="58">
        <f t="shared" si="7"/>
        <v>0</v>
      </c>
      <c r="X47" s="58">
        <v>42.0</v>
      </c>
      <c r="Y47" s="147">
        <v>2154.0</v>
      </c>
      <c r="Z47" s="148">
        <f t="shared" si="18"/>
        <v>36.26262626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3.0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6.66563E-7</v>
      </c>
      <c r="L48" s="96">
        <v>6.94549712425469E-9</v>
      </c>
      <c r="M48" s="95">
        <f t="shared" si="1"/>
        <v>0.666563</v>
      </c>
      <c r="N48" s="95">
        <v>7.18767E-4</v>
      </c>
      <c r="O48" s="95">
        <v>0.70005554</v>
      </c>
      <c r="P48" s="95">
        <v>0.00168824</v>
      </c>
      <c r="Q48" s="97">
        <f t="shared" si="2"/>
        <v>0.05024662335</v>
      </c>
      <c r="R48" s="98">
        <f t="shared" si="3"/>
        <v>18.25327077</v>
      </c>
      <c r="S48" s="94">
        <v>910610.0</v>
      </c>
      <c r="T48" s="99">
        <f t="shared" si="4"/>
        <v>21.09538568</v>
      </c>
      <c r="U48" s="99">
        <f t="shared" ref="U48:U54" si="19">K48/$K$49</f>
        <v>0.08092185133</v>
      </c>
      <c r="V48" s="95">
        <f t="shared" si="6"/>
        <v>0.9521573103</v>
      </c>
      <c r="W48" s="94">
        <f t="shared" si="7"/>
        <v>1</v>
      </c>
      <c r="X48" s="94">
        <v>43.0</v>
      </c>
      <c r="Y48" s="149">
        <v>635.0</v>
      </c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3.0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8.23712E-6</v>
      </c>
      <c r="L49" s="96">
        <v>8.39669583884643E-8</v>
      </c>
      <c r="M49" s="95">
        <f t="shared" si="1"/>
        <v>8.23712</v>
      </c>
      <c r="N49" s="95">
        <v>0.009350618</v>
      </c>
      <c r="O49" s="95">
        <v>8.11626339</v>
      </c>
      <c r="P49" s="95">
        <v>0.009196248</v>
      </c>
      <c r="Q49" s="97">
        <f t="shared" si="2"/>
        <v>-0.01467219247</v>
      </c>
      <c r="R49" s="98">
        <f t="shared" si="3"/>
        <v>-9.215095263</v>
      </c>
      <c r="S49" s="94">
        <v>1000000.0</v>
      </c>
      <c r="T49" s="99">
        <f t="shared" si="4"/>
        <v>260.6883719</v>
      </c>
      <c r="U49" s="99">
        <f t="shared" si="19"/>
        <v>1</v>
      </c>
      <c r="V49" s="169">
        <f t="shared" si="6"/>
        <v>1.014890671</v>
      </c>
      <c r="W49" s="94">
        <f t="shared" si="7"/>
        <v>1</v>
      </c>
      <c r="X49" s="94">
        <v>44.0</v>
      </c>
      <c r="Y49" s="149">
        <v>661.5</v>
      </c>
      <c r="Z49" s="153">
        <f t="shared" ref="Z49:Z54" si="20">Y49/(H49*H49*F49*C49)</f>
        <v>68.90625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3.0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9.5542E-5</v>
      </c>
      <c r="L50" s="96">
        <v>9.77012556395021E-7</v>
      </c>
      <c r="M50" s="169">
        <f t="shared" si="1"/>
        <v>95.542</v>
      </c>
      <c r="N50" s="95">
        <v>0.106963445</v>
      </c>
      <c r="O50" s="95">
        <v>91.780479431</v>
      </c>
      <c r="P50" s="95">
        <v>0.168623091</v>
      </c>
      <c r="Q50" s="97">
        <f t="shared" si="2"/>
        <v>-0.03937033523</v>
      </c>
      <c r="R50" s="98">
        <f t="shared" si="3"/>
        <v>-18.8370764</v>
      </c>
      <c r="S50" s="94">
        <v>1000000.0</v>
      </c>
      <c r="T50" s="99">
        <f t="shared" si="4"/>
        <v>3023.713195</v>
      </c>
      <c r="U50" s="99">
        <f t="shared" si="19"/>
        <v>11.59895692</v>
      </c>
      <c r="V50" s="169">
        <f t="shared" si="6"/>
        <v>1.040983885</v>
      </c>
      <c r="W50" s="94">
        <f t="shared" si="7"/>
        <v>1</v>
      </c>
      <c r="X50" s="94">
        <v>45.0</v>
      </c>
      <c r="Y50" s="149">
        <v>872.7</v>
      </c>
      <c r="Z50" s="153">
        <f t="shared" si="20"/>
        <v>30.30208333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3.0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4.75455999999999E-4</v>
      </c>
      <c r="L51" s="96">
        <v>4.92717305799525E-6</v>
      </c>
      <c r="M51" s="95">
        <f t="shared" si="1"/>
        <v>475.456</v>
      </c>
      <c r="N51" s="95">
        <v>0.525613027</v>
      </c>
      <c r="O51" s="95">
        <v>437.006164551</v>
      </c>
      <c r="P51" s="95">
        <v>1.163332666</v>
      </c>
      <c r="Q51" s="97">
        <f t="shared" si="2"/>
        <v>-0.08086938739</v>
      </c>
      <c r="R51" s="98">
        <f t="shared" si="3"/>
        <v>-30.11982094</v>
      </c>
      <c r="S51" s="94">
        <v>1000000.0</v>
      </c>
      <c r="T51" s="99">
        <f t="shared" si="4"/>
        <v>15047.23138</v>
      </c>
      <c r="U51" s="99">
        <f t="shared" si="19"/>
        <v>57.72114525</v>
      </c>
      <c r="V51" s="169">
        <f t="shared" si="6"/>
        <v>1.087984652</v>
      </c>
      <c r="W51" s="94">
        <f t="shared" si="7"/>
        <v>1</v>
      </c>
      <c r="X51" s="94">
        <v>46.0</v>
      </c>
      <c r="Y51" s="149">
        <v>1295.0</v>
      </c>
      <c r="Z51" s="153">
        <f t="shared" si="20"/>
        <v>26.97916667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3.0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0.00161922999999999</v>
      </c>
      <c r="L52" s="96">
        <v>1.71551770906074E-5</v>
      </c>
      <c r="M52" s="169">
        <f t="shared" si="1"/>
        <v>1619.23</v>
      </c>
      <c r="N52" s="95">
        <v>1.77804523</v>
      </c>
      <c r="O52" s="95">
        <v>1407.822631836</v>
      </c>
      <c r="P52" s="95">
        <v>4.344435999</v>
      </c>
      <c r="Q52" s="97">
        <f t="shared" si="2"/>
        <v>-0.1305604319</v>
      </c>
      <c r="R52" s="98">
        <f t="shared" si="3"/>
        <v>-45.03581071</v>
      </c>
      <c r="S52" s="94">
        <v>1000000.0</v>
      </c>
      <c r="T52" s="99">
        <f t="shared" si="4"/>
        <v>51245.39068</v>
      </c>
      <c r="U52" s="99">
        <f t="shared" si="19"/>
        <v>196.5772017</v>
      </c>
      <c r="V52" s="169">
        <f t="shared" si="6"/>
        <v>1.150166195</v>
      </c>
      <c r="W52" s="94">
        <f t="shared" si="7"/>
        <v>0</v>
      </c>
      <c r="X52" s="94">
        <v>47.0</v>
      </c>
      <c r="Y52" s="149">
        <v>1928.0</v>
      </c>
      <c r="Z52" s="153">
        <f t="shared" si="20"/>
        <v>28.69047619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3.0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0.00436261999999999</v>
      </c>
      <c r="L53" s="96">
        <v>3.46464917984403E-5</v>
      </c>
      <c r="M53" s="169">
        <f t="shared" si="1"/>
        <v>4362.62</v>
      </c>
      <c r="N53" s="95">
        <v>4.773471557</v>
      </c>
      <c r="O53" s="95">
        <v>3515.815673828</v>
      </c>
      <c r="P53" s="95">
        <v>11.715493186</v>
      </c>
      <c r="Q53" s="97">
        <f t="shared" si="2"/>
        <v>-0.1941045349</v>
      </c>
      <c r="R53" s="98">
        <f t="shared" si="3"/>
        <v>-66.93764202</v>
      </c>
      <c r="S53" s="94">
        <v>1000000.0</v>
      </c>
      <c r="T53" s="99">
        <f t="shared" si="4"/>
        <v>138068.1968</v>
      </c>
      <c r="U53" s="99">
        <f t="shared" si="19"/>
        <v>529.6292879</v>
      </c>
      <c r="V53" s="169">
        <f t="shared" si="6"/>
        <v>1.240855723</v>
      </c>
      <c r="W53" s="94">
        <f t="shared" si="7"/>
        <v>0</v>
      </c>
      <c r="X53" s="94">
        <v>48.0</v>
      </c>
      <c r="Y53" s="149">
        <v>2773.0</v>
      </c>
      <c r="Z53" s="153">
        <f t="shared" si="20"/>
        <v>32.09490741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3.0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0.00987735</v>
      </c>
      <c r="L54" s="96">
        <v>9.24931201372688E-5</v>
      </c>
      <c r="M54" s="169">
        <f t="shared" si="1"/>
        <v>9877.35</v>
      </c>
      <c r="N54" s="95">
        <v>10.771793409</v>
      </c>
      <c r="O54" s="95">
        <v>7497.875488281</v>
      </c>
      <c r="P54" s="95">
        <v>25.937725477</v>
      </c>
      <c r="Q54" s="97">
        <f t="shared" si="2"/>
        <v>-0.2409021156</v>
      </c>
      <c r="R54" s="98">
        <f t="shared" si="3"/>
        <v>-84.72242822</v>
      </c>
      <c r="S54" s="94">
        <v>1000000.0</v>
      </c>
      <c r="T54" s="99">
        <f t="shared" si="4"/>
        <v>312598.3706</v>
      </c>
      <c r="U54" s="99">
        <f t="shared" si="19"/>
        <v>1199.126636</v>
      </c>
      <c r="V54" s="169">
        <f t="shared" si="6"/>
        <v>1.317353164</v>
      </c>
      <c r="W54" s="94">
        <f t="shared" si="7"/>
        <v>0</v>
      </c>
      <c r="X54" s="94">
        <v>49.0</v>
      </c>
      <c r="Y54" s="149">
        <v>3829.0</v>
      </c>
      <c r="Z54" s="153">
        <f t="shared" si="20"/>
        <v>36.2594697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3.0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1.59707999999999E-6</v>
      </c>
      <c r="L55" s="103">
        <v>1.506932130006E-8</v>
      </c>
      <c r="M55" s="102">
        <f t="shared" si="1"/>
        <v>1.59708</v>
      </c>
      <c r="N55" s="102">
        <v>0.001725139</v>
      </c>
      <c r="O55" s="102">
        <v>1.701907277</v>
      </c>
      <c r="P55" s="102">
        <v>0.00412168</v>
      </c>
      <c r="Q55" s="104">
        <f t="shared" si="2"/>
        <v>0.06563683535</v>
      </c>
      <c r="R55" s="106">
        <f t="shared" si="3"/>
        <v>23.46101033</v>
      </c>
      <c r="S55" s="101">
        <v>910610.0</v>
      </c>
      <c r="T55" s="108">
        <f t="shared" si="4"/>
        <v>50.54438748</v>
      </c>
      <c r="U55" s="108">
        <f t="shared" ref="U55:U61" si="21">K55/$K$56</f>
        <v>0.07725289502</v>
      </c>
      <c r="V55" s="102">
        <f t="shared" si="6"/>
        <v>0.9384059999</v>
      </c>
      <c r="W55" s="101">
        <f t="shared" si="7"/>
        <v>1</v>
      </c>
      <c r="X55" s="101">
        <v>50.0</v>
      </c>
      <c r="Y55" s="157">
        <v>992.3</v>
      </c>
      <c r="Z55" s="110"/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3.0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2.06734E-5</v>
      </c>
      <c r="L56" s="103">
        <v>2.05294663812528E-7</v>
      </c>
      <c r="M56" s="102">
        <f t="shared" si="1"/>
        <v>20.6734</v>
      </c>
      <c r="N56" s="102">
        <v>0.023427843</v>
      </c>
      <c r="O56" s="102">
        <v>19.678188324</v>
      </c>
      <c r="P56" s="102">
        <v>0.022451777</v>
      </c>
      <c r="Q56" s="104">
        <f t="shared" si="2"/>
        <v>-0.04813971945</v>
      </c>
      <c r="R56" s="106">
        <f t="shared" si="3"/>
        <v>-30.66990203</v>
      </c>
      <c r="S56" s="101">
        <v>1000000.0</v>
      </c>
      <c r="T56" s="108">
        <f t="shared" si="4"/>
        <v>654.2717586</v>
      </c>
      <c r="U56" s="108">
        <f t="shared" si="21"/>
        <v>1</v>
      </c>
      <c r="V56" s="172">
        <f t="shared" si="6"/>
        <v>1.050574355</v>
      </c>
      <c r="W56" s="101">
        <f t="shared" si="7"/>
        <v>1</v>
      </c>
      <c r="X56" s="101">
        <v>51.0</v>
      </c>
      <c r="Y56" s="157">
        <v>1034.0</v>
      </c>
      <c r="Z56" s="158">
        <f t="shared" ref="Z56:Z61" si="22">Y56/(H56*H56*F56*C56)</f>
        <v>68.93333333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3.0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2.44579999999999E-4</v>
      </c>
      <c r="L57" s="103">
        <v>1.96227038160011E-6</v>
      </c>
      <c r="M57" s="172">
        <f t="shared" si="1"/>
        <v>244.58</v>
      </c>
      <c r="N57" s="102">
        <v>0.272894297</v>
      </c>
      <c r="O57" s="102">
        <v>224.337478638</v>
      </c>
      <c r="P57" s="102">
        <v>0.411677469</v>
      </c>
      <c r="Q57" s="104">
        <f t="shared" si="2"/>
        <v>-0.08276441803</v>
      </c>
      <c r="R57" s="106">
        <f t="shared" si="3"/>
        <v>-40.98401664</v>
      </c>
      <c r="S57" s="101">
        <v>1000000.0</v>
      </c>
      <c r="T57" s="108">
        <f t="shared" si="4"/>
        <v>7740.467785</v>
      </c>
      <c r="U57" s="108">
        <f t="shared" si="21"/>
        <v>11.83066162</v>
      </c>
      <c r="V57" s="172">
        <f t="shared" si="6"/>
        <v>1.090232455</v>
      </c>
      <c r="W57" s="101">
        <f t="shared" si="7"/>
        <v>1</v>
      </c>
      <c r="X57" s="101">
        <v>52.0</v>
      </c>
      <c r="Y57" s="157">
        <v>1364.0</v>
      </c>
      <c r="Z57" s="158">
        <f t="shared" si="22"/>
        <v>30.31111111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3.0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0.00124782</v>
      </c>
      <c r="L58" s="103">
        <v>1.30363749066629E-5</v>
      </c>
      <c r="M58" s="102">
        <f t="shared" si="1"/>
        <v>1247.82</v>
      </c>
      <c r="N58" s="102">
        <v>1.375734501</v>
      </c>
      <c r="O58" s="102">
        <v>1067.787963867</v>
      </c>
      <c r="P58" s="102">
        <v>2.840167649</v>
      </c>
      <c r="Q58" s="104">
        <f t="shared" si="2"/>
        <v>-0.1442772484</v>
      </c>
      <c r="R58" s="106">
        <f t="shared" si="3"/>
        <v>-57.04763131</v>
      </c>
      <c r="S58" s="101">
        <v>1000000.0</v>
      </c>
      <c r="T58" s="108">
        <f t="shared" si="4"/>
        <v>39491.00708</v>
      </c>
      <c r="U58" s="108">
        <f t="shared" si="21"/>
        <v>60.35872184</v>
      </c>
      <c r="V58" s="172">
        <f t="shared" si="6"/>
        <v>1.168602796</v>
      </c>
      <c r="W58" s="101">
        <f t="shared" si="7"/>
        <v>0</v>
      </c>
      <c r="X58" s="101">
        <v>53.0</v>
      </c>
      <c r="Y58" s="157">
        <v>2023.0</v>
      </c>
      <c r="Z58" s="158">
        <f t="shared" si="22"/>
        <v>26.97333333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3.0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0.00432495999999999</v>
      </c>
      <c r="L59" s="103">
        <v>4.5256824921996E-5</v>
      </c>
      <c r="M59" s="172">
        <f t="shared" si="1"/>
        <v>4324.96</v>
      </c>
      <c r="N59" s="102">
        <v>4.736335194</v>
      </c>
      <c r="O59" s="102">
        <v>3430.882324219</v>
      </c>
      <c r="P59" s="102">
        <v>10.606533183</v>
      </c>
      <c r="Q59" s="104">
        <f t="shared" si="2"/>
        <v>-0.2067250739</v>
      </c>
      <c r="R59" s="106">
        <f t="shared" si="3"/>
        <v>-76.96950794</v>
      </c>
      <c r="S59" s="101">
        <v>1000000.0</v>
      </c>
      <c r="T59" s="108">
        <f t="shared" si="4"/>
        <v>136876.3331</v>
      </c>
      <c r="U59" s="108">
        <f t="shared" si="21"/>
        <v>209.204098</v>
      </c>
      <c r="V59" s="172">
        <f t="shared" si="6"/>
        <v>1.26059701</v>
      </c>
      <c r="W59" s="101">
        <f t="shared" si="7"/>
        <v>0</v>
      </c>
      <c r="X59" s="101">
        <v>54.0</v>
      </c>
      <c r="Y59" s="157">
        <v>3013.0</v>
      </c>
      <c r="Z59" s="158">
        <f t="shared" si="22"/>
        <v>28.6952381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3.0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0.0115665</v>
      </c>
      <c r="L60" s="103">
        <v>1.12145062983241E-4</v>
      </c>
      <c r="M60" s="172">
        <f t="shared" si="1"/>
        <v>11566.5</v>
      </c>
      <c r="N60" s="102">
        <v>12.63042916</v>
      </c>
      <c r="O60" s="102">
        <v>8630.229492188</v>
      </c>
      <c r="P60" s="102">
        <v>28.602278292</v>
      </c>
      <c r="Q60" s="104">
        <f t="shared" si="2"/>
        <v>-0.2538598978</v>
      </c>
      <c r="R60" s="106">
        <f t="shared" si="3"/>
        <v>-93.90991645</v>
      </c>
      <c r="S60" s="101">
        <v>1000000.0</v>
      </c>
      <c r="T60" s="108">
        <f t="shared" si="4"/>
        <v>366056.5894</v>
      </c>
      <c r="U60" s="108">
        <f t="shared" si="21"/>
        <v>559.4870703</v>
      </c>
      <c r="V60" s="172">
        <f t="shared" si="6"/>
        <v>1.340230872</v>
      </c>
      <c r="W60" s="101">
        <f t="shared" si="7"/>
        <v>0</v>
      </c>
      <c r="X60" s="101">
        <v>55.0</v>
      </c>
      <c r="Y60" s="157">
        <v>4333.0</v>
      </c>
      <c r="Z60" s="158">
        <f t="shared" si="22"/>
        <v>32.0962963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3.0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0.0256632</v>
      </c>
      <c r="L61" s="103">
        <v>2.630431081927E-4</v>
      </c>
      <c r="M61" s="102">
        <f t="shared" si="1"/>
        <v>25663.2</v>
      </c>
      <c r="N61" s="102">
        <v>27.950581122</v>
      </c>
      <c r="O61" s="102">
        <v>18302.15625</v>
      </c>
      <c r="P61" s="102">
        <v>63.324525049</v>
      </c>
      <c r="Q61" s="104">
        <f t="shared" si="2"/>
        <v>-0.2868326534</v>
      </c>
      <c r="R61" s="106">
        <f t="shared" si="3"/>
        <v>-106.3447044</v>
      </c>
      <c r="S61" s="101">
        <v>1000000.0</v>
      </c>
      <c r="T61" s="108">
        <f t="shared" si="4"/>
        <v>812188.9479</v>
      </c>
      <c r="U61" s="108">
        <f t="shared" si="21"/>
        <v>1241.363298</v>
      </c>
      <c r="V61" s="172">
        <f t="shared" si="6"/>
        <v>1.402195438</v>
      </c>
      <c r="W61" s="101">
        <f t="shared" si="7"/>
        <v>0</v>
      </c>
      <c r="X61" s="101">
        <v>56.0</v>
      </c>
      <c r="Y61" s="157">
        <v>5983.0</v>
      </c>
      <c r="Z61" s="158">
        <f t="shared" si="22"/>
        <v>36.26060606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3.0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1.0300614678899E-7</v>
      </c>
      <c r="L62" s="117">
        <v>1.64430943979806E-9</v>
      </c>
      <c r="M62" s="116">
        <f t="shared" si="1"/>
        <v>0.1030061468</v>
      </c>
      <c r="N62" s="116">
        <v>1.1843E-4</v>
      </c>
      <c r="O62" s="116">
        <v>0.031704158</v>
      </c>
      <c r="P62" s="116">
        <v>3.5923E-5</v>
      </c>
      <c r="Q62" s="118">
        <f t="shared" si="2"/>
        <v>-0.6922110089</v>
      </c>
      <c r="R62" s="119">
        <f t="shared" si="3"/>
        <v>-576.1388569</v>
      </c>
      <c r="S62" s="4">
        <v>1000000.0</v>
      </c>
      <c r="T62" s="120">
        <f t="shared" si="4"/>
        <v>3.259938511</v>
      </c>
      <c r="V62" s="1">
        <f t="shared" si="6"/>
        <v>3.248979102</v>
      </c>
      <c r="W62" s="121">
        <f t="shared" si="7"/>
        <v>0</v>
      </c>
      <c r="X62" s="4">
        <v>57.0</v>
      </c>
      <c r="Y62" s="159">
        <v>61.2</v>
      </c>
    </row>
    <row r="63">
      <c r="A63" s="4" t="s">
        <v>45</v>
      </c>
      <c r="B63" s="4">
        <v>58.0</v>
      </c>
      <c r="C63" s="44">
        <v>3.0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1.0300614678899E-7</v>
      </c>
      <c r="L63" s="117">
        <v>1.64430943979806E-9</v>
      </c>
      <c r="M63" s="116">
        <f t="shared" si="1"/>
        <v>0.1030061468</v>
      </c>
      <c r="N63" s="116">
        <v>1.1843E-4</v>
      </c>
      <c r="O63" s="116">
        <v>0.031704158</v>
      </c>
      <c r="P63" s="116">
        <v>3.5923E-5</v>
      </c>
      <c r="Q63" s="118">
        <f t="shared" si="2"/>
        <v>-0.6922110089</v>
      </c>
      <c r="R63" s="119">
        <f t="shared" si="3"/>
        <v>-576.1388569</v>
      </c>
      <c r="S63" s="4">
        <v>1000000.0</v>
      </c>
      <c r="T63" s="120">
        <f t="shared" si="4"/>
        <v>3.259938511</v>
      </c>
      <c r="V63" s="1">
        <f t="shared" si="6"/>
        <v>3.248979102</v>
      </c>
      <c r="W63" s="121">
        <f t="shared" si="7"/>
        <v>0</v>
      </c>
      <c r="X63" s="4">
        <v>58.0</v>
      </c>
      <c r="Y63" s="159">
        <v>61.2</v>
      </c>
    </row>
    <row r="64">
      <c r="A64" s="4"/>
      <c r="B64" s="4">
        <v>59.0</v>
      </c>
      <c r="C64" s="44">
        <v>3.0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1.11084403669724E-6</v>
      </c>
      <c r="L64" s="117">
        <v>1.3348029617337E-8</v>
      </c>
      <c r="M64" s="116">
        <f t="shared" si="1"/>
        <v>1.110844037</v>
      </c>
      <c r="N64" s="116">
        <v>0.001213586</v>
      </c>
      <c r="O64" s="116">
        <v>1.108982325</v>
      </c>
      <c r="P64" s="116">
        <v>0.004182113</v>
      </c>
      <c r="Q64" s="118">
        <f t="shared" si="2"/>
        <v>-0.001675943369</v>
      </c>
      <c r="R64" s="119">
        <f t="shared" si="3"/>
        <v>-0.4275240067</v>
      </c>
      <c r="S64" s="4">
        <v>201967.0</v>
      </c>
      <c r="T64" s="120">
        <f t="shared" si="4"/>
        <v>35.15599183</v>
      </c>
      <c r="V64" s="1">
        <f t="shared" si="6"/>
        <v>1.001678757</v>
      </c>
      <c r="W64" s="121">
        <f t="shared" si="7"/>
        <v>1</v>
      </c>
      <c r="X64" s="4">
        <v>59.0</v>
      </c>
      <c r="Y64" s="159">
        <v>41.2</v>
      </c>
    </row>
    <row r="65">
      <c r="A65" s="4"/>
      <c r="B65" s="4">
        <v>60.0</v>
      </c>
      <c r="C65" s="44">
        <v>3.0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3.14666055045871E-8</v>
      </c>
      <c r="L65" s="117">
        <v>3.37801224104437E-10</v>
      </c>
      <c r="M65" s="116">
        <f t="shared" si="1"/>
        <v>0.0314666055</v>
      </c>
      <c r="N65" s="116">
        <v>3.5763E-5</v>
      </c>
      <c r="O65" s="116">
        <v>0.031627145</v>
      </c>
      <c r="P65" s="116">
        <v>3.5947E-5</v>
      </c>
      <c r="Q65" s="118">
        <f t="shared" si="2"/>
        <v>0.005101900661</v>
      </c>
      <c r="R65" s="119">
        <f t="shared" si="3"/>
        <v>3.166035202</v>
      </c>
      <c r="S65" s="4">
        <v>1000000.0</v>
      </c>
      <c r="T65" s="120">
        <f t="shared" si="4"/>
        <v>0.995855124</v>
      </c>
      <c r="V65" s="1">
        <f t="shared" si="6"/>
        <v>0.9949239966</v>
      </c>
      <c r="W65" s="121">
        <f t="shared" si="7"/>
        <v>1</v>
      </c>
      <c r="X65" s="4">
        <v>60.0</v>
      </c>
      <c r="Y65" s="159">
        <v>41.31</v>
      </c>
    </row>
    <row r="66">
      <c r="A66" s="4"/>
      <c r="B66" s="4">
        <v>61.0</v>
      </c>
      <c r="C66" s="44">
        <v>3.0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3.14863302752293E-8</v>
      </c>
      <c r="L66" s="117">
        <v>4.30193024183801E-10</v>
      </c>
      <c r="M66" s="116">
        <f t="shared" si="1"/>
        <v>0.03148633028</v>
      </c>
      <c r="N66" s="116">
        <v>3.5775E-5</v>
      </c>
      <c r="O66" s="116">
        <v>0.031626925</v>
      </c>
      <c r="P66" s="116">
        <v>3.5947E-5</v>
      </c>
      <c r="Q66" s="118">
        <f t="shared" si="2"/>
        <v>0.004465262339</v>
      </c>
      <c r="R66" s="119">
        <f t="shared" si="3"/>
        <v>2.772237177</v>
      </c>
      <c r="S66" s="4">
        <v>1000000.0</v>
      </c>
      <c r="T66" s="120">
        <f t="shared" si="4"/>
        <v>0.9964793735</v>
      </c>
      <c r="V66" s="1">
        <f t="shared" si="6"/>
        <v>0.9955545876</v>
      </c>
      <c r="W66" s="121">
        <f t="shared" si="7"/>
        <v>1</v>
      </c>
      <c r="X66" s="4">
        <v>61.0</v>
      </c>
      <c r="Y66" s="159">
        <v>41.31</v>
      </c>
    </row>
    <row r="67">
      <c r="K67" s="1"/>
      <c r="L67" s="2"/>
      <c r="M67" s="1"/>
      <c r="N67" s="1"/>
      <c r="O67" s="1"/>
      <c r="W67" s="122">
        <f>(SUM(W6:W61)-1)/55</f>
        <v>0.8363636364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50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5.40235999999999E-11</v>
      </c>
      <c r="L6" s="11">
        <v>4.6149629281591E-13</v>
      </c>
      <c r="M6" s="10">
        <f t="shared" ref="M6:M66" si="1">K6*1000000</f>
        <v>0.0000540236</v>
      </c>
      <c r="N6" s="10">
        <v>5.8E-8</v>
      </c>
      <c r="O6" s="10">
        <v>5.2242E-5</v>
      </c>
      <c r="P6" s="10">
        <v>1.28E-7</v>
      </c>
      <c r="Q6" s="12">
        <f t="shared" ref="Q6:Q66" si="2">(O6-M6)/M6</f>
        <v>-0.03297817991</v>
      </c>
      <c r="R6" s="13">
        <f t="shared" ref="R6:R66" si="3">(O6-M6)/sqrt(N6*N6+P6*P6)</f>
        <v>-12.67793862</v>
      </c>
      <c r="S6" s="8"/>
      <c r="T6" s="14">
        <f t="shared" ref="T6:T66" si="4">K6/$K$14</f>
        <v>0.005396801295</v>
      </c>
      <c r="U6" s="14">
        <f t="shared" ref="U6:U12" si="5">K6/$K$7</f>
        <v>0.08595517328</v>
      </c>
      <c r="V6" s="10">
        <f t="shared" ref="V6:V66" si="6">M6/O6</f>
        <v>1.034102829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183">
        <f t="shared" ref="Z6:Z66" si="9">M6*0.001</f>
        <v>0.0000000540236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6.28509E-10</v>
      </c>
      <c r="L7" s="11">
        <v>6.36504175678813E-12</v>
      </c>
      <c r="M7" s="10">
        <f t="shared" si="1"/>
        <v>0.000628509</v>
      </c>
      <c r="N7" s="10">
        <v>7.15E-7</v>
      </c>
      <c r="O7" s="10">
        <v>6.24526E-4</v>
      </c>
      <c r="P7" s="10">
        <v>7.12E-7</v>
      </c>
      <c r="Q7" s="12">
        <f t="shared" si="2"/>
        <v>-0.00633722031</v>
      </c>
      <c r="R7" s="13">
        <f t="shared" si="3"/>
        <v>-3.947302152</v>
      </c>
      <c r="S7" s="8"/>
      <c r="T7" s="14">
        <f t="shared" si="4"/>
        <v>0.06278623018</v>
      </c>
      <c r="U7" s="14">
        <f t="shared" si="5"/>
        <v>1</v>
      </c>
      <c r="V7" s="10">
        <f t="shared" si="6"/>
        <v>1.006377637</v>
      </c>
      <c r="W7" s="8">
        <f t="shared" si="7"/>
        <v>1</v>
      </c>
      <c r="X7" s="8">
        <f t="shared" si="8"/>
        <v>2</v>
      </c>
      <c r="Y7" s="15"/>
      <c r="Z7" s="184">
        <f t="shared" si="9"/>
        <v>0.000000628509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7.15655999999999E-9</v>
      </c>
      <c r="L8" s="11">
        <v>7.52248239706424E-11</v>
      </c>
      <c r="M8" s="10">
        <f t="shared" si="1"/>
        <v>0.00715656</v>
      </c>
      <c r="N8" s="10">
        <v>8.028E-6</v>
      </c>
      <c r="O8" s="10">
        <v>0.007177098</v>
      </c>
      <c r="P8" s="10">
        <v>1.3071E-5</v>
      </c>
      <c r="Q8" s="12">
        <f t="shared" si="2"/>
        <v>0.002869814548</v>
      </c>
      <c r="R8" s="13">
        <f t="shared" si="3"/>
        <v>1.338897552</v>
      </c>
      <c r="S8" s="8"/>
      <c r="T8" s="14">
        <f t="shared" si="4"/>
        <v>0.7149196328</v>
      </c>
      <c r="U8" s="14">
        <f t="shared" si="5"/>
        <v>11.38656726</v>
      </c>
      <c r="V8" s="10">
        <f t="shared" si="6"/>
        <v>0.9971383977</v>
      </c>
      <c r="W8" s="8">
        <f t="shared" si="7"/>
        <v>1</v>
      </c>
      <c r="X8" s="8">
        <f t="shared" si="8"/>
        <v>3</v>
      </c>
      <c r="Y8" s="15"/>
      <c r="Z8" s="66">
        <f t="shared" si="9"/>
        <v>0.00000715656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3.41474999999999E-8</v>
      </c>
      <c r="L9" s="11">
        <v>3.27840731841766E-10</v>
      </c>
      <c r="M9" s="10">
        <f t="shared" si="1"/>
        <v>0.0341475</v>
      </c>
      <c r="N9" s="10">
        <v>3.7931E-5</v>
      </c>
      <c r="O9" s="10">
        <v>0.034030944</v>
      </c>
      <c r="P9" s="10">
        <v>9.0182E-5</v>
      </c>
      <c r="Q9" s="12">
        <f t="shared" si="2"/>
        <v>-0.003413309906</v>
      </c>
      <c r="R9" s="13">
        <f t="shared" si="3"/>
        <v>-1.191361086</v>
      </c>
      <c r="S9" s="8"/>
      <c r="T9" s="14">
        <f t="shared" si="4"/>
        <v>3.411236426</v>
      </c>
      <c r="U9" s="14">
        <f t="shared" si="5"/>
        <v>54.33096423</v>
      </c>
      <c r="V9" s="10">
        <f t="shared" si="6"/>
        <v>1.003425</v>
      </c>
      <c r="W9" s="8">
        <f t="shared" si="7"/>
        <v>1</v>
      </c>
      <c r="X9" s="8">
        <f t="shared" si="8"/>
        <v>4</v>
      </c>
      <c r="Y9" s="15"/>
      <c r="Z9" s="67">
        <f t="shared" si="9"/>
        <v>0.0000341475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1.09439E-7</v>
      </c>
      <c r="L10" s="11">
        <v>1.04956893508475E-9</v>
      </c>
      <c r="M10" s="10">
        <f t="shared" si="1"/>
        <v>0.109439</v>
      </c>
      <c r="N10" s="10">
        <v>1.20724E-4</v>
      </c>
      <c r="O10" s="10">
        <v>0.109232433</v>
      </c>
      <c r="P10" s="10">
        <v>3.36778E-4</v>
      </c>
      <c r="Q10" s="12">
        <f t="shared" si="2"/>
        <v>-0.00188750811</v>
      </c>
      <c r="R10" s="13">
        <f t="shared" si="3"/>
        <v>-0.5773865144</v>
      </c>
      <c r="S10" s="8"/>
      <c r="T10" s="14">
        <f t="shared" si="4"/>
        <v>10.93263938</v>
      </c>
      <c r="U10" s="14">
        <f t="shared" si="5"/>
        <v>174.1247938</v>
      </c>
      <c r="V10" s="10">
        <f t="shared" si="6"/>
        <v>1.001891078</v>
      </c>
      <c r="W10" s="8">
        <f t="shared" si="7"/>
        <v>1</v>
      </c>
      <c r="X10" s="8">
        <f t="shared" si="8"/>
        <v>5</v>
      </c>
      <c r="Y10" s="15"/>
      <c r="Z10" s="68">
        <f t="shared" si="9"/>
        <v>0.000109439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2.73749E-7</v>
      </c>
      <c r="L11" s="11">
        <v>2.68070151379458E-9</v>
      </c>
      <c r="M11" s="10">
        <f t="shared" si="1"/>
        <v>0.273749</v>
      </c>
      <c r="N11" s="10">
        <v>3.00783E-4</v>
      </c>
      <c r="O11" s="10">
        <v>0.275030792</v>
      </c>
      <c r="P11" s="10">
        <v>9.08165E-4</v>
      </c>
      <c r="Q11" s="12">
        <f t="shared" si="2"/>
        <v>0.00468236231</v>
      </c>
      <c r="R11" s="13">
        <f t="shared" si="3"/>
        <v>1.339835452</v>
      </c>
      <c r="S11" s="8"/>
      <c r="T11" s="14">
        <f t="shared" si="4"/>
        <v>27.34673287</v>
      </c>
      <c r="U11" s="14">
        <f t="shared" si="5"/>
        <v>435.5530311</v>
      </c>
      <c r="V11" s="10">
        <f t="shared" si="6"/>
        <v>0.99533946</v>
      </c>
      <c r="W11" s="8">
        <f t="shared" si="7"/>
        <v>1</v>
      </c>
      <c r="X11" s="8">
        <f t="shared" si="8"/>
        <v>6</v>
      </c>
      <c r="Y11" s="15"/>
      <c r="Z11" s="68">
        <f t="shared" si="9"/>
        <v>0.000273749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5.8333E-7</v>
      </c>
      <c r="L12" s="11">
        <v>5.68854066958257E-9</v>
      </c>
      <c r="M12" s="10">
        <f t="shared" si="1"/>
        <v>0.58333</v>
      </c>
      <c r="N12" s="10">
        <v>6.40107E-4</v>
      </c>
      <c r="O12" s="10">
        <v>0.584203362</v>
      </c>
      <c r="P12" s="10">
        <v>0.002010627</v>
      </c>
      <c r="Q12" s="12">
        <f t="shared" si="2"/>
        <v>0.001497200555</v>
      </c>
      <c r="R12" s="13">
        <f t="shared" si="3"/>
        <v>0.4139036515</v>
      </c>
      <c r="S12" s="8"/>
      <c r="T12" s="14">
        <f t="shared" si="4"/>
        <v>58.27297883</v>
      </c>
      <c r="U12" s="14">
        <f t="shared" si="5"/>
        <v>928.1171789</v>
      </c>
      <c r="V12" s="10">
        <f t="shared" si="6"/>
        <v>0.9985050377</v>
      </c>
      <c r="W12" s="8">
        <f t="shared" si="7"/>
        <v>1</v>
      </c>
      <c r="X12" s="8">
        <f t="shared" si="8"/>
        <v>7</v>
      </c>
      <c r="Y12" s="15"/>
      <c r="Z12" s="68">
        <f t="shared" si="9"/>
        <v>0.00058333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8.43450999999999E-10</v>
      </c>
      <c r="L13" s="24">
        <v>7.55599293891473E-12</v>
      </c>
      <c r="M13" s="23">
        <f t="shared" si="1"/>
        <v>0.000843451</v>
      </c>
      <c r="N13" s="23">
        <v>9.08E-7</v>
      </c>
      <c r="O13" s="23">
        <v>8.35868E-4</v>
      </c>
      <c r="P13" s="23">
        <v>2.043E-6</v>
      </c>
      <c r="Q13" s="26">
        <f t="shared" si="2"/>
        <v>-0.008990445207</v>
      </c>
      <c r="R13" s="27">
        <f t="shared" si="3"/>
        <v>-3.391792938</v>
      </c>
      <c r="S13" s="22"/>
      <c r="T13" s="28">
        <f t="shared" si="4"/>
        <v>0.08425831394</v>
      </c>
      <c r="U13" s="28">
        <f t="shared" ref="U13:U19" si="10">K13/$K$14</f>
        <v>0.08425831394</v>
      </c>
      <c r="V13" s="23">
        <f t="shared" si="6"/>
        <v>1.009072007</v>
      </c>
      <c r="W13" s="22">
        <f t="shared" si="7"/>
        <v>1</v>
      </c>
      <c r="X13" s="22">
        <f t="shared" si="8"/>
        <v>8</v>
      </c>
      <c r="Y13" s="71"/>
      <c r="Z13" s="184">
        <f t="shared" si="9"/>
        <v>0.000000843451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1.00103E-8</v>
      </c>
      <c r="L14" s="31">
        <v>1.07578348240252E-10</v>
      </c>
      <c r="M14" s="30">
        <f t="shared" si="1"/>
        <v>0.0100103</v>
      </c>
      <c r="N14" s="30">
        <v>1.1394E-5</v>
      </c>
      <c r="O14" s="30">
        <v>0.009992423</v>
      </c>
      <c r="P14" s="30">
        <v>1.1394E-5</v>
      </c>
      <c r="Q14" s="32">
        <f t="shared" si="2"/>
        <v>-0.001785860564</v>
      </c>
      <c r="R14" s="34">
        <f t="shared" si="3"/>
        <v>-1.109438997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1.001789056</v>
      </c>
      <c r="W14" s="29">
        <f t="shared" si="7"/>
        <v>1</v>
      </c>
      <c r="X14" s="29">
        <f t="shared" si="8"/>
        <v>9</v>
      </c>
      <c r="Y14" s="72"/>
      <c r="Z14" s="67">
        <f t="shared" si="9"/>
        <v>0.0000100103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1.14433E-7</v>
      </c>
      <c r="L15" s="24">
        <v>1.03855523189523E-9</v>
      </c>
      <c r="M15" s="23">
        <f t="shared" si="1"/>
        <v>0.114433</v>
      </c>
      <c r="N15" s="23">
        <v>1.2845E-4</v>
      </c>
      <c r="O15" s="23">
        <v>0.114833564</v>
      </c>
      <c r="P15" s="23">
        <v>2.09141E-4</v>
      </c>
      <c r="Q15" s="26">
        <f t="shared" si="2"/>
        <v>0.003500423829</v>
      </c>
      <c r="R15" s="27">
        <f t="shared" si="3"/>
        <v>1.632043534</v>
      </c>
      <c r="S15" s="22"/>
      <c r="T15" s="28">
        <f t="shared" si="4"/>
        <v>11.43152553</v>
      </c>
      <c r="U15" s="28">
        <f t="shared" si="10"/>
        <v>11.43152553</v>
      </c>
      <c r="V15" s="23">
        <f t="shared" si="6"/>
        <v>0.9965117864</v>
      </c>
      <c r="W15" s="22">
        <f t="shared" si="7"/>
        <v>1</v>
      </c>
      <c r="X15" s="22">
        <f t="shared" si="8"/>
        <v>10</v>
      </c>
      <c r="Y15" s="71"/>
      <c r="Z15" s="68">
        <f t="shared" si="9"/>
        <v>0.000114433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5.46547999999999E-7</v>
      </c>
      <c r="L16" s="24">
        <v>5.04405801038422E-9</v>
      </c>
      <c r="M16" s="23">
        <f t="shared" si="1"/>
        <v>0.546548</v>
      </c>
      <c r="N16" s="23">
        <v>6.06928E-4</v>
      </c>
      <c r="O16" s="23">
        <v>0.544495165</v>
      </c>
      <c r="P16" s="23">
        <v>0.001442914</v>
      </c>
      <c r="Q16" s="26">
        <f t="shared" si="2"/>
        <v>-0.003756001303</v>
      </c>
      <c r="R16" s="27">
        <f t="shared" si="3"/>
        <v>-1.311411184</v>
      </c>
      <c r="S16" s="22"/>
      <c r="T16" s="28">
        <f t="shared" si="4"/>
        <v>54.59856348</v>
      </c>
      <c r="U16" s="28">
        <f t="shared" si="10"/>
        <v>54.59856348</v>
      </c>
      <c r="V16" s="23">
        <f t="shared" si="6"/>
        <v>1.003770162</v>
      </c>
      <c r="W16" s="22">
        <f t="shared" si="7"/>
        <v>1</v>
      </c>
      <c r="X16" s="22">
        <f t="shared" si="8"/>
        <v>11</v>
      </c>
      <c r="Y16" s="71"/>
      <c r="Z16" s="68">
        <f t="shared" si="9"/>
        <v>0.000546548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1.74838E-6</v>
      </c>
      <c r="L17" s="24">
        <v>1.75123506201316E-8</v>
      </c>
      <c r="M17" s="23">
        <f t="shared" si="1"/>
        <v>1.74838</v>
      </c>
      <c r="N17" s="23">
        <v>0.001927774</v>
      </c>
      <c r="O17" s="23">
        <v>1.74771893</v>
      </c>
      <c r="P17" s="23">
        <v>0.005388441</v>
      </c>
      <c r="Q17" s="26">
        <f t="shared" si="2"/>
        <v>-0.0003781043023</v>
      </c>
      <c r="R17" s="27">
        <f t="shared" si="3"/>
        <v>-0.1155130706</v>
      </c>
      <c r="S17" s="22"/>
      <c r="T17" s="28">
        <f t="shared" si="4"/>
        <v>174.6581022</v>
      </c>
      <c r="U17" s="28">
        <f t="shared" si="10"/>
        <v>174.6581022</v>
      </c>
      <c r="V17" s="23">
        <f t="shared" si="6"/>
        <v>1.000378247</v>
      </c>
      <c r="W17" s="22">
        <f t="shared" si="7"/>
        <v>1</v>
      </c>
      <c r="X17" s="22">
        <f t="shared" si="8"/>
        <v>12</v>
      </c>
      <c r="Y17" s="71"/>
      <c r="Z17" s="69">
        <f t="shared" si="9"/>
        <v>0.00174838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4.36805E-6</v>
      </c>
      <c r="L18" s="24">
        <v>3.90690595502555E-8</v>
      </c>
      <c r="M18" s="23">
        <f t="shared" si="1"/>
        <v>4.36805</v>
      </c>
      <c r="N18" s="23">
        <v>0.004802581</v>
      </c>
      <c r="O18" s="23">
        <v>4.400492668</v>
      </c>
      <c r="P18" s="23">
        <v>0.014530632</v>
      </c>
      <c r="Q18" s="26">
        <f t="shared" si="2"/>
        <v>0.007427265714</v>
      </c>
      <c r="R18" s="27">
        <f t="shared" si="3"/>
        <v>2.119919459</v>
      </c>
      <c r="S18" s="22"/>
      <c r="T18" s="28">
        <f t="shared" si="4"/>
        <v>436.3555538</v>
      </c>
      <c r="U18" s="28">
        <f t="shared" si="10"/>
        <v>436.3555538</v>
      </c>
      <c r="V18" s="23">
        <f t="shared" si="6"/>
        <v>0.9926274919</v>
      </c>
      <c r="W18" s="22">
        <f t="shared" si="7"/>
        <v>1</v>
      </c>
      <c r="X18" s="22">
        <f t="shared" si="8"/>
        <v>13</v>
      </c>
      <c r="Y18" s="71"/>
      <c r="Z18" s="69">
        <f t="shared" si="9"/>
        <v>0.00436805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8.93933999999999E-6</v>
      </c>
      <c r="L19" s="24">
        <v>9.09976378869808E-8</v>
      </c>
      <c r="M19" s="23">
        <f t="shared" si="1"/>
        <v>8.93934</v>
      </c>
      <c r="N19" s="23">
        <v>0.009809297</v>
      </c>
      <c r="O19" s="23">
        <v>9.347253799</v>
      </c>
      <c r="P19" s="23">
        <v>0.032170037</v>
      </c>
      <c r="Q19" s="26">
        <f t="shared" si="2"/>
        <v>0.04563131048</v>
      </c>
      <c r="R19" s="27">
        <f t="shared" si="3"/>
        <v>12.12862163</v>
      </c>
      <c r="S19" s="22"/>
      <c r="T19" s="28">
        <f t="shared" si="4"/>
        <v>893.0141954</v>
      </c>
      <c r="U19" s="28">
        <f t="shared" si="10"/>
        <v>893.0141954</v>
      </c>
      <c r="V19" s="23">
        <f t="shared" si="6"/>
        <v>0.9563600382</v>
      </c>
      <c r="W19" s="22">
        <f t="shared" si="7"/>
        <v>1</v>
      </c>
      <c r="X19" s="22">
        <f t="shared" si="8"/>
        <v>14</v>
      </c>
      <c r="Y19" s="71"/>
      <c r="Z19" s="69">
        <f t="shared" si="9"/>
        <v>0.00893934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4.25557999999999E-9</v>
      </c>
      <c r="L20" s="39">
        <v>4.05615083496158E-11</v>
      </c>
      <c r="M20" s="38">
        <f t="shared" si="1"/>
        <v>0.00425558</v>
      </c>
      <c r="N20" s="38">
        <v>4.585E-6</v>
      </c>
      <c r="O20" s="38">
        <v>0.00423472</v>
      </c>
      <c r="P20" s="38">
        <v>1.0345E-5</v>
      </c>
      <c r="Q20" s="40">
        <f t="shared" si="2"/>
        <v>-0.00490179952</v>
      </c>
      <c r="R20" s="41">
        <f t="shared" si="3"/>
        <v>-1.84348391</v>
      </c>
      <c r="S20" s="37"/>
      <c r="T20" s="42">
        <f t="shared" si="4"/>
        <v>0.4251201263</v>
      </c>
      <c r="U20" s="42">
        <f t="shared" ref="U20:U26" si="11">K20/$K$21</f>
        <v>0.08396596833</v>
      </c>
      <c r="V20" s="38">
        <f t="shared" si="6"/>
        <v>1.004925946</v>
      </c>
      <c r="W20" s="37">
        <f t="shared" si="7"/>
        <v>1</v>
      </c>
      <c r="X20" s="37">
        <f t="shared" si="8"/>
        <v>15</v>
      </c>
      <c r="Y20" s="81"/>
      <c r="Z20" s="66">
        <f t="shared" si="9"/>
        <v>0.00000425558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5.06822E-8</v>
      </c>
      <c r="L21" s="39">
        <v>5.31898790403139E-10</v>
      </c>
      <c r="M21" s="38">
        <f t="shared" si="1"/>
        <v>0.0506822</v>
      </c>
      <c r="N21" s="38">
        <v>5.7727E-5</v>
      </c>
      <c r="O21" s="38">
        <v>0.05050353</v>
      </c>
      <c r="P21" s="38">
        <v>5.7684E-5</v>
      </c>
      <c r="Q21" s="40">
        <f t="shared" si="2"/>
        <v>-0.003525300796</v>
      </c>
      <c r="R21" s="41">
        <f t="shared" si="3"/>
        <v>-2.189371201</v>
      </c>
      <c r="S21" s="37"/>
      <c r="T21" s="42">
        <f t="shared" si="4"/>
        <v>5.063005105</v>
      </c>
      <c r="U21" s="42">
        <f t="shared" si="11"/>
        <v>1</v>
      </c>
      <c r="V21" s="38">
        <f t="shared" si="6"/>
        <v>1.003537773</v>
      </c>
      <c r="W21" s="37">
        <f t="shared" si="7"/>
        <v>1</v>
      </c>
      <c r="X21" s="37">
        <f t="shared" si="8"/>
        <v>16</v>
      </c>
      <c r="Y21" s="81"/>
      <c r="Z21" s="67">
        <f t="shared" si="9"/>
        <v>0.0000506822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5.78717999999999E-7</v>
      </c>
      <c r="L22" s="39">
        <v>5.98977883607153E-9</v>
      </c>
      <c r="M22" s="38">
        <f t="shared" si="1"/>
        <v>0.578718</v>
      </c>
      <c r="N22" s="38">
        <v>6.49271E-4</v>
      </c>
      <c r="O22" s="38">
        <v>0.577542782</v>
      </c>
      <c r="P22" s="38">
        <v>0.001058774</v>
      </c>
      <c r="Q22" s="40">
        <f t="shared" si="2"/>
        <v>-0.002030726537</v>
      </c>
      <c r="R22" s="41">
        <f t="shared" si="3"/>
        <v>-0.9462329683</v>
      </c>
      <c r="S22" s="37"/>
      <c r="T22" s="42">
        <f t="shared" si="4"/>
        <v>57.81225338</v>
      </c>
      <c r="U22" s="42">
        <f t="shared" si="11"/>
        <v>11.4185651</v>
      </c>
      <c r="V22" s="38">
        <f t="shared" si="6"/>
        <v>1.002034859</v>
      </c>
      <c r="W22" s="37">
        <f t="shared" si="7"/>
        <v>1</v>
      </c>
      <c r="X22" s="37">
        <f t="shared" si="8"/>
        <v>17</v>
      </c>
      <c r="Y22" s="81"/>
      <c r="Z22" s="68">
        <f t="shared" si="9"/>
        <v>0.000578718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2.73926E-6</v>
      </c>
      <c r="L23" s="39">
        <v>2.68179873302312E-8</v>
      </c>
      <c r="M23" s="38">
        <f t="shared" si="1"/>
        <v>2.73926</v>
      </c>
      <c r="N23" s="38">
        <v>0.003037973</v>
      </c>
      <c r="O23" s="38">
        <v>2.762219429</v>
      </c>
      <c r="P23" s="38">
        <v>0.00730475</v>
      </c>
      <c r="Q23" s="40">
        <f t="shared" si="2"/>
        <v>0.008381617298</v>
      </c>
      <c r="R23" s="41">
        <f t="shared" si="3"/>
        <v>2.902106074</v>
      </c>
      <c r="S23" s="37"/>
      <c r="T23" s="42">
        <f t="shared" si="4"/>
        <v>273.6441465</v>
      </c>
      <c r="U23" s="42">
        <f t="shared" si="11"/>
        <v>54.0477722</v>
      </c>
      <c r="V23" s="38">
        <f t="shared" si="6"/>
        <v>0.9916880503</v>
      </c>
      <c r="W23" s="37">
        <f t="shared" si="7"/>
        <v>1</v>
      </c>
      <c r="X23" s="37">
        <f t="shared" si="8"/>
        <v>18</v>
      </c>
      <c r="Y23" s="81"/>
      <c r="Z23" s="69">
        <f t="shared" si="9"/>
        <v>0.00273926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8.46911999999999E-6</v>
      </c>
      <c r="L24" s="39">
        <v>8.7542922228603E-8</v>
      </c>
      <c r="M24" s="38">
        <f t="shared" si="1"/>
        <v>8.46912</v>
      </c>
      <c r="N24" s="38">
        <v>0.009339083</v>
      </c>
      <c r="O24" s="38">
        <v>8.872958183</v>
      </c>
      <c r="P24" s="38">
        <v>0.027278985</v>
      </c>
      <c r="Q24" s="40">
        <f t="shared" si="2"/>
        <v>0.04768360621</v>
      </c>
      <c r="R24" s="41">
        <f t="shared" si="3"/>
        <v>14.00594532</v>
      </c>
      <c r="S24" s="37"/>
      <c r="T24" s="42">
        <f t="shared" si="4"/>
        <v>846.0405782</v>
      </c>
      <c r="U24" s="42">
        <f t="shared" si="11"/>
        <v>167.1024541</v>
      </c>
      <c r="V24" s="38">
        <f t="shared" si="6"/>
        <v>0.9544866352</v>
      </c>
      <c r="W24" s="37">
        <f t="shared" si="7"/>
        <v>1</v>
      </c>
      <c r="X24" s="37">
        <f t="shared" si="8"/>
        <v>19</v>
      </c>
      <c r="Y24" s="81"/>
      <c r="Z24" s="69">
        <f t="shared" si="9"/>
        <v>0.00846912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2.24118E-5</v>
      </c>
      <c r="L25" s="39">
        <v>2.18425865194254E-7</v>
      </c>
      <c r="M25" s="38">
        <f t="shared" si="1"/>
        <v>22.4118</v>
      </c>
      <c r="N25" s="38">
        <v>0.024640713</v>
      </c>
      <c r="O25" s="38">
        <v>22.189599991</v>
      </c>
      <c r="P25" s="38">
        <v>0.073561325</v>
      </c>
      <c r="Q25" s="40">
        <f t="shared" si="2"/>
        <v>-0.009914420484</v>
      </c>
      <c r="R25" s="41">
        <f t="shared" si="3"/>
        <v>-2.86419345</v>
      </c>
      <c r="S25" s="37"/>
      <c r="T25" s="42">
        <f t="shared" si="4"/>
        <v>2238.87396</v>
      </c>
      <c r="U25" s="42">
        <f t="shared" si="11"/>
        <v>442.2025879</v>
      </c>
      <c r="V25" s="38">
        <f t="shared" si="6"/>
        <v>1.010013701</v>
      </c>
      <c r="W25" s="37">
        <f t="shared" si="7"/>
        <v>1</v>
      </c>
      <c r="X25" s="37">
        <f t="shared" si="8"/>
        <v>20</v>
      </c>
      <c r="Y25" s="81"/>
      <c r="Z25" s="70">
        <f t="shared" si="9"/>
        <v>0.0224118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4.80552E-5</v>
      </c>
      <c r="L26" s="39">
        <v>3.89102775236786E-7</v>
      </c>
      <c r="M26" s="38">
        <f t="shared" si="1"/>
        <v>48.0552</v>
      </c>
      <c r="N26" s="38">
        <v>0.052758377</v>
      </c>
      <c r="O26" s="38">
        <v>47.467823029</v>
      </c>
      <c r="P26" s="38">
        <v>0.16286081</v>
      </c>
      <c r="Q26" s="40">
        <f t="shared" si="2"/>
        <v>-0.01222296382</v>
      </c>
      <c r="R26" s="41">
        <f t="shared" si="3"/>
        <v>-3.431077817</v>
      </c>
      <c r="S26" s="37"/>
      <c r="T26" s="42">
        <f t="shared" si="4"/>
        <v>4800.575407</v>
      </c>
      <c r="U26" s="42">
        <f t="shared" si="11"/>
        <v>948.1672066</v>
      </c>
      <c r="V26" s="38">
        <f t="shared" si="6"/>
        <v>1.012374213</v>
      </c>
      <c r="W26" s="37">
        <f t="shared" si="7"/>
        <v>1</v>
      </c>
      <c r="X26" s="37">
        <f t="shared" si="8"/>
        <v>21</v>
      </c>
      <c r="Y26" s="81"/>
      <c r="Z26" s="70">
        <f t="shared" si="9"/>
        <v>0.0480552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1.33726E-8</v>
      </c>
      <c r="L27" s="46">
        <v>1.26520010793997E-10</v>
      </c>
      <c r="M27" s="45">
        <f t="shared" si="1"/>
        <v>0.0133726</v>
      </c>
      <c r="N27" s="45">
        <v>1.4398E-5</v>
      </c>
      <c r="O27" s="45">
        <v>0.013373886</v>
      </c>
      <c r="P27" s="45">
        <v>3.2696E-5</v>
      </c>
      <c r="Q27" s="47">
        <f t="shared" si="2"/>
        <v>0.00009616678881</v>
      </c>
      <c r="R27" s="48">
        <f t="shared" si="3"/>
        <v>0.03599642248</v>
      </c>
      <c r="S27" s="44"/>
      <c r="T27" s="49">
        <f t="shared" si="4"/>
        <v>1.335884039</v>
      </c>
      <c r="U27" s="49">
        <f t="shared" ref="U27:U33" si="12">K27/$K$28</f>
        <v>0.08369749582</v>
      </c>
      <c r="V27" s="45">
        <f t="shared" si="6"/>
        <v>0.9999038425</v>
      </c>
      <c r="W27" s="44">
        <f t="shared" si="7"/>
        <v>1</v>
      </c>
      <c r="X27" s="44">
        <f t="shared" si="8"/>
        <v>22</v>
      </c>
      <c r="Y27" s="85"/>
      <c r="Z27" s="67">
        <f t="shared" si="9"/>
        <v>0.0000133726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1.59772999999999E-7</v>
      </c>
      <c r="L28" s="46">
        <v>1.37890712105088E-9</v>
      </c>
      <c r="M28" s="45">
        <f t="shared" si="1"/>
        <v>0.159773</v>
      </c>
      <c r="N28" s="45">
        <v>1.82158E-4</v>
      </c>
      <c r="O28" s="45">
        <v>0.159878761</v>
      </c>
      <c r="P28" s="45">
        <v>1.82309E-4</v>
      </c>
      <c r="Q28" s="47">
        <f t="shared" si="2"/>
        <v>0.000661945385</v>
      </c>
      <c r="R28" s="48">
        <f t="shared" si="3"/>
        <v>0.4103763242</v>
      </c>
      <c r="S28" s="44"/>
      <c r="T28" s="49">
        <f t="shared" si="4"/>
        <v>15.96086031</v>
      </c>
      <c r="U28" s="49">
        <f t="shared" si="12"/>
        <v>1</v>
      </c>
      <c r="V28" s="45">
        <f t="shared" si="6"/>
        <v>0.9993384925</v>
      </c>
      <c r="W28" s="44">
        <f t="shared" si="7"/>
        <v>1</v>
      </c>
      <c r="X28" s="44">
        <f t="shared" si="8"/>
        <v>23</v>
      </c>
      <c r="Y28" s="85"/>
      <c r="Z28" s="68">
        <f t="shared" si="9"/>
        <v>0.000159773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1.73674E-6</v>
      </c>
      <c r="L29" s="46">
        <v>1.67601137866487E-8</v>
      </c>
      <c r="M29" s="45">
        <f t="shared" si="1"/>
        <v>1.73674</v>
      </c>
      <c r="N29" s="45">
        <v>0.001951986</v>
      </c>
      <c r="O29" s="45">
        <v>1.837337017</v>
      </c>
      <c r="P29" s="45">
        <v>0.003346248</v>
      </c>
      <c r="Q29" s="47">
        <f t="shared" si="2"/>
        <v>0.0579228998</v>
      </c>
      <c r="R29" s="48">
        <f t="shared" si="3"/>
        <v>25.96743886</v>
      </c>
      <c r="S29" s="44"/>
      <c r="T29" s="49">
        <f t="shared" si="4"/>
        <v>173.4952998</v>
      </c>
      <c r="U29" s="49">
        <f t="shared" si="12"/>
        <v>10.87004688</v>
      </c>
      <c r="V29" s="45">
        <f t="shared" si="6"/>
        <v>0.9452484677</v>
      </c>
      <c r="W29" s="44">
        <f t="shared" si="7"/>
        <v>1</v>
      </c>
      <c r="X29" s="44">
        <f t="shared" si="8"/>
        <v>24</v>
      </c>
      <c r="Y29" s="85"/>
      <c r="Z29" s="69">
        <f t="shared" si="9"/>
        <v>0.00173674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8.77703999999999E-6</v>
      </c>
      <c r="L30" s="46">
        <v>8.40882076552156E-8</v>
      </c>
      <c r="M30" s="45">
        <f t="shared" si="1"/>
        <v>8.77704</v>
      </c>
      <c r="N30" s="45">
        <v>0.009737127</v>
      </c>
      <c r="O30" s="45">
        <v>8.711921692</v>
      </c>
      <c r="P30" s="45">
        <v>0.023086617</v>
      </c>
      <c r="Q30" s="47">
        <f t="shared" si="2"/>
        <v>-0.007419165003</v>
      </c>
      <c r="R30" s="48">
        <f t="shared" si="3"/>
        <v>-2.598909951</v>
      </c>
      <c r="S30" s="44"/>
      <c r="T30" s="49">
        <f t="shared" si="4"/>
        <v>876.8008951</v>
      </c>
      <c r="U30" s="49">
        <f t="shared" si="12"/>
        <v>54.93443823</v>
      </c>
      <c r="V30" s="45">
        <f t="shared" si="6"/>
        <v>1.00747462</v>
      </c>
      <c r="W30" s="44">
        <f t="shared" si="7"/>
        <v>1</v>
      </c>
      <c r="X30" s="44">
        <f t="shared" si="8"/>
        <v>25</v>
      </c>
      <c r="Y30" s="85"/>
      <c r="Z30" s="69">
        <f t="shared" si="9"/>
        <v>0.00877704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2.83859E-5</v>
      </c>
      <c r="L31" s="46">
        <v>2.53736103266779E-7</v>
      </c>
      <c r="M31" s="45">
        <f t="shared" si="1"/>
        <v>28.3859</v>
      </c>
      <c r="N31" s="45">
        <v>0.031323359</v>
      </c>
      <c r="O31" s="45">
        <v>27.963502884</v>
      </c>
      <c r="P31" s="45">
        <v>0.086215063</v>
      </c>
      <c r="Q31" s="47">
        <f t="shared" si="2"/>
        <v>-0.01488052575</v>
      </c>
      <c r="R31" s="48">
        <f t="shared" si="3"/>
        <v>-4.604842594</v>
      </c>
      <c r="S31" s="44"/>
      <c r="T31" s="49">
        <f t="shared" si="4"/>
        <v>2835.669261</v>
      </c>
      <c r="U31" s="49">
        <f t="shared" si="12"/>
        <v>177.6639357</v>
      </c>
      <c r="V31" s="45">
        <f t="shared" si="6"/>
        <v>1.015105301</v>
      </c>
      <c r="W31" s="44">
        <f t="shared" si="7"/>
        <v>1</v>
      </c>
      <c r="X31" s="44">
        <f t="shared" si="8"/>
        <v>26</v>
      </c>
      <c r="Y31" s="85"/>
      <c r="Z31" s="70">
        <f t="shared" si="9"/>
        <v>0.0283859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7.19376999999999E-5</v>
      </c>
      <c r="L32" s="46">
        <v>6.34852810428599E-7</v>
      </c>
      <c r="M32" s="45">
        <f t="shared" si="1"/>
        <v>71.9377</v>
      </c>
      <c r="N32" s="45">
        <v>0.079034522</v>
      </c>
      <c r="O32" s="45">
        <v>70.40788269</v>
      </c>
      <c r="P32" s="45">
        <v>0.232490114</v>
      </c>
      <c r="Q32" s="47">
        <f t="shared" si="2"/>
        <v>-0.02126586352</v>
      </c>
      <c r="R32" s="48">
        <f t="shared" si="3"/>
        <v>-6.229995389</v>
      </c>
      <c r="S32" s="44"/>
      <c r="T32" s="49">
        <f t="shared" si="4"/>
        <v>7186.368041</v>
      </c>
      <c r="U32" s="49">
        <f t="shared" si="12"/>
        <v>450.2494164</v>
      </c>
      <c r="V32" s="45">
        <f t="shared" si="6"/>
        <v>1.021727927</v>
      </c>
      <c r="W32" s="44">
        <f t="shared" si="7"/>
        <v>1</v>
      </c>
      <c r="X32" s="44">
        <f t="shared" si="8"/>
        <v>27</v>
      </c>
      <c r="Y32" s="85"/>
      <c r="Z32" s="70">
        <f t="shared" si="9"/>
        <v>0.0719377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1.56972999999999E-4</v>
      </c>
      <c r="L33" s="46">
        <v>1.42360014531376E-6</v>
      </c>
      <c r="M33" s="45">
        <f t="shared" si="1"/>
        <v>156.973</v>
      </c>
      <c r="N33" s="45">
        <v>0.172248712</v>
      </c>
      <c r="O33" s="45">
        <v>149.556060791</v>
      </c>
      <c r="P33" s="45">
        <v>0.514720586</v>
      </c>
      <c r="Q33" s="47">
        <f t="shared" si="2"/>
        <v>-0.04724977677</v>
      </c>
      <c r="R33" s="48">
        <f t="shared" si="3"/>
        <v>-13.66479944</v>
      </c>
      <c r="S33" s="44"/>
      <c r="T33" s="49">
        <f t="shared" si="4"/>
        <v>15681.14842</v>
      </c>
      <c r="U33" s="49">
        <f t="shared" si="12"/>
        <v>982.4751366</v>
      </c>
      <c r="V33" s="45">
        <f t="shared" si="6"/>
        <v>1.049593037</v>
      </c>
      <c r="W33" s="44">
        <f t="shared" si="7"/>
        <v>1</v>
      </c>
      <c r="X33" s="44">
        <f t="shared" si="8"/>
        <v>28</v>
      </c>
      <c r="Y33" s="85"/>
      <c r="Z33" s="79">
        <f t="shared" si="9"/>
        <v>0.156973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3.18468E-8</v>
      </c>
      <c r="L34" s="53">
        <v>2.82881564966648E-10</v>
      </c>
      <c r="M34" s="52">
        <f t="shared" si="1"/>
        <v>0.0318468</v>
      </c>
      <c r="N34" s="52">
        <v>3.4178E-5</v>
      </c>
      <c r="O34" s="52">
        <v>0.032682475</v>
      </c>
      <c r="P34" s="52">
        <v>7.9823E-5</v>
      </c>
      <c r="Q34" s="54">
        <f t="shared" si="2"/>
        <v>0.02624047</v>
      </c>
      <c r="R34" s="55">
        <f t="shared" si="3"/>
        <v>9.624011717</v>
      </c>
      <c r="S34" s="51"/>
      <c r="T34" s="56">
        <f t="shared" si="4"/>
        <v>3.181403155</v>
      </c>
      <c r="U34" s="56">
        <f t="shared" ref="U34:U40" si="13">K34/$K$35</f>
        <v>0.08630218284</v>
      </c>
      <c r="V34" s="52">
        <f t="shared" si="6"/>
        <v>0.9744304861</v>
      </c>
      <c r="W34" s="51">
        <f t="shared" si="7"/>
        <v>1</v>
      </c>
      <c r="X34" s="51">
        <f t="shared" si="8"/>
        <v>29</v>
      </c>
      <c r="Y34" s="87"/>
      <c r="Z34" s="67">
        <f t="shared" si="9"/>
        <v>0.0000318468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3.69015E-7</v>
      </c>
      <c r="L35" s="53">
        <v>3.61540964050919E-9</v>
      </c>
      <c r="M35" s="52">
        <f t="shared" si="1"/>
        <v>0.369015</v>
      </c>
      <c r="N35" s="52">
        <v>4.20326E-4</v>
      </c>
      <c r="O35" s="52">
        <v>0.39059341</v>
      </c>
      <c r="P35" s="52">
        <v>4.4509E-4</v>
      </c>
      <c r="Q35" s="54">
        <f t="shared" si="2"/>
        <v>0.05847569882</v>
      </c>
      <c r="R35" s="55">
        <f t="shared" si="3"/>
        <v>35.24778129</v>
      </c>
      <c r="S35" s="51"/>
      <c r="T35" s="56">
        <f t="shared" si="4"/>
        <v>36.86353056</v>
      </c>
      <c r="U35" s="56">
        <f t="shared" si="13"/>
        <v>1</v>
      </c>
      <c r="V35" s="52">
        <f t="shared" si="6"/>
        <v>0.9447548027</v>
      </c>
      <c r="W35" s="51">
        <f t="shared" si="7"/>
        <v>1</v>
      </c>
      <c r="X35" s="51">
        <f t="shared" si="8"/>
        <v>30</v>
      </c>
      <c r="Y35" s="87"/>
      <c r="Z35" s="68">
        <f t="shared" si="9"/>
        <v>0.000369015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4.49716E-6</v>
      </c>
      <c r="L36" s="53">
        <v>4.46435308693751E-8</v>
      </c>
      <c r="M36" s="52">
        <f t="shared" si="1"/>
        <v>4.49716</v>
      </c>
      <c r="N36" s="52">
        <v>0.005050025</v>
      </c>
      <c r="O36" s="52">
        <v>4.470315456</v>
      </c>
      <c r="P36" s="52">
        <v>0.008169552</v>
      </c>
      <c r="Q36" s="54">
        <f t="shared" si="2"/>
        <v>-0.005969221464</v>
      </c>
      <c r="R36" s="55">
        <f t="shared" si="3"/>
        <v>-2.795028143</v>
      </c>
      <c r="S36" s="51"/>
      <c r="T36" s="56">
        <f t="shared" si="4"/>
        <v>449.2532691</v>
      </c>
      <c r="U36" s="56">
        <f t="shared" si="13"/>
        <v>12.18693007</v>
      </c>
      <c r="V36" s="52">
        <f t="shared" si="6"/>
        <v>1.006005067</v>
      </c>
      <c r="W36" s="51">
        <f t="shared" si="7"/>
        <v>1</v>
      </c>
      <c r="X36" s="51">
        <f t="shared" si="8"/>
        <v>31</v>
      </c>
      <c r="Y36" s="87"/>
      <c r="Z36" s="69">
        <f t="shared" si="9"/>
        <v>0.00449716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2.16307999999999E-5</v>
      </c>
      <c r="L37" s="53">
        <v>1.91024246173784E-7</v>
      </c>
      <c r="M37" s="52">
        <f t="shared" si="1"/>
        <v>21.6308</v>
      </c>
      <c r="N37" s="52">
        <v>0.023996783</v>
      </c>
      <c r="O37" s="52">
        <v>21.358903885</v>
      </c>
      <c r="P37" s="52">
        <v>0.056363811</v>
      </c>
      <c r="Q37" s="54">
        <f t="shared" si="2"/>
        <v>-0.01256985941</v>
      </c>
      <c r="R37" s="55">
        <f t="shared" si="3"/>
        <v>-4.438432755</v>
      </c>
      <c r="S37" s="51"/>
      <c r="T37" s="56">
        <f t="shared" si="4"/>
        <v>2160.85432</v>
      </c>
      <c r="U37" s="56">
        <f t="shared" si="13"/>
        <v>58.61767137</v>
      </c>
      <c r="V37" s="52">
        <f t="shared" si="6"/>
        <v>1.012729872</v>
      </c>
      <c r="W37" s="51">
        <f t="shared" si="7"/>
        <v>1</v>
      </c>
      <c r="X37" s="51">
        <f t="shared" si="8"/>
        <v>32</v>
      </c>
      <c r="Y37" s="87"/>
      <c r="Z37" s="70">
        <f t="shared" si="9"/>
        <v>0.0216308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7.04545E-5</v>
      </c>
      <c r="L38" s="53">
        <v>6.83282888012355E-7</v>
      </c>
      <c r="M38" s="52">
        <f t="shared" si="1"/>
        <v>70.4545</v>
      </c>
      <c r="N38" s="52">
        <v>0.077706587</v>
      </c>
      <c r="O38" s="52">
        <v>68.582122803</v>
      </c>
      <c r="P38" s="52">
        <v>0.210485994</v>
      </c>
      <c r="Q38" s="54">
        <f t="shared" si="2"/>
        <v>-0.02657569349</v>
      </c>
      <c r="R38" s="55">
        <f t="shared" si="3"/>
        <v>-8.344978695</v>
      </c>
      <c r="S38" s="51"/>
      <c r="T38" s="56">
        <f t="shared" si="4"/>
        <v>7038.200653</v>
      </c>
      <c r="U38" s="56">
        <f t="shared" si="13"/>
        <v>190.9258431</v>
      </c>
      <c r="V38" s="52">
        <f t="shared" si="6"/>
        <v>1.027301243</v>
      </c>
      <c r="W38" s="51">
        <f t="shared" si="7"/>
        <v>1</v>
      </c>
      <c r="X38" s="51">
        <f t="shared" si="8"/>
        <v>33</v>
      </c>
      <c r="Y38" s="87"/>
      <c r="Z38" s="70">
        <f t="shared" si="9"/>
        <v>0.0704545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1.82197E-4</v>
      </c>
      <c r="L39" s="53">
        <v>1.71360892725136E-6</v>
      </c>
      <c r="M39" s="52">
        <f t="shared" si="1"/>
        <v>182.197</v>
      </c>
      <c r="N39" s="52">
        <v>0.200184473</v>
      </c>
      <c r="O39" s="52">
        <v>171.323776245</v>
      </c>
      <c r="P39" s="52">
        <v>0.567602818</v>
      </c>
      <c r="Q39" s="54">
        <f t="shared" si="2"/>
        <v>-0.05967839073</v>
      </c>
      <c r="R39" s="55">
        <f t="shared" si="3"/>
        <v>-18.06575254</v>
      </c>
      <c r="S39" s="51"/>
      <c r="T39" s="56">
        <f t="shared" si="4"/>
        <v>18200.95302</v>
      </c>
      <c r="U39" s="56">
        <f t="shared" si="13"/>
        <v>493.7387369</v>
      </c>
      <c r="V39" s="52">
        <f t="shared" si="6"/>
        <v>1.063465936</v>
      </c>
      <c r="W39" s="51">
        <f t="shared" si="7"/>
        <v>1</v>
      </c>
      <c r="X39" s="51">
        <f t="shared" si="8"/>
        <v>34</v>
      </c>
      <c r="Y39" s="87"/>
      <c r="Z39" s="79">
        <f t="shared" si="9"/>
        <v>0.182197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4.03123E-4</v>
      </c>
      <c r="L40" s="53">
        <v>4.17952814986997E-6</v>
      </c>
      <c r="M40" s="52">
        <f t="shared" si="1"/>
        <v>403.123</v>
      </c>
      <c r="N40" s="52">
        <v>0.441906413</v>
      </c>
      <c r="O40" s="52">
        <v>366.510955811</v>
      </c>
      <c r="P40" s="52">
        <v>1.256642055</v>
      </c>
      <c r="Q40" s="54">
        <f t="shared" si="2"/>
        <v>-0.09082102532</v>
      </c>
      <c r="R40" s="55">
        <f t="shared" si="3"/>
        <v>-27.48491999</v>
      </c>
      <c r="S40" s="51"/>
      <c r="T40" s="56">
        <f t="shared" si="4"/>
        <v>40270.82105</v>
      </c>
      <c r="U40" s="56">
        <f t="shared" si="13"/>
        <v>1092.429847</v>
      </c>
      <c r="V40" s="52">
        <f t="shared" si="6"/>
        <v>1.099893451</v>
      </c>
      <c r="W40" s="51">
        <f t="shared" si="7"/>
        <v>1</v>
      </c>
      <c r="X40" s="51">
        <f t="shared" si="8"/>
        <v>35</v>
      </c>
      <c r="Y40" s="87"/>
      <c r="Z40" s="79">
        <f t="shared" si="9"/>
        <v>0.403123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6.76482999999999E-8</v>
      </c>
      <c r="L41" s="60">
        <v>6.25282247380244E-10</v>
      </c>
      <c r="M41" s="59">
        <f t="shared" si="1"/>
        <v>0.0676483</v>
      </c>
      <c r="N41" s="59">
        <v>7.2976E-5</v>
      </c>
      <c r="O41" s="59">
        <v>0.067755513</v>
      </c>
      <c r="P41" s="59">
        <v>1.65521E-4</v>
      </c>
      <c r="Q41" s="61">
        <f t="shared" si="2"/>
        <v>0.001584858747</v>
      </c>
      <c r="R41" s="62">
        <f t="shared" si="3"/>
        <v>0.592683581</v>
      </c>
      <c r="S41" s="58"/>
      <c r="T41" s="63">
        <f t="shared" si="4"/>
        <v>6.757869395</v>
      </c>
      <c r="U41" s="63">
        <f t="shared" ref="U41:U47" si="14">K41/$K$42</f>
        <v>0.08282204383</v>
      </c>
      <c r="V41" s="59">
        <f t="shared" si="6"/>
        <v>0.9984176491</v>
      </c>
      <c r="W41" s="58">
        <f t="shared" si="7"/>
        <v>1</v>
      </c>
      <c r="X41" s="58">
        <f t="shared" si="8"/>
        <v>36</v>
      </c>
      <c r="Y41" s="89"/>
      <c r="Z41" s="67">
        <f t="shared" si="9"/>
        <v>0.0000676483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8.16791E-7</v>
      </c>
      <c r="L42" s="60">
        <v>7.45292424474982E-9</v>
      </c>
      <c r="M42" s="59">
        <f t="shared" si="1"/>
        <v>0.816791</v>
      </c>
      <c r="N42" s="59">
        <v>9.29539E-4</v>
      </c>
      <c r="O42" s="59">
        <v>0.808056414</v>
      </c>
      <c r="P42" s="59">
        <v>9.22939E-4</v>
      </c>
      <c r="Q42" s="61">
        <f t="shared" si="2"/>
        <v>-0.01069378335</v>
      </c>
      <c r="R42" s="62">
        <f t="shared" si="3"/>
        <v>-6.668090841</v>
      </c>
      <c r="S42" s="58"/>
      <c r="T42" s="63">
        <f t="shared" si="4"/>
        <v>81.59505709</v>
      </c>
      <c r="U42" s="63">
        <f t="shared" si="14"/>
        <v>1</v>
      </c>
      <c r="V42" s="59">
        <f t="shared" si="6"/>
        <v>1.010809376</v>
      </c>
      <c r="W42" s="58">
        <f t="shared" si="7"/>
        <v>1</v>
      </c>
      <c r="X42" s="58">
        <f t="shared" si="8"/>
        <v>37</v>
      </c>
      <c r="Y42" s="89"/>
      <c r="Z42" s="68">
        <f t="shared" si="9"/>
        <v>0.000816791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9.39233999999999E-6</v>
      </c>
      <c r="L43" s="60">
        <v>8.79950893946688E-8</v>
      </c>
      <c r="M43" s="59">
        <f t="shared" si="1"/>
        <v>9.39234</v>
      </c>
      <c r="N43" s="59">
        <v>0.010537988</v>
      </c>
      <c r="O43" s="59">
        <v>9.240684509</v>
      </c>
      <c r="P43" s="59">
        <v>0.016940382</v>
      </c>
      <c r="Q43" s="61">
        <f t="shared" si="2"/>
        <v>-0.01614672073</v>
      </c>
      <c r="R43" s="62">
        <f t="shared" si="3"/>
        <v>-7.60155713</v>
      </c>
      <c r="S43" s="58"/>
      <c r="T43" s="63">
        <f t="shared" si="4"/>
        <v>938.2675844</v>
      </c>
      <c r="U43" s="63">
        <f t="shared" si="14"/>
        <v>11.49907381</v>
      </c>
      <c r="V43" s="59">
        <f t="shared" si="6"/>
        <v>1.016411716</v>
      </c>
      <c r="W43" s="58">
        <f t="shared" si="7"/>
        <v>1</v>
      </c>
      <c r="X43" s="58">
        <f t="shared" si="8"/>
        <v>38</v>
      </c>
      <c r="Y43" s="89"/>
      <c r="Z43" s="69">
        <f t="shared" si="9"/>
        <v>0.00939234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4.55579E-5</v>
      </c>
      <c r="L44" s="60">
        <v>4.4594762341365E-7</v>
      </c>
      <c r="M44" s="59">
        <f t="shared" si="1"/>
        <v>45.5579</v>
      </c>
      <c r="N44" s="59">
        <v>0.050544149</v>
      </c>
      <c r="O44" s="59">
        <v>44.195510864</v>
      </c>
      <c r="P44" s="59">
        <v>0.116875998</v>
      </c>
      <c r="Q44" s="61">
        <f t="shared" si="2"/>
        <v>-0.02990456399</v>
      </c>
      <c r="R44" s="62">
        <f t="shared" si="3"/>
        <v>-10.69908358</v>
      </c>
      <c r="S44" s="58"/>
      <c r="T44" s="63">
        <f t="shared" si="4"/>
        <v>4551.102365</v>
      </c>
      <c r="U44" s="63">
        <f t="shared" si="14"/>
        <v>55.77669196</v>
      </c>
      <c r="V44" s="59">
        <f t="shared" si="6"/>
        <v>1.030826414</v>
      </c>
      <c r="W44" s="58">
        <f t="shared" si="7"/>
        <v>1</v>
      </c>
      <c r="X44" s="58">
        <f t="shared" si="8"/>
        <v>39</v>
      </c>
      <c r="Y44" s="89"/>
      <c r="Z44" s="70">
        <f t="shared" si="9"/>
        <v>0.0455579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1.50513E-4</v>
      </c>
      <c r="L45" s="60">
        <v>1.46994502748857E-6</v>
      </c>
      <c r="M45" s="59">
        <f t="shared" si="1"/>
        <v>150.513</v>
      </c>
      <c r="N45" s="59">
        <v>0.165814163</v>
      </c>
      <c r="O45" s="59">
        <v>141.967330933</v>
      </c>
      <c r="P45" s="59">
        <v>0.436463758</v>
      </c>
      <c r="Q45" s="61">
        <f t="shared" si="2"/>
        <v>-0.05677694994</v>
      </c>
      <c r="R45" s="62">
        <f t="shared" si="3"/>
        <v>-18.30302426</v>
      </c>
      <c r="S45" s="58"/>
      <c r="T45" s="63">
        <f t="shared" si="4"/>
        <v>15035.81311</v>
      </c>
      <c r="U45" s="63">
        <f t="shared" si="14"/>
        <v>184.2735779</v>
      </c>
      <c r="V45" s="59">
        <f t="shared" si="6"/>
        <v>1.060194617</v>
      </c>
      <c r="W45" s="58">
        <f t="shared" si="7"/>
        <v>1</v>
      </c>
      <c r="X45" s="58">
        <f t="shared" si="8"/>
        <v>40</v>
      </c>
      <c r="Y45" s="89"/>
      <c r="Z45" s="79">
        <f t="shared" si="9"/>
        <v>0.150513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3.95041E-4</v>
      </c>
      <c r="L46" s="60">
        <v>3.78426019884009E-6</v>
      </c>
      <c r="M46" s="59">
        <f t="shared" si="1"/>
        <v>395.041</v>
      </c>
      <c r="N46" s="59">
        <v>0.433885162</v>
      </c>
      <c r="O46" s="59">
        <v>355.033599854</v>
      </c>
      <c r="P46" s="59">
        <v>1.176981203</v>
      </c>
      <c r="Q46" s="61">
        <f t="shared" si="2"/>
        <v>-0.1012740453</v>
      </c>
      <c r="R46" s="62">
        <f t="shared" si="3"/>
        <v>-31.89343427</v>
      </c>
      <c r="S46" s="58"/>
      <c r="T46" s="63">
        <f t="shared" si="4"/>
        <v>39463.45264</v>
      </c>
      <c r="U46" s="63">
        <f t="shared" si="14"/>
        <v>483.6500402</v>
      </c>
      <c r="V46" s="59">
        <f t="shared" si="6"/>
        <v>1.112686236</v>
      </c>
      <c r="W46" s="58">
        <f t="shared" si="7"/>
        <v>0</v>
      </c>
      <c r="X46" s="58">
        <f t="shared" si="8"/>
        <v>41</v>
      </c>
      <c r="Y46" s="89"/>
      <c r="Z46" s="79">
        <f t="shared" si="9"/>
        <v>0.395041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8.91023E-4</v>
      </c>
      <c r="L47" s="60">
        <v>8.17584339083834E-6</v>
      </c>
      <c r="M47" s="59">
        <f t="shared" si="1"/>
        <v>891.023</v>
      </c>
      <c r="N47" s="59">
        <v>0.974873986</v>
      </c>
      <c r="O47" s="59">
        <v>759.485168457</v>
      </c>
      <c r="P47" s="59">
        <v>2.605772959</v>
      </c>
      <c r="Q47" s="61">
        <f t="shared" si="2"/>
        <v>-0.1476256298</v>
      </c>
      <c r="R47" s="62">
        <f t="shared" si="3"/>
        <v>-47.27897779</v>
      </c>
      <c r="S47" s="58"/>
      <c r="T47" s="63">
        <f t="shared" si="4"/>
        <v>89010.61906</v>
      </c>
      <c r="U47" s="63">
        <f t="shared" si="14"/>
        <v>1090.88249</v>
      </c>
      <c r="V47" s="59">
        <f t="shared" si="6"/>
        <v>1.173193417</v>
      </c>
      <c r="W47" s="58">
        <f t="shared" si="7"/>
        <v>0</v>
      </c>
      <c r="X47" s="58">
        <f t="shared" si="8"/>
        <v>42</v>
      </c>
      <c r="Y47" s="89"/>
      <c r="Z47" s="79">
        <f t="shared" si="9"/>
        <v>0.891023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2.11852999999999E-7</v>
      </c>
      <c r="L48" s="96">
        <v>1.88660643441705E-9</v>
      </c>
      <c r="M48" s="95">
        <f t="shared" si="1"/>
        <v>0.211853</v>
      </c>
      <c r="N48" s="95">
        <v>2.2874E-4</v>
      </c>
      <c r="O48" s="95">
        <v>0.21398218</v>
      </c>
      <c r="P48" s="95">
        <v>5.23129E-4</v>
      </c>
      <c r="Q48" s="97">
        <f t="shared" si="2"/>
        <v>0.01005027071</v>
      </c>
      <c r="R48" s="98">
        <f t="shared" si="3"/>
        <v>3.729176551</v>
      </c>
      <c r="S48" s="94"/>
      <c r="T48" s="99">
        <f t="shared" si="4"/>
        <v>21.16350159</v>
      </c>
      <c r="U48" s="99">
        <f t="shared" ref="U48:U54" si="15">K48/$K$49</f>
        <v>0.08093684456</v>
      </c>
      <c r="V48" s="95">
        <f t="shared" si="6"/>
        <v>0.9900497322</v>
      </c>
      <c r="W48" s="94">
        <f t="shared" si="7"/>
        <v>1</v>
      </c>
      <c r="X48" s="94">
        <f t="shared" si="8"/>
        <v>43</v>
      </c>
      <c r="Y48" s="100"/>
      <c r="Z48" s="68">
        <f t="shared" si="9"/>
        <v>0.000211853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2.61750999999999E-6</v>
      </c>
      <c r="L49" s="96">
        <v>2.67035710546493E-8</v>
      </c>
      <c r="M49" s="95">
        <f t="shared" si="1"/>
        <v>2.61751</v>
      </c>
      <c r="N49" s="95">
        <v>0.002974365</v>
      </c>
      <c r="O49" s="95">
        <v>2.558060169</v>
      </c>
      <c r="P49" s="95">
        <v>0.002916944</v>
      </c>
      <c r="Q49" s="97">
        <f t="shared" si="2"/>
        <v>-0.0227123606</v>
      </c>
      <c r="R49" s="98">
        <f t="shared" si="3"/>
        <v>-14.27030293</v>
      </c>
      <c r="S49" s="94"/>
      <c r="T49" s="99">
        <f t="shared" si="4"/>
        <v>261.4816739</v>
      </c>
      <c r="U49" s="99">
        <f t="shared" si="15"/>
        <v>1</v>
      </c>
      <c r="V49" s="95">
        <f t="shared" si="6"/>
        <v>1.0232402</v>
      </c>
      <c r="W49" s="94">
        <f t="shared" si="7"/>
        <v>1</v>
      </c>
      <c r="X49" s="94">
        <f t="shared" si="8"/>
        <v>44</v>
      </c>
      <c r="Y49" s="100"/>
      <c r="Z49" s="69">
        <f t="shared" si="9"/>
        <v>0.00261751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3.05239E-5</v>
      </c>
      <c r="L50" s="96">
        <v>2.98419726783155E-7</v>
      </c>
      <c r="M50" s="95">
        <f t="shared" si="1"/>
        <v>30.5239</v>
      </c>
      <c r="N50" s="95">
        <v>0.034173531</v>
      </c>
      <c r="O50" s="95">
        <v>29.397392273</v>
      </c>
      <c r="P50" s="95">
        <v>0.053539973</v>
      </c>
      <c r="Q50" s="97">
        <f t="shared" si="2"/>
        <v>-0.03690575998</v>
      </c>
      <c r="R50" s="98">
        <f t="shared" si="3"/>
        <v>-17.73564176</v>
      </c>
      <c r="S50" s="94"/>
      <c r="T50" s="99">
        <f t="shared" si="4"/>
        <v>3049.249273</v>
      </c>
      <c r="U50" s="99">
        <f t="shared" si="15"/>
        <v>11.66142632</v>
      </c>
      <c r="V50" s="95">
        <f t="shared" si="6"/>
        <v>1.038319988</v>
      </c>
      <c r="W50" s="94">
        <f t="shared" si="7"/>
        <v>1</v>
      </c>
      <c r="X50" s="94">
        <f t="shared" si="8"/>
        <v>45</v>
      </c>
      <c r="Y50" s="100"/>
      <c r="Z50" s="70">
        <f t="shared" si="9"/>
        <v>0.0305239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1.51412E-4</v>
      </c>
      <c r="L51" s="96">
        <v>1.18605363804645E-6</v>
      </c>
      <c r="M51" s="95">
        <f t="shared" si="1"/>
        <v>151.412</v>
      </c>
      <c r="N51" s="95">
        <v>0.167556898</v>
      </c>
      <c r="O51" s="95">
        <v>139.390762329</v>
      </c>
      <c r="P51" s="95">
        <v>0.369385871</v>
      </c>
      <c r="Q51" s="97">
        <f t="shared" si="2"/>
        <v>-0.07939422021</v>
      </c>
      <c r="R51" s="98">
        <f t="shared" si="3"/>
        <v>-29.63727038</v>
      </c>
      <c r="S51" s="94"/>
      <c r="T51" s="99">
        <f t="shared" si="4"/>
        <v>15125.62061</v>
      </c>
      <c r="U51" s="99">
        <f t="shared" si="15"/>
        <v>57.8458153</v>
      </c>
      <c r="V51" s="95">
        <f t="shared" si="6"/>
        <v>1.086241279</v>
      </c>
      <c r="W51" s="94">
        <f t="shared" si="7"/>
        <v>1</v>
      </c>
      <c r="X51" s="94">
        <f t="shared" si="8"/>
        <v>46</v>
      </c>
      <c r="Y51" s="100"/>
      <c r="Z51" s="79">
        <f t="shared" si="9"/>
        <v>0.151412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5.17614999999999E-4</v>
      </c>
      <c r="L52" s="96">
        <v>4.47047271131658E-6</v>
      </c>
      <c r="M52" s="95">
        <f t="shared" si="1"/>
        <v>517.615</v>
      </c>
      <c r="N52" s="95">
        <v>0.568971208</v>
      </c>
      <c r="O52" s="95">
        <v>447.416046143</v>
      </c>
      <c r="P52" s="95">
        <v>1.379441009</v>
      </c>
      <c r="Q52" s="97">
        <f t="shared" si="2"/>
        <v>-0.1356200146</v>
      </c>
      <c r="R52" s="98">
        <f t="shared" si="3"/>
        <v>-47.04472445</v>
      </c>
      <c r="S52" s="94"/>
      <c r="T52" s="99">
        <f t="shared" si="4"/>
        <v>51708.24051</v>
      </c>
      <c r="U52" s="99">
        <f t="shared" si="15"/>
        <v>197.7509159</v>
      </c>
      <c r="V52" s="95">
        <f t="shared" si="6"/>
        <v>1.156898606</v>
      </c>
      <c r="W52" s="94">
        <f t="shared" si="7"/>
        <v>0</v>
      </c>
      <c r="X52" s="94">
        <f t="shared" si="8"/>
        <v>47</v>
      </c>
      <c r="Y52" s="100"/>
      <c r="Z52" s="79">
        <f t="shared" si="9"/>
        <v>0.517615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0.00139519</v>
      </c>
      <c r="L53" s="96">
        <v>1.3070666518289E-5</v>
      </c>
      <c r="M53" s="95">
        <f t="shared" si="1"/>
        <v>1395.19</v>
      </c>
      <c r="N53" s="95">
        <v>1.526784082</v>
      </c>
      <c r="O53" s="95">
        <v>1126.526123047</v>
      </c>
      <c r="P53" s="95">
        <v>3.719841829</v>
      </c>
      <c r="Q53" s="97">
        <f t="shared" si="2"/>
        <v>-0.1925643654</v>
      </c>
      <c r="R53" s="98">
        <f t="shared" si="3"/>
        <v>-66.81549557</v>
      </c>
      <c r="S53" s="94"/>
      <c r="T53" s="99">
        <f t="shared" si="4"/>
        <v>139375.4433</v>
      </c>
      <c r="U53" s="99">
        <f t="shared" si="15"/>
        <v>533.0218414</v>
      </c>
      <c r="V53" s="95">
        <f t="shared" si="6"/>
        <v>1.238488812</v>
      </c>
      <c r="W53" s="94">
        <f t="shared" si="7"/>
        <v>0</v>
      </c>
      <c r="X53" s="94">
        <f t="shared" si="8"/>
        <v>48</v>
      </c>
      <c r="Y53" s="100"/>
      <c r="Z53" s="14">
        <f t="shared" si="9"/>
        <v>1.39519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0.00316061999999999</v>
      </c>
      <c r="L54" s="96">
        <v>3.0145364988718E-5</v>
      </c>
      <c r="M54" s="95">
        <f t="shared" si="1"/>
        <v>3160.62</v>
      </c>
      <c r="N54" s="95">
        <v>3.449234886</v>
      </c>
      <c r="O54" s="95">
        <v>2392.896972656</v>
      </c>
      <c r="P54" s="95">
        <v>8.235529371</v>
      </c>
      <c r="Q54" s="97">
        <f t="shared" si="2"/>
        <v>-0.242902667</v>
      </c>
      <c r="R54" s="98">
        <f t="shared" si="3"/>
        <v>-85.98402044</v>
      </c>
      <c r="S54" s="94"/>
      <c r="T54" s="99">
        <f t="shared" si="4"/>
        <v>315736.7911</v>
      </c>
      <c r="U54" s="99">
        <f t="shared" si="15"/>
        <v>1207.491089</v>
      </c>
      <c r="V54" s="95">
        <f t="shared" si="6"/>
        <v>1.320834134</v>
      </c>
      <c r="W54" s="94">
        <f t="shared" si="7"/>
        <v>0</v>
      </c>
      <c r="X54" s="94">
        <f t="shared" si="8"/>
        <v>49</v>
      </c>
      <c r="Y54" s="100"/>
      <c r="Z54" s="14">
        <f t="shared" si="9"/>
        <v>3.16062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5.089E-7</v>
      </c>
      <c r="L55" s="103">
        <v>4.852032792781E-9</v>
      </c>
      <c r="M55" s="102">
        <f t="shared" si="1"/>
        <v>0.5089</v>
      </c>
      <c r="N55" s="102">
        <v>5.51442E-4</v>
      </c>
      <c r="O55" s="102">
        <v>0.522919595</v>
      </c>
      <c r="P55" s="102">
        <v>0.001277171</v>
      </c>
      <c r="Q55" s="104">
        <f t="shared" si="2"/>
        <v>0.02754882099</v>
      </c>
      <c r="R55" s="106">
        <f t="shared" si="3"/>
        <v>10.07781719</v>
      </c>
      <c r="S55" s="101"/>
      <c r="T55" s="108">
        <f t="shared" si="4"/>
        <v>50.83763723</v>
      </c>
      <c r="U55" s="108">
        <f t="shared" ref="U55:U61" si="16">K55/$K$56</f>
        <v>0.07739676756</v>
      </c>
      <c r="V55" s="102">
        <f t="shared" si="6"/>
        <v>0.9731897693</v>
      </c>
      <c r="W55" s="101">
        <f t="shared" si="7"/>
        <v>1</v>
      </c>
      <c r="X55" s="101">
        <f t="shared" si="8"/>
        <v>50</v>
      </c>
      <c r="Y55" s="110"/>
      <c r="Z55" s="68">
        <f t="shared" si="9"/>
        <v>0.0005089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6.57520999999999E-6</v>
      </c>
      <c r="L56" s="103">
        <v>7.38296284726127E-8</v>
      </c>
      <c r="M56" s="102">
        <f t="shared" si="1"/>
        <v>6.57521</v>
      </c>
      <c r="N56" s="102">
        <v>0.007463809</v>
      </c>
      <c r="O56" s="102">
        <v>6.249494076</v>
      </c>
      <c r="P56" s="102">
        <v>0.007121445</v>
      </c>
      <c r="Q56" s="104">
        <f t="shared" si="2"/>
        <v>-0.04953696141</v>
      </c>
      <c r="R56" s="106">
        <f t="shared" si="3"/>
        <v>-31.57332924</v>
      </c>
      <c r="S56" s="101"/>
      <c r="T56" s="108">
        <f t="shared" si="4"/>
        <v>656.8444502</v>
      </c>
      <c r="U56" s="108">
        <f t="shared" si="16"/>
        <v>1</v>
      </c>
      <c r="V56" s="102">
        <f t="shared" si="6"/>
        <v>1.052118767</v>
      </c>
      <c r="W56" s="101">
        <f t="shared" si="7"/>
        <v>1</v>
      </c>
      <c r="X56" s="101">
        <f t="shared" si="8"/>
        <v>51</v>
      </c>
      <c r="Y56" s="110"/>
      <c r="Z56" s="69">
        <f t="shared" si="9"/>
        <v>0.00657521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7.81800999999999E-5</v>
      </c>
      <c r="L57" s="103">
        <v>7.50372964504043E-7</v>
      </c>
      <c r="M57" s="102">
        <f t="shared" si="1"/>
        <v>78.1801</v>
      </c>
      <c r="N57" s="102">
        <v>0.087381298</v>
      </c>
      <c r="O57" s="102">
        <v>71.525047302</v>
      </c>
      <c r="P57" s="102">
        <v>0.130712825</v>
      </c>
      <c r="Q57" s="104">
        <f t="shared" si="2"/>
        <v>-0.08512463783</v>
      </c>
      <c r="R57" s="106">
        <f t="shared" si="3"/>
        <v>-42.32681099</v>
      </c>
      <c r="S57" s="101"/>
      <c r="T57" s="108">
        <f t="shared" si="4"/>
        <v>7809.965735</v>
      </c>
      <c r="U57" s="108">
        <f t="shared" si="16"/>
        <v>11.89012974</v>
      </c>
      <c r="V57" s="102">
        <f t="shared" si="6"/>
        <v>1.093045065</v>
      </c>
      <c r="W57" s="101">
        <f t="shared" si="7"/>
        <v>1</v>
      </c>
      <c r="X57" s="101">
        <f t="shared" si="8"/>
        <v>52</v>
      </c>
      <c r="Y57" s="110"/>
      <c r="Z57" s="70">
        <f t="shared" si="9"/>
        <v>0.0781801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3.97997999999999E-4</v>
      </c>
      <c r="L58" s="103">
        <v>3.66476479601365E-6</v>
      </c>
      <c r="M58" s="102">
        <f t="shared" si="1"/>
        <v>397.998</v>
      </c>
      <c r="N58" s="102">
        <v>0.439257928</v>
      </c>
      <c r="O58" s="102">
        <v>341.742462158</v>
      </c>
      <c r="P58" s="102">
        <v>0.901820973</v>
      </c>
      <c r="Q58" s="104">
        <f t="shared" si="2"/>
        <v>-0.1413462828</v>
      </c>
      <c r="R58" s="106">
        <f t="shared" si="3"/>
        <v>-56.08115557</v>
      </c>
      <c r="S58" s="101"/>
      <c r="T58" s="108">
        <f t="shared" si="4"/>
        <v>39758.84839</v>
      </c>
      <c r="U58" s="108">
        <f t="shared" si="16"/>
        <v>60.53008193</v>
      </c>
      <c r="V58" s="102">
        <f t="shared" si="6"/>
        <v>1.164613837</v>
      </c>
      <c r="W58" s="101">
        <f t="shared" si="7"/>
        <v>0</v>
      </c>
      <c r="X58" s="101">
        <f t="shared" si="8"/>
        <v>53</v>
      </c>
      <c r="Y58" s="110"/>
      <c r="Z58" s="79">
        <f t="shared" si="9"/>
        <v>0.397998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0.00138086999999999</v>
      </c>
      <c r="L59" s="103">
        <v>1.40062431966908E-5</v>
      </c>
      <c r="M59" s="102">
        <f t="shared" si="1"/>
        <v>1380.87</v>
      </c>
      <c r="N59" s="102">
        <v>1.514017521</v>
      </c>
      <c r="O59" s="102">
        <v>1097.313964844</v>
      </c>
      <c r="P59" s="102">
        <v>3.367775906</v>
      </c>
      <c r="Q59" s="104">
        <f t="shared" si="2"/>
        <v>-0.2053459306</v>
      </c>
      <c r="R59" s="106">
        <f t="shared" si="3"/>
        <v>-76.79353233</v>
      </c>
      <c r="S59" s="101"/>
      <c r="T59" s="108">
        <f t="shared" si="4"/>
        <v>137944.9167</v>
      </c>
      <c r="U59" s="108">
        <f t="shared" si="16"/>
        <v>210.0115434</v>
      </c>
      <c r="V59" s="102">
        <f t="shared" si="6"/>
        <v>1.25840921</v>
      </c>
      <c r="W59" s="101">
        <f t="shared" si="7"/>
        <v>0</v>
      </c>
      <c r="X59" s="101">
        <f t="shared" si="8"/>
        <v>54</v>
      </c>
      <c r="Y59" s="110"/>
      <c r="Z59" s="14">
        <f t="shared" si="9"/>
        <v>1.38087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0.00370671</v>
      </c>
      <c r="L60" s="103">
        <v>3.76067625016909E-5</v>
      </c>
      <c r="M60" s="102">
        <f t="shared" si="1"/>
        <v>3706.71</v>
      </c>
      <c r="N60" s="102">
        <v>4.048646904</v>
      </c>
      <c r="O60" s="102">
        <v>2741.180419922</v>
      </c>
      <c r="P60" s="102">
        <v>9.081645089</v>
      </c>
      <c r="Q60" s="104">
        <f t="shared" si="2"/>
        <v>-0.2604815537</v>
      </c>
      <c r="R60" s="106">
        <f t="shared" si="3"/>
        <v>-97.1042204</v>
      </c>
      <c r="S60" s="101"/>
      <c r="T60" s="108">
        <f t="shared" si="4"/>
        <v>370289.6017</v>
      </c>
      <c r="U60" s="108">
        <f t="shared" si="16"/>
        <v>563.7401695</v>
      </c>
      <c r="V60" s="102">
        <f t="shared" si="6"/>
        <v>1.352231314</v>
      </c>
      <c r="W60" s="101">
        <f t="shared" si="7"/>
        <v>0</v>
      </c>
      <c r="X60" s="101">
        <f t="shared" si="8"/>
        <v>55</v>
      </c>
      <c r="Y60" s="110"/>
      <c r="Z60" s="14">
        <f t="shared" si="9"/>
        <v>3.70671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0.00823251</v>
      </c>
      <c r="L61" s="103">
        <v>7.96334398822175E-5</v>
      </c>
      <c r="M61" s="102">
        <f t="shared" si="1"/>
        <v>8232.51</v>
      </c>
      <c r="N61" s="102">
        <v>8.97151447</v>
      </c>
      <c r="O61" s="102">
        <v>5864.175292969</v>
      </c>
      <c r="P61" s="102">
        <v>20.106272828</v>
      </c>
      <c r="Q61" s="104">
        <f t="shared" si="2"/>
        <v>-0.2876807568</v>
      </c>
      <c r="R61" s="106">
        <f t="shared" si="3"/>
        <v>-107.5682357</v>
      </c>
      <c r="S61" s="101"/>
      <c r="T61" s="108">
        <f t="shared" si="4"/>
        <v>822403.924</v>
      </c>
      <c r="U61" s="108">
        <f t="shared" si="16"/>
        <v>1252.052786</v>
      </c>
      <c r="V61" s="102">
        <f t="shared" si="6"/>
        <v>1.403864924</v>
      </c>
      <c r="W61" s="101">
        <f t="shared" si="7"/>
        <v>0</v>
      </c>
      <c r="X61" s="101">
        <f t="shared" si="8"/>
        <v>56</v>
      </c>
      <c r="Y61" s="110"/>
      <c r="Z61" s="14">
        <f t="shared" si="9"/>
        <v>8.23251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3.30137999999999E-8</v>
      </c>
      <c r="L62" s="117">
        <v>3.88638597666211E-10</v>
      </c>
      <c r="M62" s="116">
        <f t="shared" si="1"/>
        <v>0.0330138</v>
      </c>
      <c r="N62" s="116">
        <v>3.8023E-5</v>
      </c>
      <c r="O62" s="116">
        <v>0.009992423</v>
      </c>
      <c r="P62" s="116">
        <v>1.1394E-5</v>
      </c>
      <c r="Q62" s="118">
        <f t="shared" si="2"/>
        <v>-0.6973258758</v>
      </c>
      <c r="R62" s="119">
        <f t="shared" si="3"/>
        <v>-579.9789111</v>
      </c>
      <c r="T62" s="120">
        <f t="shared" si="4"/>
        <v>3.297983077</v>
      </c>
      <c r="V62" s="1">
        <f t="shared" si="6"/>
        <v>3.303883352</v>
      </c>
      <c r="W62" s="121">
        <f t="shared" si="7"/>
        <v>0</v>
      </c>
      <c r="X62" s="121">
        <f t="shared" si="8"/>
        <v>57</v>
      </c>
      <c r="Z62" s="67">
        <f t="shared" si="9"/>
        <v>0.0000330138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3.30137999999999E-8</v>
      </c>
      <c r="L63" s="117">
        <v>3.88638597666211E-10</v>
      </c>
      <c r="M63" s="116">
        <f t="shared" si="1"/>
        <v>0.0330138</v>
      </c>
      <c r="N63" s="116">
        <v>3.8023E-5</v>
      </c>
      <c r="O63" s="116">
        <v>0.009992423</v>
      </c>
      <c r="P63" s="116">
        <v>1.1394E-5</v>
      </c>
      <c r="Q63" s="118">
        <f t="shared" si="2"/>
        <v>-0.6973258758</v>
      </c>
      <c r="R63" s="119">
        <f t="shared" si="3"/>
        <v>-579.9789111</v>
      </c>
      <c r="T63" s="120">
        <f t="shared" si="4"/>
        <v>3.297983077</v>
      </c>
      <c r="V63" s="1">
        <f t="shared" si="6"/>
        <v>3.303883352</v>
      </c>
      <c r="W63" s="121">
        <f t="shared" si="7"/>
        <v>0</v>
      </c>
      <c r="X63" s="121">
        <f t="shared" si="8"/>
        <v>58</v>
      </c>
      <c r="Z63" s="67">
        <f t="shared" si="9"/>
        <v>0.0000330138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3.53731E-7</v>
      </c>
      <c r="L64" s="117">
        <v>3.3297767389591E-9</v>
      </c>
      <c r="M64" s="116">
        <f t="shared" si="1"/>
        <v>0.353731</v>
      </c>
      <c r="N64" s="116">
        <v>3.86551E-4</v>
      </c>
      <c r="O64" s="116">
        <v>0.353958607</v>
      </c>
      <c r="P64" s="116">
        <v>0.001327801</v>
      </c>
      <c r="Q64" s="118">
        <f t="shared" si="2"/>
        <v>0.0006434465738</v>
      </c>
      <c r="R64" s="119">
        <f t="shared" si="3"/>
        <v>0.1645839513</v>
      </c>
      <c r="T64" s="120">
        <f t="shared" si="4"/>
        <v>35.3367032</v>
      </c>
      <c r="V64" s="1">
        <f t="shared" si="6"/>
        <v>0.9993569672</v>
      </c>
      <c r="W64" s="121">
        <f t="shared" si="7"/>
        <v>1</v>
      </c>
      <c r="X64" s="121">
        <f t="shared" si="8"/>
        <v>59</v>
      </c>
      <c r="Z64" s="68">
        <f t="shared" si="9"/>
        <v>0.000353731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9.98908E-9</v>
      </c>
      <c r="L65" s="117">
        <v>1.01011318497713E-10</v>
      </c>
      <c r="M65" s="116">
        <f t="shared" si="1"/>
        <v>0.00998908</v>
      </c>
      <c r="N65" s="116">
        <v>1.1367E-5</v>
      </c>
      <c r="O65" s="116">
        <v>0.009986542</v>
      </c>
      <c r="P65" s="116">
        <v>1.139E-5</v>
      </c>
      <c r="Q65" s="118">
        <f t="shared" si="2"/>
        <v>-0.0002540774526</v>
      </c>
      <c r="R65" s="119">
        <f t="shared" si="3"/>
        <v>-0.1577216763</v>
      </c>
      <c r="T65" s="120">
        <f t="shared" si="4"/>
        <v>0.9978801834</v>
      </c>
      <c r="V65" s="1">
        <f t="shared" si="6"/>
        <v>1.000254142</v>
      </c>
      <c r="W65" s="121">
        <f t="shared" si="7"/>
        <v>1</v>
      </c>
      <c r="X65" s="121">
        <f t="shared" si="8"/>
        <v>60</v>
      </c>
      <c r="Z65" s="66">
        <f t="shared" si="9"/>
        <v>0.00000998908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1.000356E-8</v>
      </c>
      <c r="L66" s="117">
        <v>9.17863483170221E-11</v>
      </c>
      <c r="M66" s="116">
        <f t="shared" si="1"/>
        <v>0.01000356</v>
      </c>
      <c r="N66" s="116">
        <v>1.1398E-5</v>
      </c>
      <c r="O66" s="116">
        <v>0.009986512</v>
      </c>
      <c r="P66" s="116">
        <v>1.139E-5</v>
      </c>
      <c r="Q66" s="118">
        <f t="shared" si="2"/>
        <v>-0.001704193307</v>
      </c>
      <c r="R66" s="119">
        <f t="shared" si="3"/>
        <v>-1.057991545</v>
      </c>
      <c r="T66" s="120">
        <f t="shared" si="4"/>
        <v>0.9993266935</v>
      </c>
      <c r="V66" s="1">
        <f t="shared" si="6"/>
        <v>1.001707103</v>
      </c>
      <c r="W66" s="121">
        <f t="shared" si="7"/>
        <v>1</v>
      </c>
      <c r="X66" s="121">
        <f t="shared" si="8"/>
        <v>61</v>
      </c>
      <c r="Z66" s="67">
        <f t="shared" si="9"/>
        <v>0.00001000356</v>
      </c>
    </row>
    <row r="67">
      <c r="K67" s="1"/>
      <c r="L67" s="2"/>
      <c r="M67" s="1"/>
      <c r="O67" s="1"/>
      <c r="W67" s="122">
        <f>(SUM(W6:W61)-1)/55</f>
        <v>0.8363636364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51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2.15834999999999E-11</v>
      </c>
      <c r="L6" s="11">
        <v>2.03714868074835E-13</v>
      </c>
      <c r="M6" s="10">
        <f t="shared" ref="M6:M66" si="1">K6*1000000</f>
        <v>0.0000215835</v>
      </c>
      <c r="N6" s="10">
        <v>2.3E-8</v>
      </c>
      <c r="O6" s="10">
        <v>2.1437E-5</v>
      </c>
      <c r="P6" s="10">
        <v>5.2E-8</v>
      </c>
      <c r="Q6" s="12">
        <f t="shared" ref="Q6:Q66" si="2">(O6-M6)/M6</f>
        <v>-0.006787592374</v>
      </c>
      <c r="R6" s="13">
        <f t="shared" ref="R6:R66" si="3">(O6-M6)/sqrt(N6*N6+P6*P6)</f>
        <v>-2.576527442</v>
      </c>
      <c r="S6" s="8"/>
      <c r="T6" s="14">
        <f t="shared" ref="T6:T66" si="4">K6/$K$14</f>
        <v>0.005255398206</v>
      </c>
      <c r="U6" s="14">
        <f t="shared" ref="U6:U12" si="5">K6/$K$7</f>
        <v>0.08400831384</v>
      </c>
      <c r="V6" s="10">
        <f t="shared" ref="V6:V66" si="6">M6/O6</f>
        <v>1.006833979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183">
        <f t="shared" ref="Z6:Z66" si="9">M6*0.001</f>
        <v>0.0000000215835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2.56920999999999E-10</v>
      </c>
      <c r="L7" s="11">
        <v>2.59717387196393E-12</v>
      </c>
      <c r="M7" s="10">
        <f t="shared" si="1"/>
        <v>0.000256921</v>
      </c>
      <c r="N7" s="10">
        <v>2.93E-7</v>
      </c>
      <c r="O7" s="10">
        <v>2.56067E-4</v>
      </c>
      <c r="P7" s="10">
        <v>2.92E-7</v>
      </c>
      <c r="Q7" s="12">
        <f t="shared" si="2"/>
        <v>-0.003323978966</v>
      </c>
      <c r="R7" s="13">
        <f t="shared" si="3"/>
        <v>-2.064507039</v>
      </c>
      <c r="S7" s="8"/>
      <c r="T7" s="14">
        <f t="shared" si="4"/>
        <v>0.06255807272</v>
      </c>
      <c r="U7" s="14">
        <f t="shared" si="5"/>
        <v>1</v>
      </c>
      <c r="V7" s="10">
        <f t="shared" si="6"/>
        <v>1.003335065</v>
      </c>
      <c r="W7" s="8">
        <f t="shared" si="7"/>
        <v>1</v>
      </c>
      <c r="X7" s="8">
        <f t="shared" si="8"/>
        <v>2</v>
      </c>
      <c r="Y7" s="15"/>
      <c r="Z7" s="184">
        <f t="shared" si="9"/>
        <v>0.000000256921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2.93347999999999E-9</v>
      </c>
      <c r="L8" s="11">
        <v>3.05543000660341E-11</v>
      </c>
      <c r="M8" s="10">
        <f t="shared" si="1"/>
        <v>0.00293348</v>
      </c>
      <c r="N8" s="10">
        <v>3.295E-6</v>
      </c>
      <c r="O8" s="10">
        <v>0.002927103</v>
      </c>
      <c r="P8" s="10">
        <v>5.368E-6</v>
      </c>
      <c r="Q8" s="12">
        <f t="shared" si="2"/>
        <v>-0.002173868579</v>
      </c>
      <c r="R8" s="13">
        <f t="shared" si="3"/>
        <v>-1.0124461</v>
      </c>
      <c r="S8" s="8"/>
      <c r="T8" s="14">
        <f t="shared" si="4"/>
        <v>0.714277366</v>
      </c>
      <c r="U8" s="14">
        <f t="shared" si="5"/>
        <v>11.41782883</v>
      </c>
      <c r="V8" s="10">
        <f t="shared" si="6"/>
        <v>1.002178605</v>
      </c>
      <c r="W8" s="8">
        <f t="shared" si="7"/>
        <v>1</v>
      </c>
      <c r="X8" s="8">
        <f t="shared" si="8"/>
        <v>3</v>
      </c>
      <c r="Y8" s="15"/>
      <c r="Z8" s="66">
        <f t="shared" si="9"/>
        <v>0.00000293348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1.40262E-8</v>
      </c>
      <c r="L9" s="11">
        <v>1.48274792670278E-10</v>
      </c>
      <c r="M9" s="10">
        <f t="shared" si="1"/>
        <v>0.0140262</v>
      </c>
      <c r="N9" s="10">
        <v>1.5577E-5</v>
      </c>
      <c r="O9" s="10">
        <v>0.014043245</v>
      </c>
      <c r="P9" s="10">
        <v>3.7027E-5</v>
      </c>
      <c r="Q9" s="12">
        <f t="shared" si="2"/>
        <v>0.001215225792</v>
      </c>
      <c r="R9" s="13">
        <f t="shared" si="3"/>
        <v>0.4243199556</v>
      </c>
      <c r="S9" s="8"/>
      <c r="T9" s="14">
        <f t="shared" si="4"/>
        <v>3.415260098</v>
      </c>
      <c r="U9" s="14">
        <f t="shared" si="5"/>
        <v>54.59343534</v>
      </c>
      <c r="V9" s="10">
        <f t="shared" si="6"/>
        <v>0.9987862492</v>
      </c>
      <c r="W9" s="8">
        <f t="shared" si="7"/>
        <v>1</v>
      </c>
      <c r="X9" s="8">
        <f t="shared" si="8"/>
        <v>4</v>
      </c>
      <c r="Y9" s="15"/>
      <c r="Z9" s="67">
        <f t="shared" si="9"/>
        <v>0.0000140262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4.49228999999999E-8</v>
      </c>
      <c r="L10" s="11">
        <v>3.62269209011723E-10</v>
      </c>
      <c r="M10" s="10">
        <f t="shared" si="1"/>
        <v>0.0449229</v>
      </c>
      <c r="N10" s="10">
        <v>4.9563E-5</v>
      </c>
      <c r="O10" s="10">
        <v>0.044897959</v>
      </c>
      <c r="P10" s="10">
        <v>1.38259E-4</v>
      </c>
      <c r="Q10" s="12">
        <f t="shared" si="2"/>
        <v>-0.0005551956797</v>
      </c>
      <c r="R10" s="13">
        <f t="shared" si="3"/>
        <v>-0.1698119438</v>
      </c>
      <c r="S10" s="8"/>
      <c r="T10" s="14">
        <f t="shared" si="4"/>
        <v>10.93834309</v>
      </c>
      <c r="U10" s="14">
        <f t="shared" si="5"/>
        <v>174.8510242</v>
      </c>
      <c r="V10" s="10">
        <f t="shared" si="6"/>
        <v>1.000555504</v>
      </c>
      <c r="W10" s="8">
        <f t="shared" si="7"/>
        <v>1</v>
      </c>
      <c r="X10" s="8">
        <f t="shared" si="8"/>
        <v>5</v>
      </c>
      <c r="Y10" s="15"/>
      <c r="Z10" s="67">
        <f t="shared" si="9"/>
        <v>0.0000449229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1.12800999999999E-7</v>
      </c>
      <c r="L11" s="11">
        <v>1.04702512680528E-9</v>
      </c>
      <c r="M11" s="10">
        <f t="shared" si="1"/>
        <v>0.112801</v>
      </c>
      <c r="N11" s="10">
        <v>1.24104E-4</v>
      </c>
      <c r="O11" s="10">
        <v>0.112193197</v>
      </c>
      <c r="P11" s="10">
        <v>3.7281E-4</v>
      </c>
      <c r="Q11" s="12">
        <f t="shared" si="2"/>
        <v>-0.0053882767</v>
      </c>
      <c r="R11" s="13">
        <f t="shared" si="3"/>
        <v>-1.546872516</v>
      </c>
      <c r="S11" s="8"/>
      <c r="T11" s="14">
        <f t="shared" si="4"/>
        <v>27.46608164</v>
      </c>
      <c r="U11" s="14">
        <f t="shared" si="5"/>
        <v>439.0493576</v>
      </c>
      <c r="V11" s="10">
        <f t="shared" si="6"/>
        <v>1.005417468</v>
      </c>
      <c r="W11" s="8">
        <f t="shared" si="7"/>
        <v>1</v>
      </c>
      <c r="X11" s="8">
        <f t="shared" si="8"/>
        <v>6</v>
      </c>
      <c r="Y11" s="15"/>
      <c r="Z11" s="68">
        <f t="shared" si="9"/>
        <v>0.000112801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2.39914E-7</v>
      </c>
      <c r="L12" s="11">
        <v>2.29870494941052E-9</v>
      </c>
      <c r="M12" s="10">
        <f t="shared" si="1"/>
        <v>0.239914</v>
      </c>
      <c r="N12" s="10">
        <v>2.63396E-4</v>
      </c>
      <c r="O12" s="10">
        <v>0.239271194</v>
      </c>
      <c r="P12" s="10">
        <v>8.25346E-4</v>
      </c>
      <c r="Q12" s="12">
        <f t="shared" si="2"/>
        <v>-0.002679318422</v>
      </c>
      <c r="R12" s="13">
        <f t="shared" si="3"/>
        <v>-0.7419648242</v>
      </c>
      <c r="S12" s="8"/>
      <c r="T12" s="14">
        <f t="shared" si="4"/>
        <v>58.41701324</v>
      </c>
      <c r="U12" s="14">
        <f t="shared" si="5"/>
        <v>933.8045547</v>
      </c>
      <c r="V12" s="10">
        <f t="shared" si="6"/>
        <v>1.002686516</v>
      </c>
      <c r="W12" s="8">
        <f t="shared" si="7"/>
        <v>1</v>
      </c>
      <c r="X12" s="8">
        <f t="shared" si="8"/>
        <v>7</v>
      </c>
      <c r="Y12" s="15"/>
      <c r="Z12" s="68">
        <f t="shared" si="9"/>
        <v>0.000239914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3.44005E-10</v>
      </c>
      <c r="L13" s="24">
        <v>3.31236968487711E-12</v>
      </c>
      <c r="M13" s="23">
        <f t="shared" si="1"/>
        <v>0.000344005</v>
      </c>
      <c r="N13" s="23">
        <v>3.7E-7</v>
      </c>
      <c r="O13" s="23">
        <v>3.4299E-4</v>
      </c>
      <c r="P13" s="23">
        <v>8.33E-7</v>
      </c>
      <c r="Q13" s="26">
        <f t="shared" si="2"/>
        <v>-0.00295053851</v>
      </c>
      <c r="R13" s="27">
        <f t="shared" si="3"/>
        <v>-1.11357808</v>
      </c>
      <c r="S13" s="22"/>
      <c r="T13" s="28">
        <f t="shared" si="4"/>
        <v>0.08376228414</v>
      </c>
      <c r="U13" s="28">
        <f t="shared" ref="U13:U19" si="10">K13/$K$14</f>
        <v>0.08376228414</v>
      </c>
      <c r="V13" s="23">
        <f t="shared" si="6"/>
        <v>1.00295927</v>
      </c>
      <c r="W13" s="22">
        <f t="shared" si="7"/>
        <v>1</v>
      </c>
      <c r="X13" s="22">
        <f t="shared" si="8"/>
        <v>8</v>
      </c>
      <c r="Y13" s="71"/>
      <c r="Z13" s="184">
        <f t="shared" si="9"/>
        <v>0.000000344005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4.10691999999999E-9</v>
      </c>
      <c r="L14" s="31">
        <v>3.91081587499089E-11</v>
      </c>
      <c r="M14" s="30">
        <f t="shared" si="1"/>
        <v>0.00410692</v>
      </c>
      <c r="N14" s="30">
        <v>4.677E-6</v>
      </c>
      <c r="O14" s="30">
        <v>0.004097069</v>
      </c>
      <c r="P14" s="30">
        <v>4.677E-6</v>
      </c>
      <c r="Q14" s="32">
        <f t="shared" si="2"/>
        <v>-0.0023986345</v>
      </c>
      <c r="R14" s="34">
        <f t="shared" si="3"/>
        <v>-1.489354052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1.002404402</v>
      </c>
      <c r="W14" s="29">
        <f t="shared" si="7"/>
        <v>1</v>
      </c>
      <c r="X14" s="29">
        <f t="shared" si="8"/>
        <v>9</v>
      </c>
      <c r="Y14" s="72"/>
      <c r="Z14" s="66">
        <f t="shared" si="9"/>
        <v>0.00000410692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4.7095E-8</v>
      </c>
      <c r="L15" s="24">
        <v>4.37387792248573E-10</v>
      </c>
      <c r="M15" s="23">
        <f t="shared" si="1"/>
        <v>0.047095</v>
      </c>
      <c r="N15" s="23">
        <v>5.2918E-5</v>
      </c>
      <c r="O15" s="23">
        <v>0.046833649</v>
      </c>
      <c r="P15" s="23">
        <v>8.5893E-5</v>
      </c>
      <c r="Q15" s="26">
        <f t="shared" si="2"/>
        <v>-0.005549442616</v>
      </c>
      <c r="R15" s="27">
        <f t="shared" si="3"/>
        <v>-2.590565654</v>
      </c>
      <c r="S15" s="22"/>
      <c r="T15" s="28">
        <f t="shared" si="4"/>
        <v>11.46723092</v>
      </c>
      <c r="U15" s="28">
        <f t="shared" si="10"/>
        <v>11.46723092</v>
      </c>
      <c r="V15" s="23">
        <f t="shared" si="6"/>
        <v>1.005580411</v>
      </c>
      <c r="W15" s="22">
        <f t="shared" si="7"/>
        <v>1</v>
      </c>
      <c r="X15" s="22">
        <f t="shared" si="8"/>
        <v>10</v>
      </c>
      <c r="Y15" s="71"/>
      <c r="Z15" s="67">
        <f t="shared" si="9"/>
        <v>0.000047095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2.24351E-7</v>
      </c>
      <c r="L16" s="24">
        <v>2.37548485215719E-9</v>
      </c>
      <c r="M16" s="23">
        <f t="shared" si="1"/>
        <v>0.224351</v>
      </c>
      <c r="N16" s="23">
        <v>2.4922E-4</v>
      </c>
      <c r="O16" s="23">
        <v>0.224691927</v>
      </c>
      <c r="P16" s="23">
        <v>5.92437E-4</v>
      </c>
      <c r="Q16" s="26">
        <f t="shared" si="2"/>
        <v>0.001519614354</v>
      </c>
      <c r="R16" s="27">
        <f t="shared" si="3"/>
        <v>0.53044199</v>
      </c>
      <c r="S16" s="22"/>
      <c r="T16" s="28">
        <f t="shared" si="4"/>
        <v>54.62755544</v>
      </c>
      <c r="U16" s="28">
        <f t="shared" si="10"/>
        <v>54.62755544</v>
      </c>
      <c r="V16" s="23">
        <f t="shared" si="6"/>
        <v>0.9984826914</v>
      </c>
      <c r="W16" s="22">
        <f t="shared" si="7"/>
        <v>1</v>
      </c>
      <c r="X16" s="22">
        <f t="shared" si="8"/>
        <v>11</v>
      </c>
      <c r="Y16" s="71"/>
      <c r="Z16" s="68">
        <f t="shared" si="9"/>
        <v>0.000224351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7.18562E-7</v>
      </c>
      <c r="L17" s="24">
        <v>7.72354108351129E-9</v>
      </c>
      <c r="M17" s="23">
        <f t="shared" si="1"/>
        <v>0.718562</v>
      </c>
      <c r="N17" s="23">
        <v>7.93306E-4</v>
      </c>
      <c r="O17" s="23">
        <v>0.718367338</v>
      </c>
      <c r="P17" s="23">
        <v>0.002212148</v>
      </c>
      <c r="Q17" s="26">
        <f t="shared" si="2"/>
        <v>-0.0002709049463</v>
      </c>
      <c r="R17" s="27">
        <f t="shared" si="3"/>
        <v>-0.08283164503</v>
      </c>
      <c r="S17" s="22"/>
      <c r="T17" s="28">
        <f t="shared" si="4"/>
        <v>174.9637198</v>
      </c>
      <c r="U17" s="28">
        <f t="shared" si="10"/>
        <v>174.9637198</v>
      </c>
      <c r="V17" s="23">
        <f t="shared" si="6"/>
        <v>1.000270978</v>
      </c>
      <c r="W17" s="22">
        <f t="shared" si="7"/>
        <v>1</v>
      </c>
      <c r="X17" s="22">
        <f t="shared" si="8"/>
        <v>12</v>
      </c>
      <c r="Y17" s="71"/>
      <c r="Z17" s="68">
        <f t="shared" si="9"/>
        <v>0.000718562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1.79857999999999E-6</v>
      </c>
      <c r="L18" s="24">
        <v>1.55966714915767E-8</v>
      </c>
      <c r="M18" s="23">
        <f t="shared" si="1"/>
        <v>1.79858</v>
      </c>
      <c r="N18" s="23">
        <v>0.001978263</v>
      </c>
      <c r="O18" s="23">
        <v>1.795091152</v>
      </c>
      <c r="P18" s="23">
        <v>0.005964957</v>
      </c>
      <c r="Q18" s="26">
        <f t="shared" si="2"/>
        <v>-0.001939779159</v>
      </c>
      <c r="R18" s="27">
        <f t="shared" si="3"/>
        <v>-0.5551561912</v>
      </c>
      <c r="S18" s="22"/>
      <c r="T18" s="28">
        <f t="shared" si="4"/>
        <v>437.9388934</v>
      </c>
      <c r="U18" s="28">
        <f t="shared" si="10"/>
        <v>437.9388934</v>
      </c>
      <c r="V18" s="23">
        <f t="shared" si="6"/>
        <v>1.001943549</v>
      </c>
      <c r="W18" s="22">
        <f t="shared" si="7"/>
        <v>1</v>
      </c>
      <c r="X18" s="22">
        <f t="shared" si="8"/>
        <v>13</v>
      </c>
      <c r="Y18" s="71"/>
      <c r="Z18" s="69">
        <f t="shared" si="9"/>
        <v>0.00179858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3.67803999999999E-6</v>
      </c>
      <c r="L19" s="24">
        <v>3.81636349199474E-8</v>
      </c>
      <c r="M19" s="23">
        <f t="shared" si="1"/>
        <v>3.67804</v>
      </c>
      <c r="N19" s="23">
        <v>0.004037468</v>
      </c>
      <c r="O19" s="23">
        <v>3.8283391</v>
      </c>
      <c r="P19" s="23">
        <v>0.013205542</v>
      </c>
      <c r="Q19" s="26">
        <f t="shared" si="2"/>
        <v>0.04086391121</v>
      </c>
      <c r="R19" s="27">
        <f t="shared" si="3"/>
        <v>10.88416914</v>
      </c>
      <c r="S19" s="22"/>
      <c r="T19" s="28">
        <f t="shared" si="4"/>
        <v>895.5713771</v>
      </c>
      <c r="U19" s="28">
        <f t="shared" si="10"/>
        <v>895.5713771</v>
      </c>
      <c r="V19" s="23">
        <f t="shared" si="6"/>
        <v>0.96074039</v>
      </c>
      <c r="W19" s="22">
        <f t="shared" si="7"/>
        <v>1</v>
      </c>
      <c r="X19" s="22">
        <f t="shared" si="8"/>
        <v>14</v>
      </c>
      <c r="Y19" s="71"/>
      <c r="Z19" s="69">
        <f t="shared" si="9"/>
        <v>0.00367804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1.74332E-9</v>
      </c>
      <c r="L20" s="39">
        <v>1.93024204270716E-11</v>
      </c>
      <c r="M20" s="38">
        <f t="shared" si="1"/>
        <v>0.00174332</v>
      </c>
      <c r="N20" s="38">
        <v>1.88E-6</v>
      </c>
      <c r="O20" s="38">
        <v>0.001737605</v>
      </c>
      <c r="P20" s="38">
        <v>4.217E-6</v>
      </c>
      <c r="Q20" s="40">
        <f t="shared" si="2"/>
        <v>-0.003278227749</v>
      </c>
      <c r="R20" s="41">
        <f t="shared" si="3"/>
        <v>-1.237793538</v>
      </c>
      <c r="S20" s="37"/>
      <c r="T20" s="42">
        <f t="shared" si="4"/>
        <v>0.4244835546</v>
      </c>
      <c r="U20" s="42">
        <f t="shared" ref="U20:U26" si="11">K20/$K$21</f>
        <v>0.08371244316</v>
      </c>
      <c r="V20" s="38">
        <f t="shared" si="6"/>
        <v>1.00328901</v>
      </c>
      <c r="W20" s="37">
        <f t="shared" si="7"/>
        <v>1</v>
      </c>
      <c r="X20" s="37">
        <f t="shared" si="8"/>
        <v>15</v>
      </c>
      <c r="Y20" s="81"/>
      <c r="Z20" s="66">
        <f t="shared" si="9"/>
        <v>0.00000174332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2.08251E-8</v>
      </c>
      <c r="L21" s="39">
        <v>2.09903753798224E-10</v>
      </c>
      <c r="M21" s="38">
        <f t="shared" si="1"/>
        <v>0.0208251</v>
      </c>
      <c r="N21" s="38">
        <v>2.3714E-5</v>
      </c>
      <c r="O21" s="38">
        <v>0.020819018</v>
      </c>
      <c r="P21" s="38">
        <v>2.3679E-5</v>
      </c>
      <c r="Q21" s="40">
        <f t="shared" si="2"/>
        <v>-0.0002920514187</v>
      </c>
      <c r="R21" s="41">
        <f t="shared" si="3"/>
        <v>-0.1814876573</v>
      </c>
      <c r="S21" s="37"/>
      <c r="T21" s="42">
        <f t="shared" si="4"/>
        <v>5.070734273</v>
      </c>
      <c r="U21" s="42">
        <f t="shared" si="11"/>
        <v>1</v>
      </c>
      <c r="V21" s="38">
        <f t="shared" si="6"/>
        <v>1.000292137</v>
      </c>
      <c r="W21" s="37">
        <f t="shared" si="7"/>
        <v>1</v>
      </c>
      <c r="X21" s="37">
        <f t="shared" si="8"/>
        <v>16</v>
      </c>
      <c r="Y21" s="81"/>
      <c r="Z21" s="67">
        <f t="shared" si="9"/>
        <v>0.0000208251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2.38734999999999E-7</v>
      </c>
      <c r="L22" s="39">
        <v>2.24950611863532E-9</v>
      </c>
      <c r="M22" s="38">
        <f t="shared" si="1"/>
        <v>0.238735</v>
      </c>
      <c r="N22" s="38">
        <v>2.68175E-4</v>
      </c>
      <c r="O22" s="38">
        <v>0.238357291</v>
      </c>
      <c r="P22" s="38">
        <v>4.34832E-4</v>
      </c>
      <c r="Q22" s="40">
        <f t="shared" si="2"/>
        <v>-0.001582126626</v>
      </c>
      <c r="R22" s="41">
        <f t="shared" si="3"/>
        <v>-0.7393325486</v>
      </c>
      <c r="S22" s="37"/>
      <c r="T22" s="42">
        <f t="shared" si="4"/>
        <v>58.12993679</v>
      </c>
      <c r="U22" s="42">
        <f t="shared" si="11"/>
        <v>11.4638105</v>
      </c>
      <c r="V22" s="38">
        <f t="shared" si="6"/>
        <v>1.001584634</v>
      </c>
      <c r="W22" s="37">
        <f t="shared" si="7"/>
        <v>1</v>
      </c>
      <c r="X22" s="37">
        <f t="shared" si="8"/>
        <v>17</v>
      </c>
      <c r="Y22" s="81"/>
      <c r="Z22" s="68">
        <f t="shared" si="9"/>
        <v>0.000238735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1.13035E-6</v>
      </c>
      <c r="L23" s="39">
        <v>9.66862571580487E-9</v>
      </c>
      <c r="M23" s="38">
        <f t="shared" si="1"/>
        <v>1.13035</v>
      </c>
      <c r="N23" s="38">
        <v>0.001255062</v>
      </c>
      <c r="O23" s="38">
        <v>1.128193974</v>
      </c>
      <c r="P23" s="38">
        <v>0.002999214</v>
      </c>
      <c r="Q23" s="40">
        <f t="shared" si="2"/>
        <v>-0.001907396824</v>
      </c>
      <c r="R23" s="41">
        <f t="shared" si="3"/>
        <v>-0.6631426227</v>
      </c>
      <c r="S23" s="37"/>
      <c r="T23" s="42">
        <f t="shared" si="4"/>
        <v>275.2305864</v>
      </c>
      <c r="U23" s="42">
        <f t="shared" si="11"/>
        <v>54.27825076</v>
      </c>
      <c r="V23" s="38">
        <f t="shared" si="6"/>
        <v>1.001911042</v>
      </c>
      <c r="W23" s="37">
        <f t="shared" si="7"/>
        <v>1</v>
      </c>
      <c r="X23" s="37">
        <f t="shared" si="8"/>
        <v>18</v>
      </c>
      <c r="Y23" s="81"/>
      <c r="Z23" s="69">
        <f t="shared" si="9"/>
        <v>0.00113035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3.48312E-6</v>
      </c>
      <c r="L24" s="39">
        <v>3.5790998247542E-8</v>
      </c>
      <c r="M24" s="38">
        <f t="shared" si="1"/>
        <v>3.48312</v>
      </c>
      <c r="N24" s="38">
        <v>0.003842964</v>
      </c>
      <c r="O24" s="38">
        <v>3.626536131</v>
      </c>
      <c r="P24" s="38">
        <v>0.011199001</v>
      </c>
      <c r="Q24" s="40">
        <f t="shared" si="2"/>
        <v>0.04117461672</v>
      </c>
      <c r="R24" s="41">
        <f t="shared" si="3"/>
        <v>12.11283181</v>
      </c>
      <c r="S24" s="37"/>
      <c r="T24" s="42">
        <f t="shared" si="4"/>
        <v>848.1100192</v>
      </c>
      <c r="U24" s="42">
        <f t="shared" si="11"/>
        <v>167.2558595</v>
      </c>
      <c r="V24" s="38">
        <f t="shared" si="6"/>
        <v>0.9604536875</v>
      </c>
      <c r="W24" s="37">
        <f t="shared" si="7"/>
        <v>1</v>
      </c>
      <c r="X24" s="37">
        <f t="shared" si="8"/>
        <v>19</v>
      </c>
      <c r="Y24" s="81"/>
      <c r="Z24" s="69">
        <f t="shared" si="9"/>
        <v>0.00348312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9.21192999999999E-6</v>
      </c>
      <c r="L25" s="39">
        <v>9.28701988712408E-8</v>
      </c>
      <c r="M25" s="38">
        <f t="shared" si="1"/>
        <v>9.21193</v>
      </c>
      <c r="N25" s="38">
        <v>0.01013558</v>
      </c>
      <c r="O25" s="38">
        <v>9.12953186</v>
      </c>
      <c r="P25" s="38">
        <v>0.030197594</v>
      </c>
      <c r="Q25" s="40">
        <f t="shared" si="2"/>
        <v>-0.008944720596</v>
      </c>
      <c r="R25" s="41">
        <f t="shared" si="3"/>
        <v>-2.586811009</v>
      </c>
      <c r="S25" s="37"/>
      <c r="T25" s="42">
        <f t="shared" si="4"/>
        <v>2243.026404</v>
      </c>
      <c r="U25" s="42">
        <f t="shared" si="11"/>
        <v>442.3474557</v>
      </c>
      <c r="V25" s="38">
        <f t="shared" si="6"/>
        <v>1.009025451</v>
      </c>
      <c r="W25" s="37">
        <f t="shared" si="7"/>
        <v>1</v>
      </c>
      <c r="X25" s="37">
        <f t="shared" si="8"/>
        <v>20</v>
      </c>
      <c r="Y25" s="81"/>
      <c r="Z25" s="69">
        <f t="shared" si="9"/>
        <v>0.00921193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1.97833999999999E-5</v>
      </c>
      <c r="L26" s="39">
        <v>2.00001111108024E-7</v>
      </c>
      <c r="M26" s="38">
        <f t="shared" si="1"/>
        <v>19.7834</v>
      </c>
      <c r="N26" s="38">
        <v>0.021729166</v>
      </c>
      <c r="O26" s="38">
        <v>19.41371727</v>
      </c>
      <c r="P26" s="38">
        <v>0.066853056</v>
      </c>
      <c r="Q26" s="40">
        <f t="shared" si="2"/>
        <v>-0.01868651142</v>
      </c>
      <c r="R26" s="41">
        <f t="shared" si="3"/>
        <v>-5.258965249</v>
      </c>
      <c r="S26" s="37"/>
      <c r="T26" s="42">
        <f t="shared" si="4"/>
        <v>4817.089206</v>
      </c>
      <c r="U26" s="42">
        <f t="shared" si="11"/>
        <v>949.9786316</v>
      </c>
      <c r="V26" s="38">
        <f t="shared" si="6"/>
        <v>1.019042346</v>
      </c>
      <c r="W26" s="37">
        <f t="shared" si="7"/>
        <v>1</v>
      </c>
      <c r="X26" s="37">
        <f t="shared" si="8"/>
        <v>21</v>
      </c>
      <c r="Y26" s="81"/>
      <c r="Z26" s="70">
        <f t="shared" si="9"/>
        <v>0.0197834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5.50278999999999E-9</v>
      </c>
      <c r="L27" s="46">
        <v>5.64094509955216E-11</v>
      </c>
      <c r="M27" s="45">
        <f t="shared" si="1"/>
        <v>0.00550279</v>
      </c>
      <c r="N27" s="45">
        <v>5.936E-6</v>
      </c>
      <c r="O27" s="45">
        <v>0.00548784</v>
      </c>
      <c r="P27" s="45">
        <v>1.3328E-5</v>
      </c>
      <c r="Q27" s="47">
        <f t="shared" si="2"/>
        <v>-0.002716803658</v>
      </c>
      <c r="R27" s="48">
        <f t="shared" si="3"/>
        <v>-1.024665818</v>
      </c>
      <c r="S27" s="44"/>
      <c r="T27" s="49">
        <f t="shared" si="4"/>
        <v>1.339882442</v>
      </c>
      <c r="U27" s="49">
        <f t="shared" ref="U27:U33" si="12">K27/$K$28</f>
        <v>0.08373656139</v>
      </c>
      <c r="V27" s="45">
        <f t="shared" si="6"/>
        <v>1.002724205</v>
      </c>
      <c r="W27" s="44">
        <f t="shared" si="7"/>
        <v>1</v>
      </c>
      <c r="X27" s="44">
        <f t="shared" si="8"/>
        <v>22</v>
      </c>
      <c r="Y27" s="85"/>
      <c r="Z27" s="66">
        <f t="shared" si="9"/>
        <v>0.00000550279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6.57154999999999E-8</v>
      </c>
      <c r="L28" s="46">
        <v>6.18166685049469E-10</v>
      </c>
      <c r="M28" s="45">
        <f t="shared" si="1"/>
        <v>0.0657155</v>
      </c>
      <c r="N28" s="45">
        <v>7.4829E-5</v>
      </c>
      <c r="O28" s="45">
        <v>0.065553091</v>
      </c>
      <c r="P28" s="45">
        <v>7.4838E-5</v>
      </c>
      <c r="Q28" s="47">
        <f t="shared" si="2"/>
        <v>-0.002471395637</v>
      </c>
      <c r="R28" s="48">
        <f t="shared" si="3"/>
        <v>-1.534613576</v>
      </c>
      <c r="S28" s="44"/>
      <c r="T28" s="49">
        <f t="shared" si="4"/>
        <v>16.00116389</v>
      </c>
      <c r="U28" s="49">
        <f t="shared" si="12"/>
        <v>1</v>
      </c>
      <c r="V28" s="45">
        <f t="shared" si="6"/>
        <v>1.002477519</v>
      </c>
      <c r="W28" s="44">
        <f t="shared" si="7"/>
        <v>1</v>
      </c>
      <c r="X28" s="44">
        <f t="shared" si="8"/>
        <v>23</v>
      </c>
      <c r="Y28" s="85"/>
      <c r="Z28" s="67">
        <f t="shared" si="9"/>
        <v>0.0000657155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7.1498E-7</v>
      </c>
      <c r="L29" s="46">
        <v>7.2914229396496E-9</v>
      </c>
      <c r="M29" s="45">
        <f t="shared" si="1"/>
        <v>0.71498</v>
      </c>
      <c r="N29" s="45">
        <v>8.02939E-4</v>
      </c>
      <c r="O29" s="45">
        <v>0.749338388</v>
      </c>
      <c r="P29" s="45">
        <v>0.001374283</v>
      </c>
      <c r="Q29" s="47">
        <f t="shared" si="2"/>
        <v>0.04805503371</v>
      </c>
      <c r="R29" s="48">
        <f t="shared" si="3"/>
        <v>21.58658357</v>
      </c>
      <c r="S29" s="44"/>
      <c r="T29" s="49">
        <f t="shared" si="4"/>
        <v>174.0915333</v>
      </c>
      <c r="U29" s="49">
        <f t="shared" si="12"/>
        <v>10.87992939</v>
      </c>
      <c r="V29" s="45">
        <f t="shared" si="6"/>
        <v>0.954148368</v>
      </c>
      <c r="W29" s="44">
        <f t="shared" si="7"/>
        <v>1</v>
      </c>
      <c r="X29" s="44">
        <f t="shared" si="8"/>
        <v>24</v>
      </c>
      <c r="Y29" s="85"/>
      <c r="Z29" s="68">
        <f t="shared" si="9"/>
        <v>0.00071498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3.60829E-6</v>
      </c>
      <c r="L30" s="46">
        <v>3.23551301101455E-8</v>
      </c>
      <c r="M30" s="45">
        <f t="shared" si="1"/>
        <v>3.60829</v>
      </c>
      <c r="N30" s="45">
        <v>0.004003135</v>
      </c>
      <c r="O30" s="45">
        <v>3.595070839</v>
      </c>
      <c r="P30" s="45">
        <v>0.009478998</v>
      </c>
      <c r="Q30" s="47">
        <f t="shared" si="2"/>
        <v>-0.003663552819</v>
      </c>
      <c r="R30" s="48">
        <f t="shared" si="3"/>
        <v>-1.284707083</v>
      </c>
      <c r="S30" s="44"/>
      <c r="T30" s="49">
        <f t="shared" si="4"/>
        <v>878.5878469</v>
      </c>
      <c r="U30" s="49">
        <f t="shared" si="12"/>
        <v>54.90774627</v>
      </c>
      <c r="V30" s="45">
        <f t="shared" si="6"/>
        <v>1.003677024</v>
      </c>
      <c r="W30" s="44">
        <f t="shared" si="7"/>
        <v>1</v>
      </c>
      <c r="X30" s="44">
        <f t="shared" si="8"/>
        <v>25</v>
      </c>
      <c r="Y30" s="85"/>
      <c r="Z30" s="69">
        <f t="shared" si="9"/>
        <v>0.00360829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1.16738E-5</v>
      </c>
      <c r="L31" s="46">
        <v>1.04724554538237E-7</v>
      </c>
      <c r="M31" s="45">
        <f t="shared" si="1"/>
        <v>11.6738</v>
      </c>
      <c r="N31" s="45">
        <v>0.012884079</v>
      </c>
      <c r="O31" s="45">
        <v>11.493877411</v>
      </c>
      <c r="P31" s="45">
        <v>0.035394373</v>
      </c>
      <c r="Q31" s="47">
        <f t="shared" si="2"/>
        <v>-0.01541251255</v>
      </c>
      <c r="R31" s="48">
        <f t="shared" si="3"/>
        <v>-4.776733925</v>
      </c>
      <c r="S31" s="44"/>
      <c r="T31" s="49">
        <f t="shared" si="4"/>
        <v>2842.470757</v>
      </c>
      <c r="U31" s="49">
        <f t="shared" si="12"/>
        <v>177.6415001</v>
      </c>
      <c r="V31" s="45">
        <f t="shared" si="6"/>
        <v>1.015653777</v>
      </c>
      <c r="W31" s="44">
        <f t="shared" si="7"/>
        <v>1</v>
      </c>
      <c r="X31" s="44">
        <f t="shared" si="8"/>
        <v>26</v>
      </c>
      <c r="Y31" s="85"/>
      <c r="Z31" s="70">
        <f t="shared" si="9"/>
        <v>0.0116738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2.96631999999999E-5</v>
      </c>
      <c r="L32" s="46">
        <v>2.97174845653007E-7</v>
      </c>
      <c r="M32" s="45">
        <f t="shared" si="1"/>
        <v>29.6632</v>
      </c>
      <c r="N32" s="45">
        <v>0.032626262</v>
      </c>
      <c r="O32" s="45">
        <v>28.721458435</v>
      </c>
      <c r="P32" s="45">
        <v>0.09543931</v>
      </c>
      <c r="Q32" s="47">
        <f t="shared" si="2"/>
        <v>-0.03174780755</v>
      </c>
      <c r="R32" s="48">
        <f t="shared" si="3"/>
        <v>-9.336935055</v>
      </c>
      <c r="S32" s="44"/>
      <c r="T32" s="49">
        <f t="shared" si="4"/>
        <v>7222.73626</v>
      </c>
      <c r="U32" s="49">
        <f t="shared" si="12"/>
        <v>451.3881809</v>
      </c>
      <c r="V32" s="45">
        <f t="shared" si="6"/>
        <v>1.032788779</v>
      </c>
      <c r="W32" s="44">
        <f t="shared" si="7"/>
        <v>1</v>
      </c>
      <c r="X32" s="44">
        <f t="shared" si="8"/>
        <v>27</v>
      </c>
      <c r="Y32" s="85"/>
      <c r="Z32" s="70">
        <f t="shared" si="9"/>
        <v>0.0296632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6.45254999999999E-5</v>
      </c>
      <c r="L33" s="46">
        <v>6.00025883280096E-7</v>
      </c>
      <c r="M33" s="45">
        <f t="shared" si="1"/>
        <v>64.5255</v>
      </c>
      <c r="N33" s="45">
        <v>0.070869204</v>
      </c>
      <c r="O33" s="45">
        <v>61.253425598</v>
      </c>
      <c r="P33" s="45">
        <v>0.21128867</v>
      </c>
      <c r="Q33" s="47">
        <f t="shared" si="2"/>
        <v>-0.05070978763</v>
      </c>
      <c r="R33" s="48">
        <f t="shared" si="3"/>
        <v>-14.68237922</v>
      </c>
      <c r="S33" s="44"/>
      <c r="T33" s="49">
        <f t="shared" si="4"/>
        <v>15711.40904</v>
      </c>
      <c r="U33" s="49">
        <f t="shared" si="12"/>
        <v>981.891639</v>
      </c>
      <c r="V33" s="45">
        <f t="shared" si="6"/>
        <v>1.053418635</v>
      </c>
      <c r="W33" s="44">
        <f t="shared" si="7"/>
        <v>1</v>
      </c>
      <c r="X33" s="44">
        <f t="shared" si="8"/>
        <v>28</v>
      </c>
      <c r="Y33" s="85"/>
      <c r="Z33" s="70">
        <f t="shared" si="9"/>
        <v>0.0645255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1.30881E-8</v>
      </c>
      <c r="L34" s="53">
        <v>1.41376315648211E-10</v>
      </c>
      <c r="M34" s="52">
        <f t="shared" si="1"/>
        <v>0.0130881</v>
      </c>
      <c r="N34" s="52">
        <v>1.4069E-5</v>
      </c>
      <c r="O34" s="52">
        <v>0.013308208</v>
      </c>
      <c r="P34" s="52">
        <v>3.2539E-5</v>
      </c>
      <c r="Q34" s="54">
        <f t="shared" si="2"/>
        <v>0.01681741429</v>
      </c>
      <c r="R34" s="55">
        <f t="shared" si="3"/>
        <v>6.208919043</v>
      </c>
      <c r="S34" s="51"/>
      <c r="T34" s="56">
        <f t="shared" si="4"/>
        <v>3.186840747</v>
      </c>
      <c r="U34" s="56">
        <f t="shared" ref="U34:U40" si="13">K34/$K$35</f>
        <v>0.08618132972</v>
      </c>
      <c r="V34" s="52">
        <f t="shared" si="6"/>
        <v>0.9834607334</v>
      </c>
      <c r="W34" s="51">
        <f t="shared" si="7"/>
        <v>1</v>
      </c>
      <c r="X34" s="51">
        <f t="shared" si="8"/>
        <v>29</v>
      </c>
      <c r="Y34" s="87"/>
      <c r="Z34" s="67">
        <f t="shared" si="9"/>
        <v>0.0000130881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1.51867E-7</v>
      </c>
      <c r="L35" s="53">
        <v>1.70003297650725E-9</v>
      </c>
      <c r="M35" s="52">
        <f t="shared" si="1"/>
        <v>0.151867</v>
      </c>
      <c r="N35" s="52">
        <v>1.73194E-4</v>
      </c>
      <c r="O35" s="52">
        <v>0.160136029</v>
      </c>
      <c r="P35" s="52">
        <v>1.82711E-4</v>
      </c>
      <c r="Q35" s="54">
        <f t="shared" si="2"/>
        <v>0.05444914958</v>
      </c>
      <c r="R35" s="55">
        <f t="shared" si="3"/>
        <v>32.84582763</v>
      </c>
      <c r="S35" s="51"/>
      <c r="T35" s="56">
        <f t="shared" si="4"/>
        <v>36.97831952</v>
      </c>
      <c r="U35" s="56">
        <f t="shared" si="13"/>
        <v>1</v>
      </c>
      <c r="V35" s="52">
        <f t="shared" si="6"/>
        <v>0.94836247</v>
      </c>
      <c r="W35" s="51">
        <f t="shared" si="7"/>
        <v>1</v>
      </c>
      <c r="X35" s="51">
        <f t="shared" si="8"/>
        <v>30</v>
      </c>
      <c r="Y35" s="87"/>
      <c r="Z35" s="68">
        <f t="shared" si="9"/>
        <v>0.000151867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1.85042999999999E-6</v>
      </c>
      <c r="L36" s="53">
        <v>1.72071485027577E-8</v>
      </c>
      <c r="M36" s="52">
        <f t="shared" si="1"/>
        <v>1.85043</v>
      </c>
      <c r="N36" s="52">
        <v>0.00207679</v>
      </c>
      <c r="O36" s="52">
        <v>1.839799762</v>
      </c>
      <c r="P36" s="52">
        <v>0.003355182</v>
      </c>
      <c r="Q36" s="54">
        <f t="shared" si="2"/>
        <v>-0.005744739331</v>
      </c>
      <c r="R36" s="55">
        <f t="shared" si="3"/>
        <v>-2.693980554</v>
      </c>
      <c r="S36" s="51"/>
      <c r="T36" s="56">
        <f t="shared" si="4"/>
        <v>450.5639263</v>
      </c>
      <c r="U36" s="56">
        <f t="shared" si="13"/>
        <v>12.18454305</v>
      </c>
      <c r="V36" s="52">
        <f t="shared" si="6"/>
        <v>1.005777932</v>
      </c>
      <c r="W36" s="51">
        <f t="shared" si="7"/>
        <v>1</v>
      </c>
      <c r="X36" s="51">
        <f t="shared" si="8"/>
        <v>31</v>
      </c>
      <c r="Y36" s="87"/>
      <c r="Z36" s="69">
        <f t="shared" si="9"/>
        <v>0.00185043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8.91008E-6</v>
      </c>
      <c r="L37" s="53">
        <v>9.16291030472989E-8</v>
      </c>
      <c r="M37" s="52">
        <f t="shared" si="1"/>
        <v>8.91008</v>
      </c>
      <c r="N37" s="52">
        <v>0.009894825</v>
      </c>
      <c r="O37" s="52">
        <v>8.723316193</v>
      </c>
      <c r="P37" s="52">
        <v>0.023142084</v>
      </c>
      <c r="Q37" s="54">
        <f t="shared" si="2"/>
        <v>-0.02096095737</v>
      </c>
      <c r="R37" s="55">
        <f t="shared" si="3"/>
        <v>-7.420477987</v>
      </c>
      <c r="S37" s="51"/>
      <c r="T37" s="56">
        <f t="shared" si="4"/>
        <v>2169.528503</v>
      </c>
      <c r="U37" s="56">
        <f t="shared" si="13"/>
        <v>58.67028387</v>
      </c>
      <c r="V37" s="52">
        <f t="shared" si="6"/>
        <v>1.021409726</v>
      </c>
      <c r="W37" s="51">
        <f t="shared" si="7"/>
        <v>1</v>
      </c>
      <c r="X37" s="51">
        <f t="shared" si="8"/>
        <v>32</v>
      </c>
      <c r="Y37" s="87"/>
      <c r="Z37" s="69">
        <f t="shared" si="9"/>
        <v>0.00891008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2.89900999999999E-5</v>
      </c>
      <c r="L38" s="53">
        <v>2.5465165353177E-7</v>
      </c>
      <c r="M38" s="52">
        <f t="shared" si="1"/>
        <v>28.9901</v>
      </c>
      <c r="N38" s="52">
        <v>0.031961807</v>
      </c>
      <c r="O38" s="52">
        <v>27.990581512</v>
      </c>
      <c r="P38" s="52">
        <v>0.086412044</v>
      </c>
      <c r="Q38" s="54">
        <f t="shared" si="2"/>
        <v>-0.03447792481</v>
      </c>
      <c r="R38" s="55">
        <f t="shared" si="3"/>
        <v>-10.84857852</v>
      </c>
      <c r="S38" s="51"/>
      <c r="T38" s="56">
        <f t="shared" si="4"/>
        <v>7058.842149</v>
      </c>
      <c r="U38" s="56">
        <f t="shared" si="13"/>
        <v>190.8913721</v>
      </c>
      <c r="V38" s="52">
        <f t="shared" si="6"/>
        <v>1.0357091</v>
      </c>
      <c r="W38" s="51">
        <f t="shared" si="7"/>
        <v>1</v>
      </c>
      <c r="X38" s="51">
        <f t="shared" si="8"/>
        <v>33</v>
      </c>
      <c r="Y38" s="87"/>
      <c r="Z38" s="70">
        <f t="shared" si="9"/>
        <v>0.0289901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7.47780999999999E-5</v>
      </c>
      <c r="L39" s="53">
        <v>7.62254358512109E-7</v>
      </c>
      <c r="M39" s="52">
        <f t="shared" si="1"/>
        <v>74.7781</v>
      </c>
      <c r="N39" s="52">
        <v>0.082148668</v>
      </c>
      <c r="O39" s="52">
        <v>70.46055603</v>
      </c>
      <c r="P39" s="52">
        <v>0.233006127</v>
      </c>
      <c r="Q39" s="54">
        <f t="shared" si="2"/>
        <v>-0.05773808067</v>
      </c>
      <c r="R39" s="55">
        <f t="shared" si="3"/>
        <v>-17.47545877</v>
      </c>
      <c r="S39" s="51"/>
      <c r="T39" s="56">
        <f t="shared" si="4"/>
        <v>18207.82971</v>
      </c>
      <c r="U39" s="56">
        <f t="shared" si="13"/>
        <v>492.3920272</v>
      </c>
      <c r="V39" s="52">
        <f t="shared" si="6"/>
        <v>1.061276042</v>
      </c>
      <c r="W39" s="51">
        <f t="shared" si="7"/>
        <v>1</v>
      </c>
      <c r="X39" s="51">
        <f t="shared" si="8"/>
        <v>34</v>
      </c>
      <c r="Y39" s="87"/>
      <c r="Z39" s="70">
        <f t="shared" si="9"/>
        <v>0.0747781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1.65709999999999E-4</v>
      </c>
      <c r="L40" s="53">
        <v>1.51986841535706E-6</v>
      </c>
      <c r="M40" s="52">
        <f t="shared" si="1"/>
        <v>165.71</v>
      </c>
      <c r="N40" s="52">
        <v>0.181742754</v>
      </c>
      <c r="O40" s="52">
        <v>149.684646606</v>
      </c>
      <c r="P40" s="52">
        <v>0.515841478</v>
      </c>
      <c r="Q40" s="54">
        <f t="shared" si="2"/>
        <v>-0.09670721981</v>
      </c>
      <c r="R40" s="55">
        <f t="shared" si="3"/>
        <v>-29.30102506</v>
      </c>
      <c r="S40" s="51"/>
      <c r="T40" s="56">
        <f t="shared" si="4"/>
        <v>40348.97198</v>
      </c>
      <c r="U40" s="56">
        <f t="shared" si="13"/>
        <v>1091.152127</v>
      </c>
      <c r="V40" s="52">
        <f t="shared" si="6"/>
        <v>1.107060769</v>
      </c>
      <c r="W40" s="51">
        <f t="shared" si="7"/>
        <v>1</v>
      </c>
      <c r="X40" s="51">
        <f t="shared" si="8"/>
        <v>35</v>
      </c>
      <c r="Y40" s="87"/>
      <c r="Z40" s="79">
        <f t="shared" si="9"/>
        <v>0.16571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2.77953E-8</v>
      </c>
      <c r="L41" s="60">
        <v>2.66679753466758E-10</v>
      </c>
      <c r="M41" s="59">
        <f t="shared" si="1"/>
        <v>0.0277953</v>
      </c>
      <c r="N41" s="59">
        <v>3.0004E-5</v>
      </c>
      <c r="O41" s="59">
        <v>0.027801674</v>
      </c>
      <c r="P41" s="59">
        <v>6.7473E-5</v>
      </c>
      <c r="Q41" s="61">
        <f t="shared" si="2"/>
        <v>0.0002293193454</v>
      </c>
      <c r="R41" s="62">
        <f t="shared" si="3"/>
        <v>0.08631781793</v>
      </c>
      <c r="S41" s="58"/>
      <c r="T41" s="63">
        <f t="shared" si="4"/>
        <v>6.767918537</v>
      </c>
      <c r="U41" s="63">
        <f t="shared" ref="U41:U47" si="14">K41/$K$42</f>
        <v>0.0829324255</v>
      </c>
      <c r="V41" s="59">
        <f t="shared" si="6"/>
        <v>0.9997707332</v>
      </c>
      <c r="W41" s="58">
        <f t="shared" si="7"/>
        <v>1</v>
      </c>
      <c r="X41" s="58">
        <f t="shared" si="8"/>
        <v>36</v>
      </c>
      <c r="Y41" s="89"/>
      <c r="Z41" s="67">
        <f t="shared" si="9"/>
        <v>0.0000277953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3.35155999999999E-7</v>
      </c>
      <c r="L42" s="60">
        <v>3.30290108170916E-9</v>
      </c>
      <c r="M42" s="59">
        <f t="shared" si="1"/>
        <v>0.335156</v>
      </c>
      <c r="N42" s="59">
        <v>3.81329E-4</v>
      </c>
      <c r="O42" s="59">
        <v>0.333104283</v>
      </c>
      <c r="P42" s="59">
        <v>3.7887E-4</v>
      </c>
      <c r="Q42" s="61">
        <f t="shared" si="2"/>
        <v>-0.006121677667</v>
      </c>
      <c r="R42" s="62">
        <f t="shared" si="3"/>
        <v>-3.81683063</v>
      </c>
      <c r="S42" s="58"/>
      <c r="T42" s="63">
        <f t="shared" si="4"/>
        <v>81.6076281</v>
      </c>
      <c r="U42" s="63">
        <f t="shared" si="14"/>
        <v>1</v>
      </c>
      <c r="V42" s="59">
        <f t="shared" si="6"/>
        <v>1.006159383</v>
      </c>
      <c r="W42" s="58">
        <f t="shared" si="7"/>
        <v>1</v>
      </c>
      <c r="X42" s="58">
        <f t="shared" si="8"/>
        <v>37</v>
      </c>
      <c r="Y42" s="89"/>
      <c r="Z42" s="68">
        <f t="shared" si="9"/>
        <v>0.000335156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3.86350999999999E-6</v>
      </c>
      <c r="L43" s="60">
        <v>3.89637217955576E-8</v>
      </c>
      <c r="M43" s="59">
        <f t="shared" si="1"/>
        <v>3.86351</v>
      </c>
      <c r="N43" s="59">
        <v>0.004333034</v>
      </c>
      <c r="O43" s="59">
        <v>3.81371665</v>
      </c>
      <c r="P43" s="59">
        <v>0.006957305</v>
      </c>
      <c r="Q43" s="61">
        <f t="shared" si="2"/>
        <v>-0.01288811211</v>
      </c>
      <c r="R43" s="62">
        <f t="shared" si="3"/>
        <v>-6.075103546</v>
      </c>
      <c r="S43" s="58"/>
      <c r="T43" s="63">
        <f t="shared" si="4"/>
        <v>940.7317406</v>
      </c>
      <c r="U43" s="63">
        <f t="shared" si="14"/>
        <v>11.52749764</v>
      </c>
      <c r="V43" s="59">
        <f t="shared" si="6"/>
        <v>1.013056384</v>
      </c>
      <c r="W43" s="58">
        <f t="shared" si="7"/>
        <v>1</v>
      </c>
      <c r="X43" s="58">
        <f t="shared" si="8"/>
        <v>38</v>
      </c>
      <c r="Y43" s="89"/>
      <c r="Z43" s="69">
        <f t="shared" si="9"/>
        <v>0.00386351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1.87257E-5</v>
      </c>
      <c r="L44" s="60">
        <v>1.90253711520891E-7</v>
      </c>
      <c r="M44" s="59">
        <f t="shared" si="1"/>
        <v>18.7257</v>
      </c>
      <c r="N44" s="59">
        <v>0.020784055</v>
      </c>
      <c r="O44" s="59">
        <v>18.051101685</v>
      </c>
      <c r="P44" s="59">
        <v>0.047987426</v>
      </c>
      <c r="Q44" s="61">
        <f t="shared" si="2"/>
        <v>-0.03602526554</v>
      </c>
      <c r="R44" s="62">
        <f t="shared" si="3"/>
        <v>-12.8998556</v>
      </c>
      <c r="S44" s="58"/>
      <c r="T44" s="63">
        <f t="shared" si="4"/>
        <v>4559.548275</v>
      </c>
      <c r="U44" s="63">
        <f t="shared" si="14"/>
        <v>55.87159412</v>
      </c>
      <c r="V44" s="59">
        <f t="shared" si="6"/>
        <v>1.037371587</v>
      </c>
      <c r="W44" s="58">
        <f t="shared" si="7"/>
        <v>1</v>
      </c>
      <c r="X44" s="58">
        <f t="shared" si="8"/>
        <v>39</v>
      </c>
      <c r="Y44" s="89"/>
      <c r="Z44" s="70">
        <f t="shared" si="9"/>
        <v>0.0187257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6.18888E-5</v>
      </c>
      <c r="L45" s="60">
        <v>6.38597389802547E-7</v>
      </c>
      <c r="M45" s="59">
        <f t="shared" si="1"/>
        <v>61.8888</v>
      </c>
      <c r="N45" s="59">
        <v>0.068234856</v>
      </c>
      <c r="O45" s="59">
        <v>58.024578094</v>
      </c>
      <c r="P45" s="59">
        <v>0.179184015</v>
      </c>
      <c r="Q45" s="61">
        <f t="shared" si="2"/>
        <v>-0.06243814561</v>
      </c>
      <c r="R45" s="62">
        <f t="shared" si="3"/>
        <v>-20.15380891</v>
      </c>
      <c r="S45" s="58"/>
      <c r="T45" s="63">
        <f t="shared" si="4"/>
        <v>15069.39507</v>
      </c>
      <c r="U45" s="63">
        <f t="shared" si="14"/>
        <v>184.6566972</v>
      </c>
      <c r="V45" s="59">
        <f t="shared" si="6"/>
        <v>1.066596295</v>
      </c>
      <c r="W45" s="58">
        <f t="shared" si="7"/>
        <v>1</v>
      </c>
      <c r="X45" s="58">
        <f t="shared" si="8"/>
        <v>40</v>
      </c>
      <c r="Y45" s="89"/>
      <c r="Z45" s="70">
        <f t="shared" si="9"/>
        <v>0.0618888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1.62790999999999E-4</v>
      </c>
      <c r="L46" s="60">
        <v>1.46004669912861E-6</v>
      </c>
      <c r="M46" s="59">
        <f t="shared" si="1"/>
        <v>162.791</v>
      </c>
      <c r="N46" s="59">
        <v>0.178720975</v>
      </c>
      <c r="O46" s="59">
        <v>146.072509766</v>
      </c>
      <c r="P46" s="59">
        <v>0.483161505</v>
      </c>
      <c r="Q46" s="61">
        <f t="shared" si="2"/>
        <v>-0.1026991064</v>
      </c>
      <c r="R46" s="62">
        <f t="shared" si="3"/>
        <v>-32.45322539</v>
      </c>
      <c r="S46" s="58"/>
      <c r="T46" s="63">
        <f t="shared" si="4"/>
        <v>39638.22037</v>
      </c>
      <c r="U46" s="63">
        <f t="shared" si="14"/>
        <v>485.7170989</v>
      </c>
      <c r="V46" s="59">
        <f t="shared" si="6"/>
        <v>1.114453365</v>
      </c>
      <c r="W46" s="58">
        <f t="shared" si="7"/>
        <v>0</v>
      </c>
      <c r="X46" s="58">
        <f t="shared" si="8"/>
        <v>41</v>
      </c>
      <c r="Y46" s="89"/>
      <c r="Z46" s="79">
        <f t="shared" si="9"/>
        <v>0.162791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3.67305E-4</v>
      </c>
      <c r="L47" s="60">
        <v>3.60948176139713E-6</v>
      </c>
      <c r="M47" s="59">
        <f t="shared" si="1"/>
        <v>367.305</v>
      </c>
      <c r="N47" s="59">
        <v>0.402021401</v>
      </c>
      <c r="O47" s="59">
        <v>310.619476318</v>
      </c>
      <c r="P47" s="59">
        <v>1.06964889</v>
      </c>
      <c r="Q47" s="61">
        <f t="shared" si="2"/>
        <v>-0.1543282114</v>
      </c>
      <c r="R47" s="62">
        <f t="shared" si="3"/>
        <v>-49.60652754</v>
      </c>
      <c r="S47" s="58"/>
      <c r="T47" s="63">
        <f t="shared" si="4"/>
        <v>89435.63546</v>
      </c>
      <c r="U47" s="63">
        <f t="shared" si="14"/>
        <v>1095.922496</v>
      </c>
      <c r="V47" s="59">
        <f t="shared" si="6"/>
        <v>1.182491853</v>
      </c>
      <c r="W47" s="58">
        <f t="shared" si="7"/>
        <v>0</v>
      </c>
      <c r="X47" s="58">
        <f t="shared" si="8"/>
        <v>42</v>
      </c>
      <c r="Y47" s="89"/>
      <c r="Z47" s="79">
        <f t="shared" si="9"/>
        <v>0.367305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8.70570999999999E-8</v>
      </c>
      <c r="L48" s="96">
        <v>8.49127056202873E-10</v>
      </c>
      <c r="M48" s="95">
        <f t="shared" si="1"/>
        <v>0.0870571</v>
      </c>
      <c r="N48" s="95">
        <v>9.3975E-5</v>
      </c>
      <c r="O48" s="95">
        <v>0.087805443</v>
      </c>
      <c r="P48" s="95">
        <v>2.13249E-4</v>
      </c>
      <c r="Q48" s="97">
        <f t="shared" si="2"/>
        <v>0.008596001934</v>
      </c>
      <c r="R48" s="98">
        <f t="shared" si="3"/>
        <v>3.211256875</v>
      </c>
      <c r="S48" s="94"/>
      <c r="T48" s="99">
        <f t="shared" si="4"/>
        <v>21.19766151</v>
      </c>
      <c r="U48" s="99">
        <f t="shared" ref="U48:U54" si="15">K48/$K$49</f>
        <v>0.08081795395</v>
      </c>
      <c r="V48" s="95">
        <f t="shared" si="6"/>
        <v>0.9914772596</v>
      </c>
      <c r="W48" s="94">
        <f t="shared" si="7"/>
        <v>1</v>
      </c>
      <c r="X48" s="94">
        <f t="shared" si="8"/>
        <v>43</v>
      </c>
      <c r="Y48" s="100"/>
      <c r="Z48" s="67">
        <f t="shared" si="9"/>
        <v>0.0000870571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1.07719999999999E-6</v>
      </c>
      <c r="L49" s="96">
        <v>1.05772769595386E-8</v>
      </c>
      <c r="M49" s="95">
        <f t="shared" si="1"/>
        <v>1.0772</v>
      </c>
      <c r="N49" s="95">
        <v>0.001224423</v>
      </c>
      <c r="O49" s="95">
        <v>1.048849583</v>
      </c>
      <c r="P49" s="95">
        <v>0.001197415</v>
      </c>
      <c r="Q49" s="97">
        <f t="shared" si="2"/>
        <v>-0.02631861957</v>
      </c>
      <c r="R49" s="98">
        <f t="shared" si="3"/>
        <v>-16.55397733</v>
      </c>
      <c r="S49" s="94"/>
      <c r="T49" s="99">
        <f t="shared" si="4"/>
        <v>262.2890146</v>
      </c>
      <c r="U49" s="99">
        <f t="shared" si="15"/>
        <v>1</v>
      </c>
      <c r="V49" s="95">
        <f t="shared" si="6"/>
        <v>1.027030012</v>
      </c>
      <c r="W49" s="94">
        <f t="shared" si="7"/>
        <v>1</v>
      </c>
      <c r="X49" s="94">
        <f t="shared" si="8"/>
        <v>44</v>
      </c>
      <c r="Y49" s="100"/>
      <c r="Z49" s="69">
        <f t="shared" si="9"/>
        <v>0.0010772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1.25637E-5</v>
      </c>
      <c r="L50" s="96">
        <v>1.27149438842567E-7</v>
      </c>
      <c r="M50" s="95">
        <f t="shared" si="1"/>
        <v>12.5637</v>
      </c>
      <c r="N50" s="95">
        <v>0.014097874</v>
      </c>
      <c r="O50" s="95">
        <v>11.989414215</v>
      </c>
      <c r="P50" s="95">
        <v>0.021988521</v>
      </c>
      <c r="Q50" s="97">
        <f t="shared" si="2"/>
        <v>-0.04570992502</v>
      </c>
      <c r="R50" s="98">
        <f t="shared" si="3"/>
        <v>-21.98658867</v>
      </c>
      <c r="S50" s="94"/>
      <c r="T50" s="99">
        <f t="shared" si="4"/>
        <v>3059.153818</v>
      </c>
      <c r="U50" s="99">
        <f t="shared" si="15"/>
        <v>11.66329372</v>
      </c>
      <c r="V50" s="95">
        <f t="shared" si="6"/>
        <v>1.047899403</v>
      </c>
      <c r="W50" s="94">
        <f t="shared" si="7"/>
        <v>1</v>
      </c>
      <c r="X50" s="94">
        <f t="shared" si="8"/>
        <v>45</v>
      </c>
      <c r="Y50" s="100"/>
      <c r="Z50" s="70">
        <f t="shared" si="9"/>
        <v>0.0125637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6.22818E-5</v>
      </c>
      <c r="L51" s="96">
        <v>5.46366103626423E-7</v>
      </c>
      <c r="M51" s="95">
        <f t="shared" si="1"/>
        <v>62.2818</v>
      </c>
      <c r="N51" s="95">
        <v>0.068921545</v>
      </c>
      <c r="O51" s="95">
        <v>57.521133423</v>
      </c>
      <c r="P51" s="95">
        <v>0.151663964</v>
      </c>
      <c r="Q51" s="97">
        <f t="shared" si="2"/>
        <v>-0.07643752392</v>
      </c>
      <c r="R51" s="98">
        <f t="shared" si="3"/>
        <v>-28.57719168</v>
      </c>
      <c r="S51" s="94"/>
      <c r="T51" s="99">
        <f t="shared" si="4"/>
        <v>15165.08722</v>
      </c>
      <c r="U51" s="99">
        <f t="shared" si="15"/>
        <v>57.81823245</v>
      </c>
      <c r="V51" s="95">
        <f t="shared" si="6"/>
        <v>1.082763783</v>
      </c>
      <c r="W51" s="94">
        <f t="shared" si="7"/>
        <v>1</v>
      </c>
      <c r="X51" s="94">
        <f t="shared" si="8"/>
        <v>46</v>
      </c>
      <c r="Y51" s="100"/>
      <c r="Z51" s="70">
        <f t="shared" si="9"/>
        <v>0.0622818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2.13198E-4</v>
      </c>
      <c r="L52" s="96">
        <v>1.6801262578819E-6</v>
      </c>
      <c r="M52" s="95">
        <f t="shared" si="1"/>
        <v>213.198</v>
      </c>
      <c r="N52" s="95">
        <v>0.234503155</v>
      </c>
      <c r="O52" s="95">
        <v>183.902038574</v>
      </c>
      <c r="P52" s="95">
        <v>0.566309972</v>
      </c>
      <c r="Q52" s="97">
        <f t="shared" si="2"/>
        <v>-0.1374119899</v>
      </c>
      <c r="R52" s="98">
        <f t="shared" si="3"/>
        <v>-47.79559812</v>
      </c>
      <c r="S52" s="94"/>
      <c r="T52" s="99">
        <f t="shared" si="4"/>
        <v>51911.89505</v>
      </c>
      <c r="U52" s="99">
        <f t="shared" si="15"/>
        <v>197.9186781</v>
      </c>
      <c r="V52" s="95">
        <f t="shared" si="6"/>
        <v>1.159301994</v>
      </c>
      <c r="W52" s="94">
        <f t="shared" si="7"/>
        <v>0</v>
      </c>
      <c r="X52" s="94">
        <f t="shared" si="8"/>
        <v>47</v>
      </c>
      <c r="Y52" s="100"/>
      <c r="Z52" s="79">
        <f t="shared" si="9"/>
        <v>0.213198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5.75219E-4</v>
      </c>
      <c r="L53" s="96">
        <v>6.06636188045573E-6</v>
      </c>
      <c r="M53" s="95">
        <f t="shared" si="1"/>
        <v>575.219</v>
      </c>
      <c r="N53" s="95">
        <v>0.629671294</v>
      </c>
      <c r="O53" s="95">
        <v>459.543334961</v>
      </c>
      <c r="P53" s="95">
        <v>1.527028955</v>
      </c>
      <c r="Q53" s="97">
        <f t="shared" si="2"/>
        <v>-0.2010984773</v>
      </c>
      <c r="R53" s="98">
        <f t="shared" si="3"/>
        <v>-70.03186232</v>
      </c>
      <c r="S53" s="94"/>
      <c r="T53" s="99">
        <f t="shared" si="4"/>
        <v>140060.9216</v>
      </c>
      <c r="U53" s="99">
        <f t="shared" si="15"/>
        <v>533.9946157</v>
      </c>
      <c r="V53" s="95">
        <f t="shared" si="6"/>
        <v>1.251718731</v>
      </c>
      <c r="W53" s="94">
        <f t="shared" si="7"/>
        <v>0</v>
      </c>
      <c r="X53" s="94">
        <f t="shared" si="8"/>
        <v>48</v>
      </c>
      <c r="Y53" s="100"/>
      <c r="Z53" s="79">
        <f t="shared" si="9"/>
        <v>0.575219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0.00130275</v>
      </c>
      <c r="L54" s="96">
        <v>1.20867027695059E-5</v>
      </c>
      <c r="M54" s="95">
        <f t="shared" si="1"/>
        <v>1302.75</v>
      </c>
      <c r="N54" s="95">
        <v>1.422747028</v>
      </c>
      <c r="O54" s="95">
        <v>980.05480957</v>
      </c>
      <c r="P54" s="95">
        <v>3.38061871</v>
      </c>
      <c r="Q54" s="97">
        <f t="shared" si="2"/>
        <v>-0.2477030823</v>
      </c>
      <c r="R54" s="98">
        <f t="shared" si="3"/>
        <v>-87.98047034</v>
      </c>
      <c r="S54" s="94"/>
      <c r="T54" s="99">
        <f t="shared" si="4"/>
        <v>317208.5164</v>
      </c>
      <c r="U54" s="99">
        <f t="shared" si="15"/>
        <v>1209.385444</v>
      </c>
      <c r="V54" s="95">
        <f t="shared" si="6"/>
        <v>1.329262392</v>
      </c>
      <c r="W54" s="94">
        <f t="shared" si="7"/>
        <v>0</v>
      </c>
      <c r="X54" s="94">
        <f t="shared" si="8"/>
        <v>49</v>
      </c>
      <c r="Y54" s="100"/>
      <c r="Z54" s="14">
        <f t="shared" si="9"/>
        <v>1.30275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2.09112E-7</v>
      </c>
      <c r="L55" s="103">
        <v>2.30148305282142E-9</v>
      </c>
      <c r="M55" s="102">
        <f t="shared" si="1"/>
        <v>0.209112</v>
      </c>
      <c r="N55" s="102">
        <v>2.26298E-4</v>
      </c>
      <c r="O55" s="102">
        <v>0.21293132</v>
      </c>
      <c r="P55" s="102">
        <v>5.20628E-4</v>
      </c>
      <c r="Q55" s="104">
        <f t="shared" si="2"/>
        <v>0.01826447071</v>
      </c>
      <c r="R55" s="106">
        <f t="shared" si="3"/>
        <v>6.727906523</v>
      </c>
      <c r="S55" s="101"/>
      <c r="T55" s="108">
        <f t="shared" si="4"/>
        <v>50.91698889</v>
      </c>
      <c r="U55" s="108">
        <f t="shared" ref="U55:U61" si="16">K55/$K$56</f>
        <v>0.07742422784</v>
      </c>
      <c r="V55" s="102">
        <f t="shared" si="6"/>
        <v>0.9820631366</v>
      </c>
      <c r="W55" s="101">
        <f t="shared" si="7"/>
        <v>1</v>
      </c>
      <c r="X55" s="101">
        <f t="shared" si="8"/>
        <v>50</v>
      </c>
      <c r="Y55" s="110"/>
      <c r="Z55" s="68">
        <f t="shared" si="9"/>
        <v>0.000209112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2.70086E-6</v>
      </c>
      <c r="L56" s="103">
        <v>2.38666412730523E-8</v>
      </c>
      <c r="M56" s="102">
        <f t="shared" si="1"/>
        <v>2.70086</v>
      </c>
      <c r="N56" s="102">
        <v>0.003063918</v>
      </c>
      <c r="O56" s="102">
        <v>2.562176466</v>
      </c>
      <c r="P56" s="102">
        <v>0.002923378</v>
      </c>
      <c r="Q56" s="104">
        <f t="shared" si="2"/>
        <v>-0.05134791659</v>
      </c>
      <c r="R56" s="106">
        <f t="shared" si="3"/>
        <v>-32.74836008</v>
      </c>
      <c r="S56" s="101"/>
      <c r="T56" s="108">
        <f t="shared" si="4"/>
        <v>657.6363796</v>
      </c>
      <c r="U56" s="108">
        <f t="shared" si="16"/>
        <v>1</v>
      </c>
      <c r="V56" s="102">
        <f t="shared" si="6"/>
        <v>1.054127237</v>
      </c>
      <c r="W56" s="101">
        <f t="shared" si="7"/>
        <v>1</v>
      </c>
      <c r="X56" s="101">
        <f t="shared" si="8"/>
        <v>51</v>
      </c>
      <c r="Y56" s="110"/>
      <c r="Z56" s="69">
        <f t="shared" si="9"/>
        <v>0.00270086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3.20657E-5</v>
      </c>
      <c r="L57" s="103">
        <v>3.01264188232042E-7</v>
      </c>
      <c r="M57" s="102">
        <f t="shared" si="1"/>
        <v>32.0657</v>
      </c>
      <c r="N57" s="102">
        <v>0.035850755</v>
      </c>
      <c r="O57" s="102">
        <v>29.436796188</v>
      </c>
      <c r="P57" s="102">
        <v>0.053682912</v>
      </c>
      <c r="Q57" s="104">
        <f t="shared" si="2"/>
        <v>-0.08198491884</v>
      </c>
      <c r="R57" s="106">
        <f t="shared" si="3"/>
        <v>-40.72453033</v>
      </c>
      <c r="S57" s="101"/>
      <c r="T57" s="108">
        <f t="shared" si="4"/>
        <v>7807.724523</v>
      </c>
      <c r="U57" s="108">
        <f t="shared" si="16"/>
        <v>11.8724036</v>
      </c>
      <c r="V57" s="102">
        <f t="shared" si="6"/>
        <v>1.089306723</v>
      </c>
      <c r="W57" s="101">
        <f t="shared" si="7"/>
        <v>1</v>
      </c>
      <c r="X57" s="101">
        <f t="shared" si="8"/>
        <v>52</v>
      </c>
      <c r="Y57" s="110"/>
      <c r="Z57" s="70">
        <f t="shared" si="9"/>
        <v>0.0320657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1.63664E-4</v>
      </c>
      <c r="L58" s="103">
        <v>1.4235763755309E-6</v>
      </c>
      <c r="M58" s="102">
        <f t="shared" si="1"/>
        <v>163.664</v>
      </c>
      <c r="N58" s="102">
        <v>0.180734485</v>
      </c>
      <c r="O58" s="102">
        <v>139.573059082</v>
      </c>
      <c r="P58" s="102">
        <v>0.37027335</v>
      </c>
      <c r="Q58" s="104">
        <f t="shared" si="2"/>
        <v>-0.1471975567</v>
      </c>
      <c r="R58" s="106">
        <f t="shared" si="3"/>
        <v>-58.46914347</v>
      </c>
      <c r="S58" s="101"/>
      <c r="T58" s="108">
        <f t="shared" si="4"/>
        <v>39850.78843</v>
      </c>
      <c r="U58" s="108">
        <f t="shared" si="16"/>
        <v>60.59699503</v>
      </c>
      <c r="V58" s="102">
        <f t="shared" si="6"/>
        <v>1.17260452</v>
      </c>
      <c r="W58" s="101">
        <f t="shared" si="7"/>
        <v>0</v>
      </c>
      <c r="X58" s="101">
        <f t="shared" si="8"/>
        <v>53</v>
      </c>
      <c r="Y58" s="110"/>
      <c r="Z58" s="79">
        <f t="shared" si="9"/>
        <v>0.163664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5.69917E-4</v>
      </c>
      <c r="L59" s="103">
        <v>5.30168745768645E-6</v>
      </c>
      <c r="M59" s="102">
        <f t="shared" si="1"/>
        <v>569.917</v>
      </c>
      <c r="N59" s="102">
        <v>0.625200601</v>
      </c>
      <c r="O59" s="102">
        <v>447.849304199</v>
      </c>
      <c r="P59" s="102">
        <v>1.382592705</v>
      </c>
      <c r="Q59" s="104">
        <f t="shared" si="2"/>
        <v>-0.2141850406</v>
      </c>
      <c r="R59" s="106">
        <f t="shared" si="3"/>
        <v>-80.4464231</v>
      </c>
      <c r="S59" s="101"/>
      <c r="T59" s="108">
        <f t="shared" si="4"/>
        <v>138769.9298</v>
      </c>
      <c r="U59" s="108">
        <f t="shared" si="16"/>
        <v>211.0131588</v>
      </c>
      <c r="V59" s="102">
        <f t="shared" si="6"/>
        <v>1.272564219</v>
      </c>
      <c r="W59" s="101">
        <f t="shared" si="7"/>
        <v>0</v>
      </c>
      <c r="X59" s="101">
        <f t="shared" si="8"/>
        <v>54</v>
      </c>
      <c r="Y59" s="110"/>
      <c r="Z59" s="79">
        <f t="shared" si="9"/>
        <v>0.569917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0.00152675</v>
      </c>
      <c r="L60" s="103">
        <v>1.32705910139144E-5</v>
      </c>
      <c r="M60" s="102">
        <f t="shared" si="1"/>
        <v>1526.75</v>
      </c>
      <c r="N60" s="102">
        <v>1.668092665</v>
      </c>
      <c r="O60" s="102">
        <v>1127.368896484</v>
      </c>
      <c r="P60" s="102">
        <v>3.728098031</v>
      </c>
      <c r="Q60" s="104">
        <f t="shared" si="2"/>
        <v>-0.261589064</v>
      </c>
      <c r="R60" s="106">
        <f t="shared" si="3"/>
        <v>-97.78522564</v>
      </c>
      <c r="S60" s="101"/>
      <c r="T60" s="108">
        <f t="shared" si="4"/>
        <v>371750.6063</v>
      </c>
      <c r="U60" s="108">
        <f t="shared" si="16"/>
        <v>565.2829099</v>
      </c>
      <c r="V60" s="102">
        <f t="shared" si="6"/>
        <v>1.354259466</v>
      </c>
      <c r="W60" s="101">
        <f t="shared" si="7"/>
        <v>0</v>
      </c>
      <c r="X60" s="101">
        <f t="shared" si="8"/>
        <v>55</v>
      </c>
      <c r="Y60" s="110"/>
      <c r="Z60" s="14">
        <f t="shared" si="9"/>
        <v>1.52675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0.00340508</v>
      </c>
      <c r="L61" s="103">
        <v>2.82562874025901E-5</v>
      </c>
      <c r="M61" s="102">
        <f t="shared" si="1"/>
        <v>3405.08</v>
      </c>
      <c r="N61" s="102">
        <v>3.712203956</v>
      </c>
      <c r="O61" s="102">
        <v>2394.954345703</v>
      </c>
      <c r="P61" s="102">
        <v>8.253463655</v>
      </c>
      <c r="Q61" s="104">
        <f t="shared" si="2"/>
        <v>-0.2966525469</v>
      </c>
      <c r="R61" s="106">
        <f t="shared" si="3"/>
        <v>-111.6177158</v>
      </c>
      <c r="S61" s="101"/>
      <c r="T61" s="108">
        <f t="shared" si="4"/>
        <v>829107.9446</v>
      </c>
      <c r="U61" s="108">
        <f t="shared" si="16"/>
        <v>1260.739172</v>
      </c>
      <c r="V61" s="102">
        <f t="shared" si="6"/>
        <v>1.421772405</v>
      </c>
      <c r="W61" s="101">
        <f t="shared" si="7"/>
        <v>0</v>
      </c>
      <c r="X61" s="101">
        <f t="shared" si="8"/>
        <v>56</v>
      </c>
      <c r="Y61" s="110"/>
      <c r="Z61" s="14">
        <f t="shared" si="9"/>
        <v>3.40508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1.35881E-8</v>
      </c>
      <c r="L62" s="117">
        <v>1.4022128975662E-10</v>
      </c>
      <c r="M62" s="116">
        <f t="shared" si="1"/>
        <v>0.0135881</v>
      </c>
      <c r="N62" s="116">
        <v>1.5668E-5</v>
      </c>
      <c r="O62" s="116">
        <v>0.004097069</v>
      </c>
      <c r="P62" s="116">
        <v>4.677E-6</v>
      </c>
      <c r="Q62" s="118">
        <f t="shared" si="2"/>
        <v>-0.6984810974</v>
      </c>
      <c r="R62" s="119">
        <f t="shared" si="3"/>
        <v>-580.449881</v>
      </c>
      <c r="T62" s="120">
        <f t="shared" si="4"/>
        <v>3.308586483</v>
      </c>
      <c r="V62" s="1">
        <f t="shared" si="6"/>
        <v>3.316541655</v>
      </c>
      <c r="W62" s="121">
        <f t="shared" si="7"/>
        <v>0</v>
      </c>
      <c r="X62" s="121">
        <f t="shared" si="8"/>
        <v>57</v>
      </c>
      <c r="Z62" s="67">
        <f t="shared" si="9"/>
        <v>0.0000135881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1.35881E-8</v>
      </c>
      <c r="L63" s="117">
        <v>1.4022128975662E-10</v>
      </c>
      <c r="M63" s="116">
        <f t="shared" si="1"/>
        <v>0.0135881</v>
      </c>
      <c r="N63" s="116">
        <v>1.5668E-5</v>
      </c>
      <c r="O63" s="116">
        <v>0.004097069</v>
      </c>
      <c r="P63" s="116">
        <v>4.677E-6</v>
      </c>
      <c r="Q63" s="118">
        <f t="shared" si="2"/>
        <v>-0.6984810974</v>
      </c>
      <c r="R63" s="119">
        <f t="shared" si="3"/>
        <v>-580.449881</v>
      </c>
      <c r="T63" s="120">
        <f t="shared" si="4"/>
        <v>3.308586483</v>
      </c>
      <c r="V63" s="1">
        <f t="shared" si="6"/>
        <v>3.316541655</v>
      </c>
      <c r="W63" s="121">
        <f t="shared" si="7"/>
        <v>0</v>
      </c>
      <c r="X63" s="121">
        <f t="shared" si="8"/>
        <v>58</v>
      </c>
      <c r="Z63" s="67">
        <f t="shared" si="9"/>
        <v>0.0000135881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1.45578999999999E-7</v>
      </c>
      <c r="L64" s="117">
        <v>1.34309269218396E-9</v>
      </c>
      <c r="M64" s="116">
        <f t="shared" si="1"/>
        <v>0.145579</v>
      </c>
      <c r="N64" s="116">
        <v>1.59225E-4</v>
      </c>
      <c r="O64" s="116">
        <v>0.145056531</v>
      </c>
      <c r="P64" s="116">
        <v>5.44944E-4</v>
      </c>
      <c r="Q64" s="118">
        <f t="shared" si="2"/>
        <v>-0.003588903619</v>
      </c>
      <c r="R64" s="119">
        <f t="shared" si="3"/>
        <v>-0.920278371</v>
      </c>
      <c r="T64" s="120">
        <f t="shared" si="4"/>
        <v>35.44724514</v>
      </c>
      <c r="V64" s="1">
        <f t="shared" si="6"/>
        <v>1.00360183</v>
      </c>
      <c r="W64" s="121">
        <f t="shared" si="7"/>
        <v>1</v>
      </c>
      <c r="X64" s="121">
        <f t="shared" si="8"/>
        <v>59</v>
      </c>
      <c r="Z64" s="68">
        <f t="shared" si="9"/>
        <v>0.000145579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4.10395E-9</v>
      </c>
      <c r="L65" s="117">
        <v>3.86427237783531E-11</v>
      </c>
      <c r="M65" s="116">
        <f t="shared" si="1"/>
        <v>0.00410395</v>
      </c>
      <c r="N65" s="116">
        <v>4.673E-6</v>
      </c>
      <c r="O65" s="116">
        <v>0.004095822</v>
      </c>
      <c r="P65" s="116">
        <v>4.676E-6</v>
      </c>
      <c r="Q65" s="118">
        <f t="shared" si="2"/>
        <v>-0.001980530952</v>
      </c>
      <c r="R65" s="119">
        <f t="shared" si="3"/>
        <v>-1.229514092</v>
      </c>
      <c r="T65" s="120">
        <f t="shared" si="4"/>
        <v>0.9992768303</v>
      </c>
      <c r="V65" s="1">
        <f t="shared" si="6"/>
        <v>1.001984461</v>
      </c>
      <c r="W65" s="121">
        <f t="shared" si="7"/>
        <v>1</v>
      </c>
      <c r="X65" s="121">
        <f t="shared" si="8"/>
        <v>60</v>
      </c>
      <c r="Z65" s="66">
        <f t="shared" si="9"/>
        <v>0.00000410395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4.11444999999999E-9</v>
      </c>
      <c r="L66" s="117">
        <v>4.49382011121041E-11</v>
      </c>
      <c r="M66" s="116">
        <f t="shared" si="1"/>
        <v>0.00411445</v>
      </c>
      <c r="N66" s="116">
        <v>4.688E-6</v>
      </c>
      <c r="O66" s="116">
        <v>0.004095819</v>
      </c>
      <c r="P66" s="116">
        <v>4.676E-6</v>
      </c>
      <c r="Q66" s="118">
        <f t="shared" si="2"/>
        <v>-0.004528187243</v>
      </c>
      <c r="R66" s="119">
        <f t="shared" si="3"/>
        <v>-2.813775229</v>
      </c>
      <c r="T66" s="120">
        <f t="shared" si="4"/>
        <v>1.001833491</v>
      </c>
      <c r="V66" s="1">
        <f t="shared" si="6"/>
        <v>1.004548785</v>
      </c>
      <c r="W66" s="121">
        <f t="shared" si="7"/>
        <v>1</v>
      </c>
      <c r="X66" s="121">
        <f t="shared" si="8"/>
        <v>61</v>
      </c>
      <c r="Z66" s="66">
        <f t="shared" si="9"/>
        <v>0.00000411445</v>
      </c>
    </row>
    <row r="67">
      <c r="K67" s="1"/>
      <c r="L67" s="2"/>
      <c r="M67" s="1"/>
      <c r="O67" s="1"/>
      <c r="W67" s="122">
        <f>(SUM(W6:W61)-1)/55</f>
        <v>0.8363636364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  <c r="Y4" s="4" t="s">
        <v>23</v>
      </c>
      <c r="Z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41</v>
      </c>
      <c r="W5" s="4">
        <v>0.1</v>
      </c>
      <c r="X5" s="4" t="s">
        <v>2</v>
      </c>
      <c r="Y5" s="5" t="s">
        <v>15</v>
      </c>
      <c r="Z5" s="3" t="s">
        <v>25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-2.58130044843049E-8</v>
      </c>
      <c r="L6" s="11">
        <v>1.99636255869235E-9</v>
      </c>
      <c r="M6" s="10">
        <f t="shared" ref="M6:M66" si="1">K6*1000000</f>
        <v>-0.02581300448</v>
      </c>
      <c r="N6" s="10">
        <v>7.2352E-5</v>
      </c>
      <c r="O6" s="10">
        <v>-0.024329932</v>
      </c>
      <c r="P6" s="10">
        <v>1.12339E-4</v>
      </c>
      <c r="Q6" s="12">
        <f t="shared" ref="Q6:Q66" si="2">(O6-M6)/M6</f>
        <v>-0.05745446971</v>
      </c>
      <c r="R6" s="13">
        <f t="shared" ref="R6:R66" si="3">(O6-M6)/sqrt(N6*N6+P6*P6)</f>
        <v>11.09900683</v>
      </c>
      <c r="S6" s="8"/>
      <c r="T6" s="14">
        <f t="shared" ref="T6:T66" si="4">K6/$K$14</f>
        <v>0.01302687053</v>
      </c>
      <c r="U6" s="14">
        <f t="shared" ref="U6:U12" si="5">K6/$K$7</f>
        <v>0.05205549419</v>
      </c>
      <c r="V6" s="10">
        <f t="shared" ref="V6:V66" si="6">M6/O6</f>
        <v>1.060956705</v>
      </c>
      <c r="W6" s="8">
        <f t="shared" ref="W6:W66" si="7">IF(abs(1/V6-1)&lt;$W$5, 1, 0)</f>
        <v>1</v>
      </c>
      <c r="X6" s="8">
        <f t="shared" ref="X6:X66" si="8">B6</f>
        <v>1</v>
      </c>
      <c r="Y6" s="10">
        <v>-0.024664439</v>
      </c>
      <c r="Z6" s="83">
        <f t="shared" ref="Z6:Z66" si="9">M6/Y6</f>
        <v>1.046567671</v>
      </c>
      <c r="AA6" s="15">
        <f t="shared" ref="AA6:AA66" si="10">IF(abs(1/Z6-1)&lt;$W$5, 1, 0)</f>
        <v>1</v>
      </c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-4.95874736842105E-7</v>
      </c>
      <c r="L7" s="11">
        <v>1.06076909264327E-8</v>
      </c>
      <c r="M7" s="10">
        <f t="shared" si="1"/>
        <v>-0.4958747368</v>
      </c>
      <c r="N7" s="10">
        <v>5.39962E-4</v>
      </c>
      <c r="O7" s="10">
        <v>-0.496328473</v>
      </c>
      <c r="P7" s="10">
        <v>5.24999E-4</v>
      </c>
      <c r="Q7" s="12">
        <f t="shared" si="2"/>
        <v>0.0009150217266</v>
      </c>
      <c r="R7" s="13">
        <f t="shared" si="3"/>
        <v>-0.6024788706</v>
      </c>
      <c r="S7" s="8"/>
      <c r="T7" s="14">
        <f t="shared" si="4"/>
        <v>0.2502496754</v>
      </c>
      <c r="U7" s="14">
        <f t="shared" si="5"/>
        <v>1</v>
      </c>
      <c r="V7" s="10">
        <f t="shared" si="6"/>
        <v>0.9990858148</v>
      </c>
      <c r="W7" s="8">
        <f t="shared" si="7"/>
        <v>1</v>
      </c>
      <c r="X7" s="8">
        <f t="shared" si="8"/>
        <v>2</v>
      </c>
      <c r="Y7" s="10">
        <v>-0.495889723</v>
      </c>
      <c r="Z7" s="83">
        <f t="shared" si="9"/>
        <v>0.9999697793</v>
      </c>
      <c r="AA7" s="15">
        <f t="shared" si="10"/>
        <v>1</v>
      </c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-3.575815E-6</v>
      </c>
      <c r="L8" s="11">
        <v>5.32559079696172E-8</v>
      </c>
      <c r="M8" s="10">
        <f t="shared" si="1"/>
        <v>-3.575815</v>
      </c>
      <c r="N8" s="10">
        <v>0.003746209</v>
      </c>
      <c r="O8" s="10">
        <v>-3.562208891</v>
      </c>
      <c r="P8" s="10">
        <v>0.003943458</v>
      </c>
      <c r="Q8" s="12">
        <f t="shared" si="2"/>
        <v>-0.003805037173</v>
      </c>
      <c r="R8" s="13">
        <f t="shared" si="3"/>
        <v>2.50148889</v>
      </c>
      <c r="S8" s="8"/>
      <c r="T8" s="14">
        <f t="shared" si="4"/>
        <v>1.804581836</v>
      </c>
      <c r="U8" s="14">
        <f t="shared" si="5"/>
        <v>7.211125581</v>
      </c>
      <c r="V8" s="10">
        <f t="shared" si="6"/>
        <v>1.003819571</v>
      </c>
      <c r="W8" s="8">
        <f t="shared" si="7"/>
        <v>1</v>
      </c>
      <c r="X8" s="8">
        <f t="shared" si="8"/>
        <v>3</v>
      </c>
      <c r="Y8" s="10">
        <v>-3.550958395</v>
      </c>
      <c r="Z8" s="83">
        <f t="shared" si="9"/>
        <v>1.006999971</v>
      </c>
      <c r="AA8" s="15">
        <f t="shared" si="10"/>
        <v>1</v>
      </c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-9.49386999999999E-6</v>
      </c>
      <c r="L9" s="11">
        <v>1.55461973569521E-7</v>
      </c>
      <c r="M9" s="10">
        <f t="shared" si="1"/>
        <v>-9.49387</v>
      </c>
      <c r="N9" s="10">
        <v>0.009955016</v>
      </c>
      <c r="O9" s="10">
        <v>-9.427979469</v>
      </c>
      <c r="P9" s="10">
        <v>0.01064974</v>
      </c>
      <c r="Q9" s="12">
        <f t="shared" si="2"/>
        <v>-0.006940323704</v>
      </c>
      <c r="R9" s="13">
        <f t="shared" si="3"/>
        <v>4.519847827</v>
      </c>
      <c r="S9" s="8"/>
      <c r="T9" s="14">
        <f t="shared" si="4"/>
        <v>4.791205741</v>
      </c>
      <c r="U9" s="14">
        <f t="shared" si="5"/>
        <v>19.14570212</v>
      </c>
      <c r="V9" s="10">
        <f t="shared" si="6"/>
        <v>1.006988828</v>
      </c>
      <c r="W9" s="8">
        <f t="shared" si="7"/>
        <v>1</v>
      </c>
      <c r="X9" s="8">
        <f t="shared" si="8"/>
        <v>4</v>
      </c>
      <c r="Y9" s="10">
        <v>-9.428970337</v>
      </c>
      <c r="Z9" s="83">
        <f t="shared" si="9"/>
        <v>1.006883006</v>
      </c>
      <c r="AA9" s="15">
        <f t="shared" si="10"/>
        <v>1</v>
      </c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-1.825505E-5</v>
      </c>
      <c r="L10" s="11">
        <v>2.91948913924523E-7</v>
      </c>
      <c r="M10" s="10">
        <f t="shared" si="1"/>
        <v>-18.25505</v>
      </c>
      <c r="N10" s="10">
        <v>0.019152868</v>
      </c>
      <c r="O10" s="10">
        <v>-18.050081253</v>
      </c>
      <c r="P10" s="10">
        <v>0.020634362</v>
      </c>
      <c r="Q10" s="12">
        <f t="shared" si="2"/>
        <v>-0.01122805728</v>
      </c>
      <c r="R10" s="13">
        <f t="shared" si="3"/>
        <v>7.28044757</v>
      </c>
      <c r="S10" s="8"/>
      <c r="T10" s="14">
        <f t="shared" si="4"/>
        <v>9.212649885</v>
      </c>
      <c r="U10" s="14">
        <f t="shared" si="5"/>
        <v>36.8138335</v>
      </c>
      <c r="V10" s="10">
        <f t="shared" si="6"/>
        <v>1.011355558</v>
      </c>
      <c r="W10" s="8">
        <f t="shared" si="7"/>
        <v>1</v>
      </c>
      <c r="X10" s="8">
        <f t="shared" si="8"/>
        <v>5</v>
      </c>
      <c r="Y10" s="10">
        <v>-18.166145325</v>
      </c>
      <c r="Z10" s="83">
        <f t="shared" si="9"/>
        <v>1.004893976</v>
      </c>
      <c r="AA10" s="15">
        <f t="shared" si="10"/>
        <v>1</v>
      </c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-2.98261999999999E-5</v>
      </c>
      <c r="L11" s="11">
        <v>4.32679579007898E-7</v>
      </c>
      <c r="M11" s="10">
        <f t="shared" si="1"/>
        <v>-29.8262</v>
      </c>
      <c r="N11" s="10">
        <v>0.031321645</v>
      </c>
      <c r="O11" s="10">
        <v>-29.741266251</v>
      </c>
      <c r="P11" s="10">
        <v>0.033896643</v>
      </c>
      <c r="Q11" s="12">
        <f t="shared" si="2"/>
        <v>-0.002847622191</v>
      </c>
      <c r="R11" s="13">
        <f t="shared" si="3"/>
        <v>1.840295877</v>
      </c>
      <c r="S11" s="8"/>
      <c r="T11" s="14">
        <f t="shared" si="4"/>
        <v>15.05218216</v>
      </c>
      <c r="U11" s="14">
        <f t="shared" si="5"/>
        <v>60.14865809</v>
      </c>
      <c r="V11" s="10">
        <f t="shared" si="6"/>
        <v>1.002855754</v>
      </c>
      <c r="W11" s="8">
        <f t="shared" si="7"/>
        <v>1</v>
      </c>
      <c r="X11" s="8">
        <f t="shared" si="8"/>
        <v>6</v>
      </c>
      <c r="Y11" s="10">
        <v>-29.679307938</v>
      </c>
      <c r="Z11" s="83">
        <f t="shared" si="9"/>
        <v>1.004949309</v>
      </c>
      <c r="AA11" s="15">
        <f t="shared" si="10"/>
        <v>1</v>
      </c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-4.424555E-5</v>
      </c>
      <c r="L12" s="11">
        <v>6.4549984332972E-7</v>
      </c>
      <c r="M12" s="10">
        <f t="shared" si="1"/>
        <v>-44.24555</v>
      </c>
      <c r="N12" s="10">
        <v>0.046410128</v>
      </c>
      <c r="O12" s="10">
        <v>-43.916778564</v>
      </c>
      <c r="P12" s="10">
        <v>0.050436436</v>
      </c>
      <c r="Q12" s="12">
        <f t="shared" si="2"/>
        <v>-0.00743061022</v>
      </c>
      <c r="R12" s="13">
        <f t="shared" si="3"/>
        <v>4.796780712</v>
      </c>
      <c r="S12" s="8"/>
      <c r="T12" s="14">
        <f t="shared" si="4"/>
        <v>22.32909585</v>
      </c>
      <c r="U12" s="14">
        <f t="shared" si="5"/>
        <v>89.22727196</v>
      </c>
      <c r="V12" s="10">
        <f t="shared" si="6"/>
        <v>1.007486238</v>
      </c>
      <c r="W12" s="8">
        <f t="shared" si="7"/>
        <v>1</v>
      </c>
      <c r="X12" s="8">
        <f t="shared" si="8"/>
        <v>7</v>
      </c>
      <c r="Y12" s="10">
        <v>-43.884353638</v>
      </c>
      <c r="Z12" s="83">
        <f t="shared" si="9"/>
        <v>1.008230641</v>
      </c>
      <c r="AA12" s="15">
        <f t="shared" si="10"/>
        <v>1</v>
      </c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-1.02291597765363E-7</v>
      </c>
      <c r="L13" s="24">
        <v>8.41023207744088E-9</v>
      </c>
      <c r="M13" s="23">
        <f t="shared" si="1"/>
        <v>-0.1022915978</v>
      </c>
      <c r="N13" s="23">
        <v>2.88701E-4</v>
      </c>
      <c r="O13" s="23">
        <v>-0.09731973</v>
      </c>
      <c r="P13" s="23">
        <v>4.49355E-4</v>
      </c>
      <c r="Q13" s="26">
        <f t="shared" si="2"/>
        <v>-0.04860485</v>
      </c>
      <c r="R13" s="27">
        <f t="shared" si="3"/>
        <v>9.308782885</v>
      </c>
      <c r="S13" s="22"/>
      <c r="T13" s="28">
        <f t="shared" si="4"/>
        <v>0.05162279349</v>
      </c>
      <c r="U13" s="28">
        <f t="shared" ref="U13:U19" si="11">K13/$K$14</f>
        <v>0.05162279349</v>
      </c>
      <c r="V13" s="23">
        <f t="shared" si="6"/>
        <v>1.051087973</v>
      </c>
      <c r="W13" s="22">
        <f t="shared" si="7"/>
        <v>1</v>
      </c>
      <c r="X13" s="22">
        <f t="shared" si="8"/>
        <v>8</v>
      </c>
      <c r="Y13" s="23">
        <v>-0.098286279</v>
      </c>
      <c r="Z13" s="107">
        <f t="shared" si="9"/>
        <v>1.040751556</v>
      </c>
      <c r="AA13" s="71">
        <f t="shared" si="10"/>
        <v>1</v>
      </c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-1.98151999999999E-6</v>
      </c>
      <c r="L14" s="31">
        <v>4.16036869389876E-8</v>
      </c>
      <c r="M14" s="30">
        <f t="shared" si="1"/>
        <v>-1.98152</v>
      </c>
      <c r="N14" s="30">
        <v>0.002099996</v>
      </c>
      <c r="O14" s="30">
        <v>-1.985313892</v>
      </c>
      <c r="P14" s="30">
        <v>0.002099996</v>
      </c>
      <c r="Q14" s="32">
        <f t="shared" si="2"/>
        <v>0.001914637248</v>
      </c>
      <c r="R14" s="34">
        <f t="shared" si="3"/>
        <v>-1.277472319</v>
      </c>
      <c r="S14" s="29"/>
      <c r="T14" s="35">
        <f t="shared" si="4"/>
        <v>1</v>
      </c>
      <c r="U14" s="35">
        <f t="shared" si="11"/>
        <v>1</v>
      </c>
      <c r="V14" s="30">
        <f t="shared" si="6"/>
        <v>0.9980890216</v>
      </c>
      <c r="W14" s="29">
        <f t="shared" si="7"/>
        <v>1</v>
      </c>
      <c r="X14" s="29">
        <f t="shared" si="8"/>
        <v>9</v>
      </c>
      <c r="Y14" s="30">
        <v>-1.979435921</v>
      </c>
      <c r="Z14" s="113">
        <f t="shared" si="9"/>
        <v>1.001052865</v>
      </c>
      <c r="AA14" s="72">
        <f t="shared" si="10"/>
        <v>1</v>
      </c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-1.42753999999999E-5</v>
      </c>
      <c r="L15" s="24">
        <v>2.1688020916079E-7</v>
      </c>
      <c r="M15" s="23">
        <f t="shared" si="1"/>
        <v>-14.2754</v>
      </c>
      <c r="N15" s="23">
        <v>0.014950855</v>
      </c>
      <c r="O15" s="23">
        <v>-14.24883461</v>
      </c>
      <c r="P15" s="23">
        <v>0.015773832</v>
      </c>
      <c r="Q15" s="26">
        <f t="shared" si="2"/>
        <v>-0.001860920885</v>
      </c>
      <c r="R15" s="27">
        <f t="shared" si="3"/>
        <v>1.222328638</v>
      </c>
      <c r="S15" s="22"/>
      <c r="T15" s="28">
        <f t="shared" si="4"/>
        <v>7.204267431</v>
      </c>
      <c r="U15" s="28">
        <f t="shared" si="11"/>
        <v>7.204267431</v>
      </c>
      <c r="V15" s="23">
        <f t="shared" si="6"/>
        <v>1.00186439</v>
      </c>
      <c r="W15" s="22">
        <f t="shared" si="7"/>
        <v>1</v>
      </c>
      <c r="X15" s="22">
        <f t="shared" si="8"/>
        <v>10</v>
      </c>
      <c r="Y15" s="23">
        <v>-14.175880432</v>
      </c>
      <c r="Z15" s="107">
        <f t="shared" si="9"/>
        <v>1.007020345</v>
      </c>
      <c r="AA15" s="71">
        <f t="shared" si="10"/>
        <v>1</v>
      </c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-3.78996499999999E-5</v>
      </c>
      <c r="L16" s="24">
        <v>5.36330710153042E-7</v>
      </c>
      <c r="M16" s="23">
        <f t="shared" si="1"/>
        <v>-37.89965</v>
      </c>
      <c r="N16" s="23">
        <v>0.039660292</v>
      </c>
      <c r="O16" s="23">
        <v>-37.711917877</v>
      </c>
      <c r="P16" s="23">
        <v>0.04259896</v>
      </c>
      <c r="Q16" s="26">
        <f t="shared" si="2"/>
        <v>-0.004953399913</v>
      </c>
      <c r="R16" s="27">
        <f t="shared" si="3"/>
        <v>3.225461619</v>
      </c>
      <c r="S16" s="22"/>
      <c r="T16" s="28">
        <f t="shared" si="4"/>
        <v>19.12655436</v>
      </c>
      <c r="U16" s="28">
        <f t="shared" si="11"/>
        <v>19.12655436</v>
      </c>
      <c r="V16" s="23">
        <f t="shared" si="6"/>
        <v>1.004978058</v>
      </c>
      <c r="W16" s="22">
        <f t="shared" si="7"/>
        <v>1</v>
      </c>
      <c r="X16" s="22">
        <f t="shared" si="8"/>
        <v>11</v>
      </c>
      <c r="Y16" s="23">
        <v>-37.606395721</v>
      </c>
      <c r="Z16" s="107">
        <f t="shared" si="9"/>
        <v>1.00779799</v>
      </c>
      <c r="AA16" s="71">
        <f t="shared" si="10"/>
        <v>1</v>
      </c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-7.2984824120603E-5</v>
      </c>
      <c r="L17" s="24">
        <v>1.11852393905697E-6</v>
      </c>
      <c r="M17" s="23">
        <f t="shared" si="1"/>
        <v>-72.98482412</v>
      </c>
      <c r="N17" s="23">
        <v>0.076564809</v>
      </c>
      <c r="O17" s="23">
        <v>-72.200325012</v>
      </c>
      <c r="P17" s="23">
        <v>0.082537447</v>
      </c>
      <c r="Q17" s="26">
        <f t="shared" si="2"/>
        <v>-0.01074879769</v>
      </c>
      <c r="R17" s="27">
        <f t="shared" si="3"/>
        <v>6.968275633</v>
      </c>
      <c r="S17" s="22"/>
      <c r="T17" s="28">
        <f t="shared" si="4"/>
        <v>36.83274664</v>
      </c>
      <c r="U17" s="28">
        <f t="shared" si="11"/>
        <v>36.83274664</v>
      </c>
      <c r="V17" s="23">
        <f t="shared" si="6"/>
        <v>1.01086559</v>
      </c>
      <c r="W17" s="22">
        <f t="shared" si="7"/>
        <v>1</v>
      </c>
      <c r="X17" s="22">
        <f t="shared" si="8"/>
        <v>12</v>
      </c>
      <c r="Y17" s="23">
        <v>-72.171913147</v>
      </c>
      <c r="Z17" s="107">
        <f t="shared" si="9"/>
        <v>1.011263536</v>
      </c>
      <c r="AA17" s="71">
        <f t="shared" si="10"/>
        <v>1</v>
      </c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-1.17545226130653E-4</v>
      </c>
      <c r="L18" s="24">
        <v>1.83109086659782E-6</v>
      </c>
      <c r="M18" s="23">
        <f t="shared" si="1"/>
        <v>-117.5452261</v>
      </c>
      <c r="N18" s="23">
        <v>0.123723653</v>
      </c>
      <c r="O18" s="23">
        <v>-118.965049744</v>
      </c>
      <c r="P18" s="23">
        <v>0.135586571</v>
      </c>
      <c r="Q18" s="26">
        <f t="shared" si="2"/>
        <v>0.01207895599</v>
      </c>
      <c r="R18" s="27">
        <f t="shared" si="3"/>
        <v>-7.735275116</v>
      </c>
      <c r="S18" s="22"/>
      <c r="T18" s="28">
        <f t="shared" si="4"/>
        <v>59.32073667</v>
      </c>
      <c r="U18" s="28">
        <f t="shared" si="11"/>
        <v>59.32073667</v>
      </c>
      <c r="V18" s="23">
        <f t="shared" si="6"/>
        <v>0.9880652039</v>
      </c>
      <c r="W18" s="22">
        <f t="shared" si="7"/>
        <v>1</v>
      </c>
      <c r="X18" s="22">
        <f t="shared" si="8"/>
        <v>13</v>
      </c>
      <c r="Y18" s="23">
        <v>-117.780075073</v>
      </c>
      <c r="Z18" s="107">
        <f t="shared" si="9"/>
        <v>0.9980060384</v>
      </c>
      <c r="AA18" s="71">
        <f t="shared" si="10"/>
        <v>1</v>
      </c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-1.72389499999999E-4</v>
      </c>
      <c r="L19" s="24">
        <v>2.23672853127353E-6</v>
      </c>
      <c r="M19" s="23">
        <f t="shared" si="1"/>
        <v>-172.3895</v>
      </c>
      <c r="N19" s="23">
        <v>0.181872884</v>
      </c>
      <c r="O19" s="23">
        <v>-175.667114258</v>
      </c>
      <c r="P19" s="23">
        <v>0.201745742</v>
      </c>
      <c r="Q19" s="26">
        <f t="shared" si="2"/>
        <v>0.01901284161</v>
      </c>
      <c r="R19" s="27">
        <f t="shared" si="3"/>
        <v>-12.06677437</v>
      </c>
      <c r="S19" s="22"/>
      <c r="T19" s="28">
        <f t="shared" si="4"/>
        <v>86.99861722</v>
      </c>
      <c r="U19" s="28">
        <f t="shared" si="11"/>
        <v>86.99861722</v>
      </c>
      <c r="V19" s="23">
        <f t="shared" si="6"/>
        <v>0.9813419019</v>
      </c>
      <c r="W19" s="22">
        <f t="shared" si="7"/>
        <v>1</v>
      </c>
      <c r="X19" s="22">
        <f t="shared" si="8"/>
        <v>14</v>
      </c>
      <c r="Y19" s="23">
        <v>-173.54888916</v>
      </c>
      <c r="Z19" s="107">
        <f t="shared" si="9"/>
        <v>0.9933195242</v>
      </c>
      <c r="AA19" s="71">
        <f t="shared" si="10"/>
        <v>1</v>
      </c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-2.28137168141593E-7</v>
      </c>
      <c r="L20" s="39">
        <v>1.74460788277453E-8</v>
      </c>
      <c r="M20" s="38">
        <f t="shared" si="1"/>
        <v>-0.2281371681</v>
      </c>
      <c r="N20" s="38">
        <v>9.1217E-4</v>
      </c>
      <c r="O20" s="38">
        <v>-0.218929723</v>
      </c>
      <c r="P20" s="38">
        <v>0.00101105</v>
      </c>
      <c r="Q20" s="40">
        <f t="shared" si="2"/>
        <v>-0.04035925061</v>
      </c>
      <c r="R20" s="41">
        <f t="shared" si="3"/>
        <v>6.761638164</v>
      </c>
      <c r="S20" s="37"/>
      <c r="T20" s="42">
        <f t="shared" si="4"/>
        <v>0.1151324075</v>
      </c>
      <c r="U20" s="42">
        <f t="shared" ref="U20:U26" si="12">K20/$K$21</f>
        <v>0.05146283402</v>
      </c>
      <c r="V20" s="38">
        <f t="shared" si="6"/>
        <v>1.042056624</v>
      </c>
      <c r="W20" s="37">
        <f t="shared" si="7"/>
        <v>1</v>
      </c>
      <c r="X20" s="37">
        <f t="shared" si="8"/>
        <v>15</v>
      </c>
      <c r="Y20" s="38">
        <v>-0.218572527</v>
      </c>
      <c r="Z20" s="124">
        <f t="shared" si="9"/>
        <v>1.043759576</v>
      </c>
      <c r="AA20" s="81">
        <f t="shared" si="10"/>
        <v>1</v>
      </c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-4.43304712041884E-6</v>
      </c>
      <c r="L21" s="39">
        <v>8.66387106842708E-8</v>
      </c>
      <c r="M21" s="38">
        <f t="shared" si="1"/>
        <v>-4.43304712</v>
      </c>
      <c r="N21" s="38">
        <v>0.006805155</v>
      </c>
      <c r="O21" s="38">
        <v>-4.454431057</v>
      </c>
      <c r="P21" s="38">
        <v>0.004724991</v>
      </c>
      <c r="Q21" s="40">
        <f t="shared" si="2"/>
        <v>0.00482375576</v>
      </c>
      <c r="R21" s="41">
        <f t="shared" si="3"/>
        <v>-2.581146796</v>
      </c>
      <c r="S21" s="37"/>
      <c r="T21" s="42">
        <f t="shared" si="4"/>
        <v>2.237195244</v>
      </c>
      <c r="U21" s="42">
        <f t="shared" si="12"/>
        <v>1</v>
      </c>
      <c r="V21" s="38">
        <f t="shared" si="6"/>
        <v>0.9951994012</v>
      </c>
      <c r="W21" s="37">
        <f t="shared" si="7"/>
        <v>1</v>
      </c>
      <c r="X21" s="37">
        <f t="shared" si="8"/>
        <v>16</v>
      </c>
      <c r="Y21" s="38">
        <v>-4.4456954</v>
      </c>
      <c r="Z21" s="124">
        <f t="shared" si="9"/>
        <v>0.9971549379</v>
      </c>
      <c r="AA21" s="81">
        <f t="shared" si="10"/>
        <v>1</v>
      </c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-3.20500999999999E-5</v>
      </c>
      <c r="L22" s="39">
        <v>4.56463115440421E-7</v>
      </c>
      <c r="M22" s="38">
        <f t="shared" si="1"/>
        <v>-32.0501</v>
      </c>
      <c r="N22" s="38">
        <v>0.047314291</v>
      </c>
      <c r="O22" s="38">
        <v>-32.046974182</v>
      </c>
      <c r="P22" s="38">
        <v>0.035491122</v>
      </c>
      <c r="Q22" s="40">
        <f t="shared" si="2"/>
        <v>-0.00009752911847</v>
      </c>
      <c r="R22" s="41">
        <f t="shared" si="3"/>
        <v>0.0528490919</v>
      </c>
      <c r="S22" s="37"/>
      <c r="T22" s="42">
        <f t="shared" si="4"/>
        <v>16.1745024</v>
      </c>
      <c r="U22" s="42">
        <f t="shared" si="12"/>
        <v>7.229812616</v>
      </c>
      <c r="V22" s="38">
        <f t="shared" si="6"/>
        <v>1.000097539</v>
      </c>
      <c r="W22" s="37">
        <f t="shared" si="7"/>
        <v>1</v>
      </c>
      <c r="X22" s="37">
        <f t="shared" si="8"/>
        <v>17</v>
      </c>
      <c r="Y22" s="38">
        <v>-31.773132324</v>
      </c>
      <c r="Z22" s="124">
        <f t="shared" si="9"/>
        <v>1.00871704</v>
      </c>
      <c r="AA22" s="81">
        <f t="shared" si="10"/>
        <v>1</v>
      </c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-8.39632E-5</v>
      </c>
      <c r="L23" s="39">
        <v>1.20649662287554E-6</v>
      </c>
      <c r="M23" s="38">
        <f t="shared" si="1"/>
        <v>-83.9632</v>
      </c>
      <c r="N23" s="38">
        <v>0.124571188</v>
      </c>
      <c r="O23" s="38">
        <v>-84.821037292</v>
      </c>
      <c r="P23" s="38">
        <v>0.09584766</v>
      </c>
      <c r="Q23" s="40">
        <f t="shared" si="2"/>
        <v>0.01021682466</v>
      </c>
      <c r="R23" s="41">
        <f t="shared" si="3"/>
        <v>-5.457762689</v>
      </c>
      <c r="S23" s="37"/>
      <c r="T23" s="42">
        <f t="shared" si="4"/>
        <v>42.3731277</v>
      </c>
      <c r="U23" s="42">
        <f t="shared" si="12"/>
        <v>18.94029044</v>
      </c>
      <c r="V23" s="38">
        <f t="shared" si="6"/>
        <v>0.9898865032</v>
      </c>
      <c r="W23" s="37">
        <f t="shared" si="7"/>
        <v>1</v>
      </c>
      <c r="X23" s="37">
        <f t="shared" si="8"/>
        <v>18</v>
      </c>
      <c r="Y23" s="38">
        <v>-84.050857544</v>
      </c>
      <c r="Z23" s="124">
        <f t="shared" si="9"/>
        <v>0.9989570892</v>
      </c>
      <c r="AA23" s="81">
        <f t="shared" si="10"/>
        <v>1</v>
      </c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-1.59896E-4</v>
      </c>
      <c r="L24" s="39">
        <v>2.25764335876008E-6</v>
      </c>
      <c r="M24" s="38">
        <f t="shared" si="1"/>
        <v>-159.896</v>
      </c>
      <c r="N24" s="38">
        <v>0.23827818</v>
      </c>
      <c r="O24" s="38">
        <v>-163.682312012</v>
      </c>
      <c r="P24" s="38">
        <v>0.185709257</v>
      </c>
      <c r="Q24" s="40">
        <f t="shared" si="2"/>
        <v>0.02367984197</v>
      </c>
      <c r="R24" s="41">
        <f t="shared" si="3"/>
        <v>-12.53330626</v>
      </c>
      <c r="S24" s="37"/>
      <c r="T24" s="42">
        <f t="shared" si="4"/>
        <v>80.69360895</v>
      </c>
      <c r="U24" s="42">
        <f t="shared" si="12"/>
        <v>36.06909551</v>
      </c>
      <c r="V24" s="38">
        <f t="shared" si="6"/>
        <v>0.976867922</v>
      </c>
      <c r="W24" s="37">
        <f t="shared" si="7"/>
        <v>1</v>
      </c>
      <c r="X24" s="37">
        <f t="shared" si="8"/>
        <v>19</v>
      </c>
      <c r="Y24" s="38">
        <v>-160.604858398</v>
      </c>
      <c r="Z24" s="124">
        <f t="shared" si="9"/>
        <v>0.9955863203</v>
      </c>
      <c r="AA24" s="81">
        <f t="shared" si="10"/>
        <v>1</v>
      </c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-2.70409999999999E-4</v>
      </c>
      <c r="L25" s="39">
        <v>3.21117052826787E-6</v>
      </c>
      <c r="M25" s="38">
        <f t="shared" si="1"/>
        <v>-270.41</v>
      </c>
      <c r="N25" s="38">
        <v>0.401399936</v>
      </c>
      <c r="O25" s="38">
        <v>-267.968933105</v>
      </c>
      <c r="P25" s="38">
        <v>0.305069785</v>
      </c>
      <c r="Q25" s="40">
        <f t="shared" si="2"/>
        <v>-0.009027280408</v>
      </c>
      <c r="R25" s="41">
        <f t="shared" si="3"/>
        <v>4.841733627</v>
      </c>
      <c r="S25" s="37"/>
      <c r="T25" s="42">
        <f t="shared" si="4"/>
        <v>136.4659453</v>
      </c>
      <c r="U25" s="42">
        <f t="shared" si="12"/>
        <v>60.99867487</v>
      </c>
      <c r="V25" s="38">
        <f t="shared" si="6"/>
        <v>1.009109515</v>
      </c>
      <c r="W25" s="37">
        <f t="shared" si="7"/>
        <v>1</v>
      </c>
      <c r="X25" s="37">
        <f t="shared" si="8"/>
        <v>20</v>
      </c>
      <c r="Y25" s="38">
        <v>-259.374603271</v>
      </c>
      <c r="Z25" s="124">
        <f t="shared" si="9"/>
        <v>1.042546173</v>
      </c>
      <c r="AA25" s="81">
        <f t="shared" si="10"/>
        <v>1</v>
      </c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-4.01896999999999E-4</v>
      </c>
      <c r="L26" s="39">
        <v>5.46963066357862E-6</v>
      </c>
      <c r="M26" s="38">
        <f t="shared" si="1"/>
        <v>-401.897</v>
      </c>
      <c r="N26" s="38">
        <v>0.599279632</v>
      </c>
      <c r="O26" s="38">
        <v>-395.045227051</v>
      </c>
      <c r="P26" s="38">
        <v>0.45392792</v>
      </c>
      <c r="Q26" s="40">
        <f t="shared" si="2"/>
        <v>-0.01704857948</v>
      </c>
      <c r="R26" s="41">
        <f t="shared" si="3"/>
        <v>9.113957976</v>
      </c>
      <c r="S26" s="37"/>
      <c r="T26" s="42">
        <f t="shared" si="4"/>
        <v>202.8225806</v>
      </c>
      <c r="U26" s="42">
        <f t="shared" si="12"/>
        <v>90.65931155</v>
      </c>
      <c r="V26" s="38">
        <f t="shared" si="6"/>
        <v>1.017344275</v>
      </c>
      <c r="W26" s="37">
        <f t="shared" si="7"/>
        <v>1</v>
      </c>
      <c r="X26" s="37">
        <f t="shared" si="8"/>
        <v>21</v>
      </c>
      <c r="Y26" s="38">
        <v>-376.446472168</v>
      </c>
      <c r="Z26" s="124">
        <f t="shared" si="9"/>
        <v>1.067607295</v>
      </c>
      <c r="AA26" s="81">
        <f t="shared" si="10"/>
        <v>1</v>
      </c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-3.96414508928571E-7</v>
      </c>
      <c r="L27" s="46">
        <v>3.31155936183832E-8</v>
      </c>
      <c r="M27" s="45">
        <f t="shared" si="1"/>
        <v>-0.3964145089</v>
      </c>
      <c r="N27" s="45">
        <v>0.001626132</v>
      </c>
      <c r="O27" s="45">
        <v>-0.389278919</v>
      </c>
      <c r="P27" s="45">
        <v>0.001797422</v>
      </c>
      <c r="Q27" s="47">
        <f t="shared" si="2"/>
        <v>-0.01800032483</v>
      </c>
      <c r="R27" s="48">
        <f t="shared" si="3"/>
        <v>2.943911824</v>
      </c>
      <c r="S27" s="44"/>
      <c r="T27" s="49">
        <f t="shared" si="4"/>
        <v>0.2000557698</v>
      </c>
      <c r="U27" s="49">
        <f t="shared" ref="U27:U33" si="13">K27/$K$28</f>
        <v>0.05042593944</v>
      </c>
      <c r="V27" s="45">
        <f t="shared" si="6"/>
        <v>1.018330276</v>
      </c>
      <c r="W27" s="44">
        <f t="shared" si="7"/>
        <v>1</v>
      </c>
      <c r="X27" s="44">
        <f t="shared" si="8"/>
        <v>22</v>
      </c>
      <c r="Y27" s="45">
        <v>-0.381696463</v>
      </c>
      <c r="Z27" s="136">
        <f t="shared" si="9"/>
        <v>1.038559555</v>
      </c>
      <c r="AA27" s="85">
        <f t="shared" si="10"/>
        <v>1</v>
      </c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-7.86132124352331E-6</v>
      </c>
      <c r="L28" s="46">
        <v>1.82371131483153E-7</v>
      </c>
      <c r="M28" s="45">
        <f t="shared" si="1"/>
        <v>-7.861321244</v>
      </c>
      <c r="N28" s="45">
        <v>0.011998103</v>
      </c>
      <c r="O28" s="45">
        <v>-7.941255569</v>
      </c>
      <c r="P28" s="45">
        <v>0.008399983</v>
      </c>
      <c r="Q28" s="47">
        <f t="shared" si="2"/>
        <v>0.01016805229</v>
      </c>
      <c r="R28" s="48">
        <f t="shared" si="3"/>
        <v>-5.457645234</v>
      </c>
      <c r="S28" s="44"/>
      <c r="T28" s="49">
        <f t="shared" si="4"/>
        <v>3.967318646</v>
      </c>
      <c r="U28" s="49">
        <f t="shared" si="13"/>
        <v>1</v>
      </c>
      <c r="V28" s="45">
        <f t="shared" si="6"/>
        <v>0.9899342963</v>
      </c>
      <c r="W28" s="44">
        <f t="shared" si="7"/>
        <v>1</v>
      </c>
      <c r="X28" s="44">
        <f t="shared" si="8"/>
        <v>23</v>
      </c>
      <c r="Y28" s="45">
        <v>-7.847747803</v>
      </c>
      <c r="Z28" s="136">
        <f t="shared" si="9"/>
        <v>1.001729597</v>
      </c>
      <c r="AA28" s="85">
        <f t="shared" si="10"/>
        <v>1</v>
      </c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-5.63699E-5</v>
      </c>
      <c r="L29" s="46">
        <v>8.78140246731291E-7</v>
      </c>
      <c r="M29" s="45">
        <f t="shared" si="1"/>
        <v>-56.3699</v>
      </c>
      <c r="N29" s="45">
        <v>0.083490013</v>
      </c>
      <c r="O29" s="45">
        <v>-56.99533844</v>
      </c>
      <c r="P29" s="45">
        <v>0.063095328</v>
      </c>
      <c r="Q29" s="47">
        <f t="shared" si="2"/>
        <v>0.01109525545</v>
      </c>
      <c r="R29" s="48">
        <f t="shared" si="3"/>
        <v>-5.976483572</v>
      </c>
      <c r="S29" s="44"/>
      <c r="T29" s="49">
        <f t="shared" si="4"/>
        <v>28.44780774</v>
      </c>
      <c r="U29" s="49">
        <f t="shared" si="13"/>
        <v>7.170537656</v>
      </c>
      <c r="V29" s="45">
        <f t="shared" si="6"/>
        <v>0.9890264984</v>
      </c>
      <c r="W29" s="44">
        <f t="shared" si="7"/>
        <v>1</v>
      </c>
      <c r="X29" s="44">
        <f t="shared" si="8"/>
        <v>24</v>
      </c>
      <c r="Y29" s="45">
        <v>-56.167186737</v>
      </c>
      <c r="Z29" s="136">
        <f t="shared" si="9"/>
        <v>1.003609105</v>
      </c>
      <c r="AA29" s="85">
        <f t="shared" si="10"/>
        <v>1</v>
      </c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-1.53299E-4</v>
      </c>
      <c r="L30" s="46">
        <v>2.31435987179211E-6</v>
      </c>
      <c r="M30" s="45">
        <f t="shared" si="1"/>
        <v>-153.299</v>
      </c>
      <c r="N30" s="45">
        <v>0.226693675</v>
      </c>
      <c r="O30" s="45">
        <v>-150.847671509</v>
      </c>
      <c r="P30" s="45">
        <v>0.17039584</v>
      </c>
      <c r="Q30" s="47">
        <f t="shared" si="2"/>
        <v>-0.01599050542</v>
      </c>
      <c r="R30" s="48">
        <f t="shared" si="3"/>
        <v>8.643837898</v>
      </c>
      <c r="S30" s="44"/>
      <c r="T30" s="49">
        <f t="shared" si="4"/>
        <v>77.36434656</v>
      </c>
      <c r="U30" s="49">
        <f t="shared" si="13"/>
        <v>19.5004116</v>
      </c>
      <c r="V30" s="45">
        <f t="shared" si="6"/>
        <v>1.016250357</v>
      </c>
      <c r="W30" s="44">
        <f t="shared" si="7"/>
        <v>1</v>
      </c>
      <c r="X30" s="44">
        <f t="shared" si="8"/>
        <v>25</v>
      </c>
      <c r="Y30" s="45">
        <v>-147.753295898</v>
      </c>
      <c r="Z30" s="136">
        <f t="shared" si="9"/>
        <v>1.037533539</v>
      </c>
      <c r="AA30" s="85">
        <f t="shared" si="10"/>
        <v>1</v>
      </c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-2.94449999999999E-4</v>
      </c>
      <c r="L31" s="46">
        <v>4.22038104459966E-6</v>
      </c>
      <c r="M31" s="45">
        <f t="shared" si="1"/>
        <v>-294.45</v>
      </c>
      <c r="N31" s="45">
        <v>0.436855705</v>
      </c>
      <c r="O31" s="45">
        <v>-288.801300049</v>
      </c>
      <c r="P31" s="45">
        <v>0.330149789</v>
      </c>
      <c r="Q31" s="47">
        <f t="shared" si="2"/>
        <v>-0.01918390202</v>
      </c>
      <c r="R31" s="48">
        <f t="shared" si="3"/>
        <v>10.3157884</v>
      </c>
      <c r="S31" s="44"/>
      <c r="T31" s="49">
        <f t="shared" si="4"/>
        <v>148.5980459</v>
      </c>
      <c r="U31" s="49">
        <f t="shared" si="13"/>
        <v>37.45553589</v>
      </c>
      <c r="V31" s="45">
        <f t="shared" si="6"/>
        <v>1.019559122</v>
      </c>
      <c r="W31" s="44">
        <f t="shared" si="7"/>
        <v>1</v>
      </c>
      <c r="X31" s="44">
        <f t="shared" si="8"/>
        <v>26</v>
      </c>
      <c r="Y31" s="45">
        <v>-278.408538818</v>
      </c>
      <c r="Z31" s="136">
        <f t="shared" si="9"/>
        <v>1.057618424</v>
      </c>
      <c r="AA31" s="85">
        <f t="shared" si="10"/>
        <v>1</v>
      </c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-4.80866999999999E-4</v>
      </c>
      <c r="L32" s="46">
        <v>6.79338738194813E-6</v>
      </c>
      <c r="M32" s="45">
        <f t="shared" si="1"/>
        <v>-480.867</v>
      </c>
      <c r="N32" s="45">
        <v>0.718794886</v>
      </c>
      <c r="O32" s="45">
        <v>-475.860198975</v>
      </c>
      <c r="P32" s="45">
        <v>0.542346285</v>
      </c>
      <c r="Q32" s="47">
        <f t="shared" si="2"/>
        <v>-0.01041202874</v>
      </c>
      <c r="R32" s="48">
        <f t="shared" si="3"/>
        <v>5.560347931</v>
      </c>
      <c r="S32" s="44"/>
      <c r="T32" s="49">
        <f t="shared" si="4"/>
        <v>242.6758246</v>
      </c>
      <c r="U32" s="49">
        <f t="shared" si="13"/>
        <v>61.16872535</v>
      </c>
      <c r="V32" s="45">
        <f t="shared" si="6"/>
        <v>1.01052158</v>
      </c>
      <c r="W32" s="44">
        <f t="shared" si="7"/>
        <v>1</v>
      </c>
      <c r="X32" s="44">
        <f t="shared" si="8"/>
        <v>27</v>
      </c>
      <c r="Y32" s="45">
        <v>-440.678314209</v>
      </c>
      <c r="Z32" s="136">
        <f t="shared" si="9"/>
        <v>1.09119733</v>
      </c>
      <c r="AA32" s="85">
        <f t="shared" si="10"/>
        <v>1</v>
      </c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-7.11214E-4</v>
      </c>
      <c r="L33" s="46">
        <v>9.94671683308495E-6</v>
      </c>
      <c r="M33" s="45">
        <f t="shared" si="1"/>
        <v>-711.214</v>
      </c>
      <c r="N33" s="45">
        <v>1.073734572</v>
      </c>
      <c r="O33" s="45">
        <v>-702.668457031</v>
      </c>
      <c r="P33" s="45">
        <v>0.806982968</v>
      </c>
      <c r="Q33" s="47">
        <f t="shared" si="2"/>
        <v>-0.01201543132</v>
      </c>
      <c r="R33" s="48">
        <f t="shared" si="3"/>
        <v>6.362181523</v>
      </c>
      <c r="S33" s="44"/>
      <c r="T33" s="49">
        <f t="shared" si="4"/>
        <v>358.9234527</v>
      </c>
      <c r="U33" s="49">
        <f t="shared" si="13"/>
        <v>90.47003398</v>
      </c>
      <c r="V33" s="45">
        <f t="shared" si="6"/>
        <v>1.012161558</v>
      </c>
      <c r="W33" s="44">
        <f t="shared" si="7"/>
        <v>1</v>
      </c>
      <c r="X33" s="44">
        <f t="shared" si="8"/>
        <v>28</v>
      </c>
      <c r="Y33" s="45">
        <v>-619.309387207</v>
      </c>
      <c r="Z33" s="136">
        <f t="shared" si="9"/>
        <v>1.148398546</v>
      </c>
      <c r="AA33" s="85">
        <f t="shared" si="10"/>
        <v>0</v>
      </c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-5.95071304347826E-7</v>
      </c>
      <c r="L34" s="53">
        <v>4.75697525052926E-8</v>
      </c>
      <c r="M34" s="52">
        <f t="shared" si="1"/>
        <v>-0.5950713043</v>
      </c>
      <c r="N34" s="52">
        <v>0.002483871</v>
      </c>
      <c r="O34" s="52">
        <v>-0.608113825</v>
      </c>
      <c r="P34" s="52">
        <v>0.002808472</v>
      </c>
      <c r="Q34" s="54">
        <f t="shared" si="2"/>
        <v>0.02191757619</v>
      </c>
      <c r="R34" s="55">
        <f t="shared" si="3"/>
        <v>-3.47866975</v>
      </c>
      <c r="S34" s="51"/>
      <c r="T34" s="56">
        <f t="shared" si="4"/>
        <v>0.3003105214</v>
      </c>
      <c r="U34" s="56">
        <f t="shared" ref="U34:U40" si="14">K34/$K$35</f>
        <v>0.04880466345</v>
      </c>
      <c r="V34" s="52">
        <f t="shared" si="6"/>
        <v>0.978552501</v>
      </c>
      <c r="W34" s="51">
        <f t="shared" si="7"/>
        <v>1</v>
      </c>
      <c r="X34" s="51">
        <f t="shared" si="8"/>
        <v>29</v>
      </c>
      <c r="Y34" s="52">
        <v>-0.581873417</v>
      </c>
      <c r="Z34" s="151">
        <f t="shared" si="9"/>
        <v>1.022681716</v>
      </c>
      <c r="AA34" s="87">
        <f t="shared" si="10"/>
        <v>1</v>
      </c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-1.21929189189189E-5</v>
      </c>
      <c r="L35" s="53">
        <v>2.52915862704419E-7</v>
      </c>
      <c r="M35" s="52">
        <f t="shared" si="1"/>
        <v>-12.19291892</v>
      </c>
      <c r="N35" s="52">
        <v>0.019056201</v>
      </c>
      <c r="O35" s="52">
        <v>-12.326163292</v>
      </c>
      <c r="P35" s="52">
        <v>0.013124974</v>
      </c>
      <c r="Q35" s="54">
        <f t="shared" si="2"/>
        <v>0.01092801272</v>
      </c>
      <c r="R35" s="55">
        <f t="shared" si="3"/>
        <v>-5.758484178</v>
      </c>
      <c r="S35" s="51"/>
      <c r="T35" s="56">
        <f t="shared" si="4"/>
        <v>6.1533161</v>
      </c>
      <c r="U35" s="56">
        <f t="shared" si="14"/>
        <v>1</v>
      </c>
      <c r="V35" s="52">
        <f t="shared" si="6"/>
        <v>0.9891901178</v>
      </c>
      <c r="W35" s="51">
        <f t="shared" si="7"/>
        <v>1</v>
      </c>
      <c r="X35" s="51">
        <f t="shared" si="8"/>
        <v>30</v>
      </c>
      <c r="Y35" s="52">
        <v>-12.218869209</v>
      </c>
      <c r="Z35" s="151">
        <f t="shared" si="9"/>
        <v>0.9978762118</v>
      </c>
      <c r="AA35" s="87">
        <f t="shared" si="10"/>
        <v>1</v>
      </c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-8.94450999999999E-5</v>
      </c>
      <c r="L36" s="53">
        <v>1.47926373646493E-6</v>
      </c>
      <c r="M36" s="52">
        <f t="shared" si="1"/>
        <v>-89.4451</v>
      </c>
      <c r="N36" s="52">
        <v>0.132493043</v>
      </c>
      <c r="O36" s="52">
        <v>-88.537780762</v>
      </c>
      <c r="P36" s="52">
        <v>0.098586451</v>
      </c>
      <c r="Q36" s="54">
        <f t="shared" si="2"/>
        <v>-0.01014386744</v>
      </c>
      <c r="R36" s="55">
        <f t="shared" si="3"/>
        <v>5.493993376</v>
      </c>
      <c r="S36" s="51"/>
      <c r="T36" s="56">
        <f t="shared" si="4"/>
        <v>45.13964028</v>
      </c>
      <c r="U36" s="56">
        <f t="shared" si="14"/>
        <v>7.335823407</v>
      </c>
      <c r="V36" s="52">
        <f t="shared" si="6"/>
        <v>1.01024782</v>
      </c>
      <c r="W36" s="51">
        <f t="shared" si="7"/>
        <v>1</v>
      </c>
      <c r="X36" s="51">
        <f t="shared" si="8"/>
        <v>31</v>
      </c>
      <c r="Y36" s="52">
        <v>-86.832015991</v>
      </c>
      <c r="Z36" s="151">
        <f t="shared" si="9"/>
        <v>1.030093555</v>
      </c>
      <c r="AA36" s="87">
        <f t="shared" si="10"/>
        <v>1</v>
      </c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-2.3864E-4</v>
      </c>
      <c r="L37" s="53">
        <v>3.2256547373903E-6</v>
      </c>
      <c r="M37" s="52">
        <f t="shared" si="1"/>
        <v>-238.64</v>
      </c>
      <c r="N37" s="52">
        <v>0.354407658</v>
      </c>
      <c r="O37" s="52">
        <v>-234.721115112</v>
      </c>
      <c r="P37" s="52">
        <v>0.2662435</v>
      </c>
      <c r="Q37" s="54">
        <f t="shared" si="2"/>
        <v>-0.01642174358</v>
      </c>
      <c r="R37" s="55">
        <f t="shared" si="3"/>
        <v>8.840805788</v>
      </c>
      <c r="S37" s="51"/>
      <c r="T37" s="56">
        <f t="shared" si="4"/>
        <v>120.4327991</v>
      </c>
      <c r="U37" s="56">
        <f t="shared" si="14"/>
        <v>19.57201566</v>
      </c>
      <c r="V37" s="52">
        <f t="shared" si="6"/>
        <v>1.01669592</v>
      </c>
      <c r="W37" s="51">
        <f t="shared" si="7"/>
        <v>1</v>
      </c>
      <c r="X37" s="51">
        <f t="shared" si="8"/>
        <v>32</v>
      </c>
      <c r="Y37" s="52">
        <v>-225.908889771</v>
      </c>
      <c r="Z37" s="151">
        <f t="shared" si="9"/>
        <v>1.056355065</v>
      </c>
      <c r="AA37" s="87">
        <f t="shared" si="10"/>
        <v>1</v>
      </c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-4.58099E-4</v>
      </c>
      <c r="L38" s="53">
        <v>6.66785587878157E-6</v>
      </c>
      <c r="M38" s="52">
        <f t="shared" si="1"/>
        <v>-458.099</v>
      </c>
      <c r="N38" s="52">
        <v>0.686309323</v>
      </c>
      <c r="O38" s="52">
        <v>-452.130249023</v>
      </c>
      <c r="P38" s="52">
        <v>0.515859046</v>
      </c>
      <c r="Q38" s="54">
        <f t="shared" si="2"/>
        <v>-0.01302939098</v>
      </c>
      <c r="R38" s="55">
        <f t="shared" si="3"/>
        <v>6.95202155</v>
      </c>
      <c r="S38" s="51"/>
      <c r="T38" s="56">
        <f t="shared" si="4"/>
        <v>231.1856555</v>
      </c>
      <c r="U38" s="56">
        <f t="shared" si="14"/>
        <v>37.57090513</v>
      </c>
      <c r="V38" s="52">
        <f t="shared" si="6"/>
        <v>1.013201397</v>
      </c>
      <c r="W38" s="51">
        <f t="shared" si="7"/>
        <v>1</v>
      </c>
      <c r="X38" s="51">
        <f t="shared" si="8"/>
        <v>33</v>
      </c>
      <c r="Y38" s="52">
        <v>-416.42086792</v>
      </c>
      <c r="Z38" s="151">
        <f t="shared" si="9"/>
        <v>1.10008656</v>
      </c>
      <c r="AA38" s="87">
        <f t="shared" si="10"/>
        <v>1</v>
      </c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-7.4931E-4</v>
      </c>
      <c r="L39" s="53">
        <v>1.06558894418992E-5</v>
      </c>
      <c r="M39" s="52">
        <f t="shared" si="1"/>
        <v>-749.31</v>
      </c>
      <c r="N39" s="52">
        <v>1.132271446</v>
      </c>
      <c r="O39" s="52">
        <v>-742.878234863</v>
      </c>
      <c r="P39" s="52">
        <v>0.84741607</v>
      </c>
      <c r="Q39" s="54">
        <f t="shared" si="2"/>
        <v>-0.008583583746</v>
      </c>
      <c r="R39" s="55">
        <f t="shared" si="3"/>
        <v>4.547771223</v>
      </c>
      <c r="S39" s="51"/>
      <c r="T39" s="56">
        <f t="shared" si="4"/>
        <v>378.1490977</v>
      </c>
      <c r="U39" s="56">
        <f t="shared" si="14"/>
        <v>61.45452168</v>
      </c>
      <c r="V39" s="52">
        <f t="shared" si="6"/>
        <v>1.0086579</v>
      </c>
      <c r="W39" s="51">
        <f t="shared" si="7"/>
        <v>1</v>
      </c>
      <c r="X39" s="51">
        <f t="shared" si="8"/>
        <v>34</v>
      </c>
      <c r="Y39" s="52">
        <v>-632.167541504</v>
      </c>
      <c r="Z39" s="151">
        <f t="shared" si="9"/>
        <v>1.185302868</v>
      </c>
      <c r="AA39" s="87">
        <f t="shared" si="10"/>
        <v>0</v>
      </c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-0.00109769999999999</v>
      </c>
      <c r="L40" s="53">
        <v>1.69231775796964E-5</v>
      </c>
      <c r="M40" s="52">
        <f t="shared" si="1"/>
        <v>-1097.7</v>
      </c>
      <c r="N40" s="52">
        <v>1.695010406</v>
      </c>
      <c r="O40" s="52">
        <v>-1101.666503906</v>
      </c>
      <c r="P40" s="52">
        <v>1.260910888</v>
      </c>
      <c r="Q40" s="54">
        <f t="shared" si="2"/>
        <v>0.003613468075</v>
      </c>
      <c r="R40" s="55">
        <f t="shared" si="3"/>
        <v>-1.877571815</v>
      </c>
      <c r="S40" s="51"/>
      <c r="T40" s="56">
        <f t="shared" si="4"/>
        <v>553.9686705</v>
      </c>
      <c r="U40" s="56">
        <f t="shared" si="14"/>
        <v>90.02766338</v>
      </c>
      <c r="V40" s="52">
        <f t="shared" si="6"/>
        <v>0.9963995421</v>
      </c>
      <c r="W40" s="51">
        <f t="shared" si="7"/>
        <v>1</v>
      </c>
      <c r="X40" s="51">
        <f t="shared" si="8"/>
        <v>35</v>
      </c>
      <c r="Y40" s="52">
        <v>-839.53503418</v>
      </c>
      <c r="Z40" s="151">
        <f t="shared" si="9"/>
        <v>1.307509461</v>
      </c>
      <c r="AA40" s="87">
        <f t="shared" si="10"/>
        <v>0</v>
      </c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-8.60088E-7</v>
      </c>
      <c r="L41" s="60">
        <v>7.45554016690949E-8</v>
      </c>
      <c r="M41" s="59">
        <f t="shared" si="1"/>
        <v>-0.860088</v>
      </c>
      <c r="N41" s="59">
        <v>0.003639394</v>
      </c>
      <c r="O41" s="59">
        <v>-0.875718892</v>
      </c>
      <c r="P41" s="59">
        <v>0.004044199</v>
      </c>
      <c r="Q41" s="61">
        <f t="shared" si="2"/>
        <v>0.01817359619</v>
      </c>
      <c r="R41" s="62">
        <f t="shared" si="3"/>
        <v>-2.872979456</v>
      </c>
      <c r="S41" s="58"/>
      <c r="T41" s="63">
        <f t="shared" si="4"/>
        <v>0.4340546651</v>
      </c>
      <c r="U41" s="63">
        <f t="shared" ref="U41:U47" si="15">K41/$K$42</f>
        <v>0.04855364488</v>
      </c>
      <c r="V41" s="59">
        <f t="shared" si="6"/>
        <v>0.9821507882</v>
      </c>
      <c r="W41" s="58">
        <f t="shared" si="7"/>
        <v>1</v>
      </c>
      <c r="X41" s="58">
        <f t="shared" si="8"/>
        <v>36</v>
      </c>
      <c r="Y41" s="59">
        <v>-0.810721159</v>
      </c>
      <c r="Z41" s="161">
        <f t="shared" si="9"/>
        <v>1.060892503</v>
      </c>
      <c r="AA41" s="89">
        <f t="shared" si="10"/>
        <v>1</v>
      </c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-1.77141798941799E-5</v>
      </c>
      <c r="L42" s="60">
        <v>3.51012198093779E-7</v>
      </c>
      <c r="M42" s="59">
        <f t="shared" si="1"/>
        <v>-17.71417989</v>
      </c>
      <c r="N42" s="59">
        <v>0.027397305</v>
      </c>
      <c r="O42" s="59">
        <v>-17.817724228</v>
      </c>
      <c r="P42" s="59">
        <v>0.018899962</v>
      </c>
      <c r="Q42" s="61">
        <f t="shared" si="2"/>
        <v>0.005845279569</v>
      </c>
      <c r="R42" s="62">
        <f t="shared" si="3"/>
        <v>-3.110939492</v>
      </c>
      <c r="S42" s="58"/>
      <c r="T42" s="63">
        <f t="shared" si="4"/>
        <v>8.939692708</v>
      </c>
      <c r="U42" s="63">
        <f t="shared" si="15"/>
        <v>1</v>
      </c>
      <c r="V42" s="59">
        <f t="shared" si="6"/>
        <v>0.9941886892</v>
      </c>
      <c r="W42" s="58">
        <f t="shared" si="7"/>
        <v>1</v>
      </c>
      <c r="X42" s="58">
        <f t="shared" si="8"/>
        <v>37</v>
      </c>
      <c r="Y42" s="59">
        <v>-17.323890686</v>
      </c>
      <c r="Z42" s="161">
        <f t="shared" si="9"/>
        <v>1.022528958</v>
      </c>
      <c r="AA42" s="89">
        <f t="shared" si="10"/>
        <v>1</v>
      </c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-1.28871E-4</v>
      </c>
      <c r="L43" s="60">
        <v>1.69051393775306E-6</v>
      </c>
      <c r="M43" s="59">
        <f t="shared" si="1"/>
        <v>-128.871</v>
      </c>
      <c r="N43" s="59">
        <v>0.191568937</v>
      </c>
      <c r="O43" s="59">
        <v>-128.187896729</v>
      </c>
      <c r="P43" s="59">
        <v>0.141964489</v>
      </c>
      <c r="Q43" s="61">
        <f t="shared" si="2"/>
        <v>-0.005300674869</v>
      </c>
      <c r="R43" s="62">
        <f t="shared" si="3"/>
        <v>2.864912087</v>
      </c>
      <c r="S43" s="58"/>
      <c r="T43" s="63">
        <f t="shared" si="4"/>
        <v>65.03643667</v>
      </c>
      <c r="U43" s="63">
        <f t="shared" si="15"/>
        <v>7.275019265</v>
      </c>
      <c r="V43" s="59">
        <f t="shared" si="6"/>
        <v>1.005328922</v>
      </c>
      <c r="W43" s="58">
        <f t="shared" si="7"/>
        <v>1</v>
      </c>
      <c r="X43" s="58">
        <f t="shared" si="8"/>
        <v>38</v>
      </c>
      <c r="Y43" s="59">
        <v>-122.743331909</v>
      </c>
      <c r="Z43" s="161">
        <f t="shared" si="9"/>
        <v>1.049922615</v>
      </c>
      <c r="AA43" s="89">
        <f t="shared" si="10"/>
        <v>1</v>
      </c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-3.42920999999999E-4</v>
      </c>
      <c r="L44" s="60">
        <v>4.86953620258468E-6</v>
      </c>
      <c r="M44" s="59">
        <f t="shared" si="1"/>
        <v>-342.921</v>
      </c>
      <c r="N44" s="59">
        <v>0.51298496</v>
      </c>
      <c r="O44" s="59">
        <v>-339.28414917</v>
      </c>
      <c r="P44" s="59">
        <v>0.38339064</v>
      </c>
      <c r="Q44" s="61">
        <f t="shared" si="2"/>
        <v>-0.01060550631</v>
      </c>
      <c r="R44" s="62">
        <f t="shared" si="3"/>
        <v>5.678823767</v>
      </c>
      <c r="S44" s="58"/>
      <c r="T44" s="63">
        <f t="shared" si="4"/>
        <v>173.0595704</v>
      </c>
      <c r="U44" s="63">
        <f t="shared" si="15"/>
        <v>19.35855919</v>
      </c>
      <c r="V44" s="59">
        <f t="shared" si="6"/>
        <v>1.010719189</v>
      </c>
      <c r="W44" s="58">
        <f t="shared" si="7"/>
        <v>1</v>
      </c>
      <c r="X44" s="58">
        <f t="shared" si="8"/>
        <v>39</v>
      </c>
      <c r="Y44" s="59">
        <v>-313.71081543</v>
      </c>
      <c r="Z44" s="161">
        <f t="shared" si="9"/>
        <v>1.093111819</v>
      </c>
      <c r="AA44" s="89">
        <f t="shared" si="10"/>
        <v>1</v>
      </c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-6.55749E-4</v>
      </c>
      <c r="L45" s="60">
        <v>1.02152934961322E-5</v>
      </c>
      <c r="M45" s="59">
        <f t="shared" si="1"/>
        <v>-655.749</v>
      </c>
      <c r="N45" s="59">
        <v>0.99575251</v>
      </c>
      <c r="O45" s="59">
        <v>-654.729248047</v>
      </c>
      <c r="P45" s="59">
        <v>0.742837026</v>
      </c>
      <c r="Q45" s="61">
        <f t="shared" si="2"/>
        <v>-0.001555094942</v>
      </c>
      <c r="R45" s="62">
        <f t="shared" si="3"/>
        <v>0.8208525648</v>
      </c>
      <c r="S45" s="58"/>
      <c r="T45" s="63">
        <f t="shared" si="4"/>
        <v>330.9323146</v>
      </c>
      <c r="U45" s="63">
        <f t="shared" si="15"/>
        <v>37.01830985</v>
      </c>
      <c r="V45" s="59">
        <f t="shared" si="6"/>
        <v>1.001557517</v>
      </c>
      <c r="W45" s="58">
        <f t="shared" si="7"/>
        <v>1</v>
      </c>
      <c r="X45" s="58">
        <f t="shared" si="8"/>
        <v>40</v>
      </c>
      <c r="Y45" s="59">
        <v>-556.813354492</v>
      </c>
      <c r="Z45" s="161">
        <f t="shared" si="9"/>
        <v>1.177681883</v>
      </c>
      <c r="AA45" s="89">
        <f t="shared" si="10"/>
        <v>0</v>
      </c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-0.00106189</v>
      </c>
      <c r="L46" s="60">
        <v>1.68276438029688E-5</v>
      </c>
      <c r="M46" s="59">
        <f t="shared" si="1"/>
        <v>-1061.89</v>
      </c>
      <c r="N46" s="59">
        <v>1.645973037</v>
      </c>
      <c r="O46" s="59">
        <v>-1071.875732422</v>
      </c>
      <c r="P46" s="59">
        <v>1.220279141</v>
      </c>
      <c r="Q46" s="61">
        <f t="shared" si="2"/>
        <v>0.009403735248</v>
      </c>
      <c r="R46" s="62">
        <f t="shared" si="3"/>
        <v>-4.873520021</v>
      </c>
      <c r="S46" s="58"/>
      <c r="T46" s="63">
        <f t="shared" si="4"/>
        <v>535.8966854</v>
      </c>
      <c r="U46" s="63">
        <f t="shared" si="15"/>
        <v>59.94576132</v>
      </c>
      <c r="V46" s="59">
        <f t="shared" si="6"/>
        <v>0.9906838712</v>
      </c>
      <c r="W46" s="58">
        <f t="shared" si="7"/>
        <v>1</v>
      </c>
      <c r="X46" s="58">
        <f t="shared" si="8"/>
        <v>41</v>
      </c>
      <c r="Y46" s="59">
        <v>-800.675537109</v>
      </c>
      <c r="Z46" s="161">
        <f t="shared" si="9"/>
        <v>1.326242592</v>
      </c>
      <c r="AA46" s="89">
        <f t="shared" si="10"/>
        <v>0</v>
      </c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-0.00155863</v>
      </c>
      <c r="L47" s="60">
        <v>2.71574738117959E-5</v>
      </c>
      <c r="M47" s="59">
        <f t="shared" si="1"/>
        <v>-1558.63</v>
      </c>
      <c r="N47" s="59">
        <v>2.461758467</v>
      </c>
      <c r="O47" s="59">
        <v>-1580.180786133</v>
      </c>
      <c r="P47" s="59">
        <v>1.815711678</v>
      </c>
      <c r="Q47" s="61">
        <f t="shared" si="2"/>
        <v>0.01382674922</v>
      </c>
      <c r="R47" s="62">
        <f t="shared" si="3"/>
        <v>-7.045199981</v>
      </c>
      <c r="S47" s="58"/>
      <c r="T47" s="63">
        <f t="shared" si="4"/>
        <v>786.5830272</v>
      </c>
      <c r="U47" s="63">
        <f t="shared" si="15"/>
        <v>87.98770303</v>
      </c>
      <c r="V47" s="59">
        <f t="shared" si="6"/>
        <v>0.9863618224</v>
      </c>
      <c r="W47" s="58">
        <f t="shared" si="7"/>
        <v>1</v>
      </c>
      <c r="X47" s="58">
        <f t="shared" si="8"/>
        <v>42</v>
      </c>
      <c r="Y47" s="59">
        <v>-978.548095703</v>
      </c>
      <c r="Z47" s="161">
        <f t="shared" si="9"/>
        <v>1.592798562</v>
      </c>
      <c r="AA47" s="89">
        <f t="shared" si="10"/>
        <v>0</v>
      </c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-1.39449638826185E-6</v>
      </c>
      <c r="L48" s="96">
        <v>1.26862510233571E-7</v>
      </c>
      <c r="M48" s="95">
        <f t="shared" si="1"/>
        <v>-1.394496388</v>
      </c>
      <c r="N48" s="95">
        <v>0.006383543</v>
      </c>
      <c r="O48" s="95">
        <v>-1.557115674</v>
      </c>
      <c r="P48" s="95">
        <v>0.007189687</v>
      </c>
      <c r="Q48" s="97">
        <f t="shared" si="2"/>
        <v>0.1166150641</v>
      </c>
      <c r="R48" s="98">
        <f t="shared" si="3"/>
        <v>-16.91372301</v>
      </c>
      <c r="S48" s="94"/>
      <c r="T48" s="99">
        <f t="shared" si="4"/>
        <v>0.703750852</v>
      </c>
      <c r="U48" s="99">
        <f t="shared" ref="U48:U54" si="16">K48/$K$49</f>
        <v>0.04453657316</v>
      </c>
      <c r="V48" s="95">
        <f t="shared" si="6"/>
        <v>0.8955637732</v>
      </c>
      <c r="W48" s="94">
        <f t="shared" si="7"/>
        <v>0</v>
      </c>
      <c r="X48" s="94">
        <f t="shared" si="8"/>
        <v>43</v>
      </c>
      <c r="Y48" s="95">
        <v>-1.307013512</v>
      </c>
      <c r="Z48" s="169">
        <f t="shared" si="9"/>
        <v>1.066933414</v>
      </c>
      <c r="AA48" s="100">
        <f t="shared" si="10"/>
        <v>1</v>
      </c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-3.13112637362637E-5</v>
      </c>
      <c r="L49" s="96">
        <v>6.71942057735575E-7</v>
      </c>
      <c r="M49" s="95">
        <f t="shared" si="1"/>
        <v>-31.31126374</v>
      </c>
      <c r="N49" s="95">
        <v>0.049827247</v>
      </c>
      <c r="O49" s="95">
        <v>-31.765022278</v>
      </c>
      <c r="P49" s="95">
        <v>0.033599933</v>
      </c>
      <c r="Q49" s="97">
        <f t="shared" si="2"/>
        <v>0.01449186291</v>
      </c>
      <c r="R49" s="98">
        <f t="shared" si="3"/>
        <v>-7.550372447</v>
      </c>
      <c r="S49" s="94"/>
      <c r="T49" s="99">
        <f t="shared" si="4"/>
        <v>15.80163901</v>
      </c>
      <c r="U49" s="99">
        <f t="shared" si="16"/>
        <v>1</v>
      </c>
      <c r="V49" s="95">
        <f t="shared" si="6"/>
        <v>0.9857151512</v>
      </c>
      <c r="W49" s="94">
        <f t="shared" si="7"/>
        <v>1</v>
      </c>
      <c r="X49" s="94">
        <f t="shared" si="8"/>
        <v>44</v>
      </c>
      <c r="Y49" s="95">
        <v>-29.571968079</v>
      </c>
      <c r="Z49" s="169">
        <f t="shared" si="9"/>
        <v>1.058815688</v>
      </c>
      <c r="AA49" s="100">
        <f t="shared" si="10"/>
        <v>1</v>
      </c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-2.28353E-4</v>
      </c>
      <c r="L50" s="96">
        <v>3.2865644768673E-6</v>
      </c>
      <c r="M50" s="95">
        <f t="shared" si="1"/>
        <v>-228.353</v>
      </c>
      <c r="N50" s="95">
        <v>0.342983372</v>
      </c>
      <c r="O50" s="95">
        <v>-227.98135376</v>
      </c>
      <c r="P50" s="95">
        <v>0.252381314</v>
      </c>
      <c r="Q50" s="97">
        <f t="shared" si="2"/>
        <v>-0.001627507587</v>
      </c>
      <c r="R50" s="98">
        <f t="shared" si="3"/>
        <v>0.8727507224</v>
      </c>
      <c r="S50" s="94"/>
      <c r="T50" s="99">
        <f t="shared" si="4"/>
        <v>115.2413299</v>
      </c>
      <c r="U50" s="99">
        <f t="shared" si="16"/>
        <v>7.292998517</v>
      </c>
      <c r="V50" s="95">
        <f t="shared" si="6"/>
        <v>1.001630161</v>
      </c>
      <c r="W50" s="94">
        <f t="shared" si="7"/>
        <v>1</v>
      </c>
      <c r="X50" s="94">
        <f t="shared" si="8"/>
        <v>45</v>
      </c>
      <c r="Y50" s="95">
        <v>-203.764343262</v>
      </c>
      <c r="Z50" s="169">
        <f t="shared" si="9"/>
        <v>1.120672029</v>
      </c>
      <c r="AA50" s="100">
        <f t="shared" si="10"/>
        <v>0</v>
      </c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-6.01936E-4</v>
      </c>
      <c r="L51" s="96">
        <v>9.20949795185668E-6</v>
      </c>
      <c r="M51" s="95">
        <f t="shared" si="1"/>
        <v>-601.936</v>
      </c>
      <c r="N51" s="95">
        <v>0.919778109</v>
      </c>
      <c r="O51" s="95">
        <v>-603.390686035</v>
      </c>
      <c r="P51" s="95">
        <v>0.68158336</v>
      </c>
      <c r="Q51" s="97">
        <f t="shared" si="2"/>
        <v>0.002416678908</v>
      </c>
      <c r="R51" s="98">
        <f t="shared" si="3"/>
        <v>-1.270699509</v>
      </c>
      <c r="S51" s="94"/>
      <c r="T51" s="99">
        <f t="shared" si="4"/>
        <v>303.7748799</v>
      </c>
      <c r="U51" s="99">
        <f t="shared" si="16"/>
        <v>19.22426399</v>
      </c>
      <c r="V51" s="95">
        <f t="shared" si="6"/>
        <v>0.9975891473</v>
      </c>
      <c r="W51" s="94">
        <f t="shared" si="7"/>
        <v>1</v>
      </c>
      <c r="X51" s="94">
        <f t="shared" si="8"/>
        <v>46</v>
      </c>
      <c r="Y51" s="95">
        <v>-489.315246582</v>
      </c>
      <c r="Z51" s="169">
        <f t="shared" si="9"/>
        <v>1.230159911</v>
      </c>
      <c r="AA51" s="100">
        <f t="shared" si="10"/>
        <v>0</v>
      </c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-0.00114280999999999</v>
      </c>
      <c r="L52" s="96">
        <v>1.87404898440771E-5</v>
      </c>
      <c r="M52" s="95">
        <f t="shared" si="1"/>
        <v>-1142.81</v>
      </c>
      <c r="N52" s="95">
        <v>1.791687139</v>
      </c>
      <c r="O52" s="95">
        <v>-1155.205200195</v>
      </c>
      <c r="P52" s="95">
        <v>1.320599158</v>
      </c>
      <c r="Q52" s="97">
        <f t="shared" si="2"/>
        <v>0.01084624758</v>
      </c>
      <c r="R52" s="98">
        <f t="shared" si="3"/>
        <v>-5.568908316</v>
      </c>
      <c r="S52" s="94"/>
      <c r="T52" s="99">
        <f t="shared" si="4"/>
        <v>576.7340224</v>
      </c>
      <c r="U52" s="99">
        <f t="shared" si="16"/>
        <v>36.49836716</v>
      </c>
      <c r="V52" s="95">
        <f t="shared" si="6"/>
        <v>0.9892701312</v>
      </c>
      <c r="W52" s="94">
        <f t="shared" si="7"/>
        <v>1</v>
      </c>
      <c r="X52" s="94">
        <f t="shared" si="8"/>
        <v>47</v>
      </c>
      <c r="Y52" s="95">
        <v>-773.629394531</v>
      </c>
      <c r="Z52" s="169">
        <f t="shared" si="9"/>
        <v>1.477206021</v>
      </c>
      <c r="AA52" s="100">
        <f t="shared" si="10"/>
        <v>0</v>
      </c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-0.00184981</v>
      </c>
      <c r="L53" s="96">
        <v>3.0109461917638E-5</v>
      </c>
      <c r="M53" s="95">
        <f t="shared" si="1"/>
        <v>-1849.81</v>
      </c>
      <c r="N53" s="95">
        <v>2.949150719</v>
      </c>
      <c r="O53" s="95">
        <v>-1903.441040039</v>
      </c>
      <c r="P53" s="95">
        <v>2.16938514</v>
      </c>
      <c r="Q53" s="97">
        <f t="shared" si="2"/>
        <v>0.028992729</v>
      </c>
      <c r="R53" s="98">
        <f t="shared" si="3"/>
        <v>-14.64884945</v>
      </c>
      <c r="S53" s="94"/>
      <c r="T53" s="99">
        <f t="shared" si="4"/>
        <v>933.5308248</v>
      </c>
      <c r="U53" s="99">
        <f t="shared" si="16"/>
        <v>59.07810095</v>
      </c>
      <c r="V53" s="95">
        <f t="shared" si="6"/>
        <v>0.9718241653</v>
      </c>
      <c r="W53" s="94">
        <f t="shared" si="7"/>
        <v>1</v>
      </c>
      <c r="X53" s="94">
        <f t="shared" si="8"/>
        <v>48</v>
      </c>
      <c r="Y53" s="95">
        <v>-940.433776855</v>
      </c>
      <c r="Z53" s="169">
        <f t="shared" si="9"/>
        <v>1.966975289</v>
      </c>
      <c r="AA53" s="100">
        <f t="shared" si="10"/>
        <v>0</v>
      </c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-0.00269246999999999</v>
      </c>
      <c r="L54" s="96">
        <v>4.21372109358764E-5</v>
      </c>
      <c r="M54" s="95">
        <f t="shared" si="1"/>
        <v>-2692.47</v>
      </c>
      <c r="N54" s="95">
        <v>4.373123243</v>
      </c>
      <c r="O54" s="95">
        <v>-2810.673828125</v>
      </c>
      <c r="P54" s="95">
        <v>3.227931872</v>
      </c>
      <c r="Q54" s="97">
        <f t="shared" si="2"/>
        <v>0.04390163238</v>
      </c>
      <c r="R54" s="98">
        <f t="shared" si="3"/>
        <v>-21.74696843</v>
      </c>
      <c r="S54" s="94"/>
      <c r="T54" s="99">
        <f t="shared" si="4"/>
        <v>1358.790222</v>
      </c>
      <c r="U54" s="99">
        <f t="shared" si="16"/>
        <v>85.9904609</v>
      </c>
      <c r="V54" s="95">
        <f t="shared" si="6"/>
        <v>0.9579446655</v>
      </c>
      <c r="W54" s="94">
        <f t="shared" si="7"/>
        <v>1</v>
      </c>
      <c r="X54" s="94">
        <f t="shared" si="8"/>
        <v>49</v>
      </c>
      <c r="Y54" s="95">
        <v>-949.841552734</v>
      </c>
      <c r="Z54" s="169">
        <f t="shared" si="9"/>
        <v>2.834651729</v>
      </c>
      <c r="AA54" s="100">
        <f t="shared" si="10"/>
        <v>0</v>
      </c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-1.91859681093394E-6</v>
      </c>
      <c r="L55" s="103">
        <v>1.946553542301E-7</v>
      </c>
      <c r="M55" s="102">
        <f t="shared" si="1"/>
        <v>-1.918596811</v>
      </c>
      <c r="N55" s="102">
        <v>0.009651953</v>
      </c>
      <c r="O55" s="102">
        <v>-2.432455301</v>
      </c>
      <c r="P55" s="102">
        <v>0.011233887</v>
      </c>
      <c r="Q55" s="104">
        <f t="shared" si="2"/>
        <v>0.2678303681</v>
      </c>
      <c r="R55" s="106">
        <f t="shared" si="3"/>
        <v>-34.69480157</v>
      </c>
      <c r="S55" s="101"/>
      <c r="T55" s="108">
        <f t="shared" si="4"/>
        <v>0.9682449892</v>
      </c>
      <c r="U55" s="108">
        <f t="shared" ref="U55:U61" si="17">K55/$K$56</f>
        <v>0.03975317438</v>
      </c>
      <c r="V55" s="102">
        <f t="shared" si="6"/>
        <v>0.7887490513</v>
      </c>
      <c r="W55" s="101">
        <f t="shared" si="7"/>
        <v>0</v>
      </c>
      <c r="X55" s="101">
        <f t="shared" si="8"/>
        <v>50</v>
      </c>
      <c r="Y55" s="102">
        <v>-1.75107789</v>
      </c>
      <c r="Z55" s="172">
        <f t="shared" si="9"/>
        <v>1.095666173</v>
      </c>
      <c r="AA55" s="110">
        <f t="shared" si="10"/>
        <v>1</v>
      </c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-4.82627322404371E-5</v>
      </c>
      <c r="L56" s="103">
        <v>9.81145422452145E-7</v>
      </c>
      <c r="M56" s="102">
        <f t="shared" si="1"/>
        <v>-48.26273224</v>
      </c>
      <c r="N56" s="102">
        <v>0.077894351</v>
      </c>
      <c r="O56" s="102">
        <v>-49.304653168</v>
      </c>
      <c r="P56" s="102">
        <v>0.052499895</v>
      </c>
      <c r="Q56" s="104">
        <f t="shared" si="2"/>
        <v>0.02158851932</v>
      </c>
      <c r="R56" s="106">
        <f t="shared" si="3"/>
        <v>-11.09194478</v>
      </c>
      <c r="S56" s="101"/>
      <c r="T56" s="108">
        <f t="shared" si="4"/>
        <v>24.35641944</v>
      </c>
      <c r="U56" s="108">
        <f t="shared" si="17"/>
        <v>1</v>
      </c>
      <c r="V56" s="102">
        <f t="shared" si="6"/>
        <v>0.9788676958</v>
      </c>
      <c r="W56" s="101">
        <f t="shared" si="7"/>
        <v>1</v>
      </c>
      <c r="X56" s="101">
        <f t="shared" si="8"/>
        <v>51</v>
      </c>
      <c r="Y56" s="102">
        <v>-42.717338562</v>
      </c>
      <c r="Z56" s="172">
        <f t="shared" si="9"/>
        <v>1.129815992</v>
      </c>
      <c r="AA56" s="110">
        <f t="shared" si="10"/>
        <v>0</v>
      </c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-3.52293E-4</v>
      </c>
      <c r="L57" s="103">
        <v>4.82789150288574E-6</v>
      </c>
      <c r="M57" s="102">
        <f t="shared" si="1"/>
        <v>-352.293</v>
      </c>
      <c r="N57" s="102">
        <v>0.540225176</v>
      </c>
      <c r="O57" s="102">
        <v>-354.151123047</v>
      </c>
      <c r="P57" s="102">
        <v>0.394345803</v>
      </c>
      <c r="Q57" s="104">
        <f t="shared" si="2"/>
        <v>0.005274368344</v>
      </c>
      <c r="R57" s="106">
        <f t="shared" si="3"/>
        <v>-2.778112635</v>
      </c>
      <c r="S57" s="101"/>
      <c r="T57" s="108">
        <f t="shared" si="4"/>
        <v>177.7892729</v>
      </c>
      <c r="U57" s="108">
        <f t="shared" si="17"/>
        <v>7.299483134</v>
      </c>
      <c r="V57" s="102">
        <f t="shared" si="6"/>
        <v>0.9947533047</v>
      </c>
      <c r="W57" s="101">
        <f t="shared" si="7"/>
        <v>1</v>
      </c>
      <c r="X57" s="101">
        <f t="shared" si="8"/>
        <v>52</v>
      </c>
      <c r="Y57" s="102">
        <v>-282.510314941</v>
      </c>
      <c r="Z57" s="172">
        <f t="shared" si="9"/>
        <v>1.247009335</v>
      </c>
      <c r="AA57" s="110">
        <f t="shared" si="10"/>
        <v>0</v>
      </c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-9.26006999999999E-4</v>
      </c>
      <c r="L58" s="103">
        <v>1.409065350371E-5</v>
      </c>
      <c r="M58" s="102">
        <f t="shared" si="1"/>
        <v>-926.007</v>
      </c>
      <c r="N58" s="102">
        <v>1.450299397</v>
      </c>
      <c r="O58" s="102">
        <v>-938.884460449</v>
      </c>
      <c r="P58" s="102">
        <v>1.064974</v>
      </c>
      <c r="Q58" s="104">
        <f t="shared" si="2"/>
        <v>0.01390643964</v>
      </c>
      <c r="R58" s="106">
        <f t="shared" si="3"/>
        <v>-7.15686442</v>
      </c>
      <c r="S58" s="101"/>
      <c r="T58" s="108">
        <f t="shared" si="4"/>
        <v>467.3215511</v>
      </c>
      <c r="U58" s="108">
        <f t="shared" si="17"/>
        <v>19.1867919</v>
      </c>
      <c r="V58" s="102">
        <f t="shared" si="6"/>
        <v>0.986284297</v>
      </c>
      <c r="W58" s="101">
        <f t="shared" si="7"/>
        <v>1</v>
      </c>
      <c r="X58" s="101">
        <f t="shared" si="8"/>
        <v>53</v>
      </c>
      <c r="Y58" s="102">
        <v>-610.815490723</v>
      </c>
      <c r="Z58" s="172">
        <f t="shared" si="9"/>
        <v>1.516017544</v>
      </c>
      <c r="AA58" s="110">
        <f t="shared" si="10"/>
        <v>0</v>
      </c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-0.00175762999999999</v>
      </c>
      <c r="L59" s="103">
        <v>2.833303208396E-5</v>
      </c>
      <c r="M59" s="102">
        <f t="shared" si="1"/>
        <v>-1757.63</v>
      </c>
      <c r="N59" s="102">
        <v>2.814611193</v>
      </c>
      <c r="O59" s="102">
        <v>-1808.520874023</v>
      </c>
      <c r="P59" s="102">
        <v>2.063436184</v>
      </c>
      <c r="Q59" s="104">
        <f t="shared" si="2"/>
        <v>0.02895425887</v>
      </c>
      <c r="R59" s="106">
        <f t="shared" si="3"/>
        <v>-14.58208888</v>
      </c>
      <c r="S59" s="101"/>
      <c r="T59" s="108">
        <f t="shared" si="4"/>
        <v>887.0109815</v>
      </c>
      <c r="U59" s="108">
        <f t="shared" si="17"/>
        <v>36.41795477</v>
      </c>
      <c r="V59" s="102">
        <f t="shared" si="6"/>
        <v>0.9718604995</v>
      </c>
      <c r="W59" s="101">
        <f t="shared" si="7"/>
        <v>1</v>
      </c>
      <c r="X59" s="101">
        <f t="shared" si="8"/>
        <v>54</v>
      </c>
      <c r="Y59" s="102">
        <v>-825.109069824</v>
      </c>
      <c r="Z59" s="172">
        <f t="shared" si="9"/>
        <v>2.130178984</v>
      </c>
      <c r="AA59" s="110">
        <f t="shared" si="10"/>
        <v>0</v>
      </c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-0.00281914</v>
      </c>
      <c r="L60" s="103">
        <v>4.30637347721403E-5</v>
      </c>
      <c r="M60" s="102">
        <f t="shared" si="1"/>
        <v>-2819.14</v>
      </c>
      <c r="N60" s="102">
        <v>4.601086422</v>
      </c>
      <c r="O60" s="102">
        <v>-2971.512451172</v>
      </c>
      <c r="P60" s="102">
        <v>3.389664282</v>
      </c>
      <c r="Q60" s="104">
        <f t="shared" si="2"/>
        <v>0.05404926721</v>
      </c>
      <c r="R60" s="106">
        <f t="shared" si="3"/>
        <v>-26.66241962</v>
      </c>
      <c r="S60" s="101"/>
      <c r="T60" s="108">
        <f t="shared" si="4"/>
        <v>1422.715895</v>
      </c>
      <c r="U60" s="108">
        <f t="shared" si="17"/>
        <v>58.41235813</v>
      </c>
      <c r="V60" s="102">
        <f t="shared" si="6"/>
        <v>0.9487222572</v>
      </c>
      <c r="W60" s="101">
        <f t="shared" si="7"/>
        <v>1</v>
      </c>
      <c r="X60" s="101">
        <f t="shared" si="8"/>
        <v>55</v>
      </c>
      <c r="Y60" s="102">
        <v>-837.122375488</v>
      </c>
      <c r="Z60" s="172">
        <f t="shared" si="9"/>
        <v>3.367655772</v>
      </c>
      <c r="AA60" s="110">
        <f t="shared" si="10"/>
        <v>0</v>
      </c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-0.00411985999999999</v>
      </c>
      <c r="L61" s="103">
        <v>6.89952450418421E-5</v>
      </c>
      <c r="M61" s="102">
        <f t="shared" si="1"/>
        <v>-4119.86</v>
      </c>
      <c r="N61" s="102">
        <v>6.810907794</v>
      </c>
      <c r="O61" s="102">
        <v>-4406.666015625</v>
      </c>
      <c r="P61" s="102">
        <v>5.04364355</v>
      </c>
      <c r="Q61" s="104">
        <f t="shared" si="2"/>
        <v>0.06961547616</v>
      </c>
      <c r="R61" s="106">
        <f t="shared" si="3"/>
        <v>-33.84113974</v>
      </c>
      <c r="S61" s="101"/>
      <c r="T61" s="108">
        <f t="shared" si="4"/>
        <v>2079.141265</v>
      </c>
      <c r="U61" s="108">
        <f t="shared" si="17"/>
        <v>85.36317379</v>
      </c>
      <c r="V61" s="102">
        <f t="shared" si="6"/>
        <v>0.934915418</v>
      </c>
      <c r="W61" s="101">
        <f t="shared" si="7"/>
        <v>1</v>
      </c>
      <c r="X61" s="101">
        <f t="shared" si="8"/>
        <v>56</v>
      </c>
      <c r="Y61" s="102">
        <v>-716.200805664</v>
      </c>
      <c r="Z61" s="172">
        <f t="shared" si="9"/>
        <v>5.75238113</v>
      </c>
      <c r="AA61" s="110">
        <f t="shared" si="10"/>
        <v>0</v>
      </c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-1.9816282722513E-6</v>
      </c>
      <c r="L62" s="117">
        <v>4.50382648615154E-8</v>
      </c>
      <c r="M62" s="116">
        <f t="shared" si="1"/>
        <v>-1.981628272</v>
      </c>
      <c r="N62" s="116">
        <v>0.003035651</v>
      </c>
      <c r="O62" s="116">
        <v>-1.985313892</v>
      </c>
      <c r="P62" s="116">
        <v>0.002099996</v>
      </c>
      <c r="Q62" s="118">
        <f t="shared" si="2"/>
        <v>0.001859894613</v>
      </c>
      <c r="R62" s="119">
        <f t="shared" si="3"/>
        <v>-0.9984807992</v>
      </c>
      <c r="T62" s="120">
        <f t="shared" si="4"/>
        <v>1.000054641</v>
      </c>
      <c r="V62" s="1">
        <f t="shared" si="6"/>
        <v>0.9981435582</v>
      </c>
      <c r="W62" s="121">
        <f t="shared" si="7"/>
        <v>1</v>
      </c>
      <c r="X62" s="121">
        <f t="shared" si="8"/>
        <v>57</v>
      </c>
      <c r="Y62" s="116">
        <v>-1.976161718</v>
      </c>
      <c r="Z62" s="1">
        <f t="shared" si="9"/>
        <v>1.002766248</v>
      </c>
      <c r="AA62" s="121">
        <f t="shared" si="10"/>
        <v>1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-1.9816282722513E-6</v>
      </c>
      <c r="L63" s="117">
        <v>4.50382648615154E-8</v>
      </c>
      <c r="M63" s="116">
        <f t="shared" si="1"/>
        <v>-1.981628272</v>
      </c>
      <c r="N63" s="116">
        <v>0.003035651</v>
      </c>
      <c r="O63" s="116">
        <v>-1.985313892</v>
      </c>
      <c r="P63" s="116">
        <v>0.002099996</v>
      </c>
      <c r="Q63" s="118">
        <f t="shared" si="2"/>
        <v>0.001859894613</v>
      </c>
      <c r="R63" s="119">
        <f t="shared" si="3"/>
        <v>-0.9984807992</v>
      </c>
      <c r="T63" s="120">
        <f t="shared" si="4"/>
        <v>1.000054641</v>
      </c>
      <c r="V63" s="1">
        <f t="shared" si="6"/>
        <v>0.9981435582</v>
      </c>
      <c r="W63" s="121">
        <f t="shared" si="7"/>
        <v>1</v>
      </c>
      <c r="X63" s="121">
        <f t="shared" si="8"/>
        <v>58</v>
      </c>
      <c r="Y63" s="116">
        <v>-1.976161718</v>
      </c>
      <c r="Z63" s="1">
        <f t="shared" si="9"/>
        <v>1.002766248</v>
      </c>
      <c r="AA63" s="121">
        <f t="shared" si="10"/>
        <v>1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-3.55346E-5</v>
      </c>
      <c r="L64" s="117">
        <v>5.11340918911771E-7</v>
      </c>
      <c r="M64" s="116">
        <f t="shared" si="1"/>
        <v>-35.5346</v>
      </c>
      <c r="N64" s="116">
        <v>0.052927139</v>
      </c>
      <c r="O64" s="116">
        <v>-35.174488068</v>
      </c>
      <c r="P64" s="116">
        <v>0.040967719</v>
      </c>
      <c r="Q64" s="118">
        <f t="shared" si="2"/>
        <v>-0.01013412088</v>
      </c>
      <c r="R64" s="119">
        <f t="shared" si="3"/>
        <v>5.380419604</v>
      </c>
      <c r="T64" s="120">
        <f t="shared" si="4"/>
        <v>17.93300093</v>
      </c>
      <c r="V64" s="1">
        <f t="shared" si="6"/>
        <v>1.010237873</v>
      </c>
      <c r="W64" s="121">
        <f t="shared" si="7"/>
        <v>1</v>
      </c>
      <c r="X64" s="121">
        <f t="shared" si="8"/>
        <v>59</v>
      </c>
      <c r="Y64" s="116">
        <v>-35.24225235</v>
      </c>
      <c r="Z64" s="1">
        <f t="shared" si="9"/>
        <v>1.008295374</v>
      </c>
      <c r="AA64" s="121">
        <f t="shared" si="10"/>
        <v>1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-1.97663917525773E-6</v>
      </c>
      <c r="L65" s="117">
        <v>4.29189344465971E-8</v>
      </c>
      <c r="M65" s="116">
        <f t="shared" si="1"/>
        <v>-1.976639175</v>
      </c>
      <c r="N65" s="116">
        <v>0.002993804</v>
      </c>
      <c r="O65" s="116">
        <v>-1.982143402</v>
      </c>
      <c r="P65" s="116">
        <v>0.002722881</v>
      </c>
      <c r="Q65" s="118">
        <f t="shared" si="2"/>
        <v>0.002784639104</v>
      </c>
      <c r="R65" s="119">
        <f t="shared" si="3"/>
        <v>-1.36012835</v>
      </c>
      <c r="T65" s="120">
        <f t="shared" si="4"/>
        <v>0.9975368279</v>
      </c>
      <c r="V65" s="1">
        <f t="shared" si="6"/>
        <v>0.9972230936</v>
      </c>
      <c r="W65" s="121">
        <f t="shared" si="7"/>
        <v>1</v>
      </c>
      <c r="X65" s="121">
        <f t="shared" si="8"/>
        <v>60</v>
      </c>
      <c r="Y65" s="116">
        <v>-1.977656603</v>
      </c>
      <c r="Z65" s="1">
        <f t="shared" si="9"/>
        <v>0.9994855387</v>
      </c>
      <c r="AA65" s="121">
        <f t="shared" si="10"/>
        <v>1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-1.97603626943005E-6</v>
      </c>
      <c r="L66" s="117">
        <v>4.32236640743281E-8</v>
      </c>
      <c r="M66" s="116">
        <f t="shared" si="1"/>
        <v>-1.976036269</v>
      </c>
      <c r="N66" s="116">
        <v>0.003002701</v>
      </c>
      <c r="O66" s="116">
        <v>-1.982154369</v>
      </c>
      <c r="P66" s="116">
        <v>0.002722826</v>
      </c>
      <c r="Q66" s="118">
        <f t="shared" si="2"/>
        <v>0.003096147406</v>
      </c>
      <c r="R66" s="119">
        <f t="shared" si="3"/>
        <v>-1.50937735</v>
      </c>
      <c r="T66" s="120">
        <f t="shared" si="4"/>
        <v>0.9972325636</v>
      </c>
      <c r="V66" s="1">
        <f t="shared" si="6"/>
        <v>0.9969134091</v>
      </c>
      <c r="W66" s="121">
        <f t="shared" si="7"/>
        <v>1</v>
      </c>
      <c r="X66" s="121">
        <f t="shared" si="8"/>
        <v>61</v>
      </c>
      <c r="Y66" s="116">
        <v>-1.977674246</v>
      </c>
      <c r="Z66" s="1">
        <f t="shared" si="9"/>
        <v>0.9991717662</v>
      </c>
      <c r="AA66" s="121">
        <f t="shared" si="10"/>
        <v>1</v>
      </c>
    </row>
    <row r="67">
      <c r="K67" s="1"/>
      <c r="L67" s="2"/>
      <c r="M67" s="1"/>
      <c r="O67" s="1"/>
      <c r="W67" s="122">
        <f>(SUM(W6:W61)-1)/55</f>
        <v>0.9636363636</v>
      </c>
      <c r="Y67" s="179"/>
      <c r="Z67" s="179"/>
      <c r="AA67" s="179">
        <f>(SUM(AA6:AA61)-1)/55</f>
        <v>0.6909090909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22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-1.78740860215053E-8</v>
      </c>
      <c r="L6" s="11">
        <v>1.20837587421689E-9</v>
      </c>
      <c r="M6" s="10">
        <f t="shared" ref="M6:M66" si="1">K6*1000000</f>
        <v>-0.01787408602</v>
      </c>
      <c r="N6" s="10">
        <v>1.55221E-4</v>
      </c>
      <c r="O6" s="10">
        <v>-0.017047519</v>
      </c>
      <c r="P6" s="10">
        <v>1.56826E-4</v>
      </c>
      <c r="Q6" s="12">
        <f t="shared" ref="Q6:Q66" si="2">(O6-M6)/M6</f>
        <v>-0.04624387622</v>
      </c>
      <c r="R6" s="13">
        <f t="shared" ref="R6:R66" si="3">(O6-M6)/sqrt(N6*N6+P6*P6)</f>
        <v>3.745996052</v>
      </c>
      <c r="S6" s="8"/>
      <c r="T6" s="14">
        <f t="shared" ref="T6:T66" si="4">K6/$K$14</f>
        <v>0.01290500668</v>
      </c>
      <c r="U6" s="14">
        <f t="shared" ref="U6:U12" si="5">K6/$K$7</f>
        <v>0.05128609377</v>
      </c>
      <c r="V6" s="10">
        <f t="shared" ref="V6:V66" si="6">M6/O6</f>
        <v>1.04848606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67">
        <f t="shared" ref="Z6:Z66" si="9">M6*0.001</f>
        <v>-0.00001787408602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-3.48517204301075E-7</v>
      </c>
      <c r="L7" s="11">
        <v>7.64516931390287E-9</v>
      </c>
      <c r="M7" s="10">
        <f t="shared" si="1"/>
        <v>-0.3485172043</v>
      </c>
      <c r="N7" s="10">
        <v>7.63203E-4</v>
      </c>
      <c r="O7" s="10">
        <v>-0.346050948</v>
      </c>
      <c r="P7" s="10">
        <v>7.34284E-4</v>
      </c>
      <c r="Q7" s="12">
        <f t="shared" si="2"/>
        <v>-0.007076426273</v>
      </c>
      <c r="R7" s="13">
        <f t="shared" si="3"/>
        <v>2.328676587</v>
      </c>
      <c r="S7" s="8"/>
      <c r="T7" s="14">
        <f t="shared" si="4"/>
        <v>0.2516277948</v>
      </c>
      <c r="U7" s="14">
        <f t="shared" si="5"/>
        <v>1</v>
      </c>
      <c r="V7" s="10">
        <f t="shared" si="6"/>
        <v>1.007126859</v>
      </c>
      <c r="W7" s="8">
        <f t="shared" si="7"/>
        <v>1</v>
      </c>
      <c r="X7" s="8">
        <f t="shared" si="8"/>
        <v>2</v>
      </c>
      <c r="Y7" s="15"/>
      <c r="Z7" s="68">
        <f t="shared" si="9"/>
        <v>-0.0003485172043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-2.50162E-6</v>
      </c>
      <c r="L8" s="11">
        <v>3.38023906870744E-8</v>
      </c>
      <c r="M8" s="10">
        <f t="shared" si="1"/>
        <v>-2.50162</v>
      </c>
      <c r="N8" s="10">
        <v>0.003694557</v>
      </c>
      <c r="O8" s="10">
        <v>-2.483329058</v>
      </c>
      <c r="P8" s="10">
        <v>0.005522215</v>
      </c>
      <c r="Q8" s="12">
        <f t="shared" si="2"/>
        <v>-0.007311638858</v>
      </c>
      <c r="R8" s="13">
        <f t="shared" si="3"/>
        <v>2.752943072</v>
      </c>
      <c r="S8" s="8"/>
      <c r="T8" s="14">
        <f t="shared" si="4"/>
        <v>1.806157964</v>
      </c>
      <c r="U8" s="14">
        <f t="shared" si="5"/>
        <v>7.177895292</v>
      </c>
      <c r="V8" s="10">
        <f t="shared" si="6"/>
        <v>1.007365493</v>
      </c>
      <c r="W8" s="8">
        <f t="shared" si="7"/>
        <v>1</v>
      </c>
      <c r="X8" s="8">
        <f t="shared" si="8"/>
        <v>3</v>
      </c>
      <c r="Y8" s="15"/>
      <c r="Z8" s="69">
        <f t="shared" si="9"/>
        <v>-0.00250162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-6.65993E-6</v>
      </c>
      <c r="L9" s="11">
        <v>1.05093441346933E-7</v>
      </c>
      <c r="M9" s="10">
        <f t="shared" si="1"/>
        <v>-6.65993</v>
      </c>
      <c r="N9" s="10">
        <v>0.009853253</v>
      </c>
      <c r="O9" s="10">
        <v>-6.590178967</v>
      </c>
      <c r="P9" s="10">
        <v>0.014917969</v>
      </c>
      <c r="Q9" s="12">
        <f t="shared" si="2"/>
        <v>-0.01047323816</v>
      </c>
      <c r="R9" s="13">
        <f t="shared" si="3"/>
        <v>3.901442855</v>
      </c>
      <c r="S9" s="8"/>
      <c r="T9" s="14">
        <f t="shared" si="4"/>
        <v>4.808438375</v>
      </c>
      <c r="U9" s="14">
        <f t="shared" si="5"/>
        <v>19.10932923</v>
      </c>
      <c r="V9" s="10">
        <f t="shared" si="6"/>
        <v>1.010584088</v>
      </c>
      <c r="W9" s="8">
        <f t="shared" si="7"/>
        <v>1</v>
      </c>
      <c r="X9" s="8">
        <f t="shared" si="8"/>
        <v>4</v>
      </c>
      <c r="Y9" s="15"/>
      <c r="Z9" s="69">
        <f t="shared" si="9"/>
        <v>-0.00665993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-1.27699E-5</v>
      </c>
      <c r="L10" s="11">
        <v>2.03228959799065E-7</v>
      </c>
      <c r="M10" s="10">
        <f t="shared" si="1"/>
        <v>-12.7699</v>
      </c>
      <c r="N10" s="10">
        <v>0.018893624</v>
      </c>
      <c r="O10" s="10">
        <v>-12.669971466</v>
      </c>
      <c r="P10" s="10">
        <v>0.028908352</v>
      </c>
      <c r="Q10" s="12">
        <f t="shared" si="2"/>
        <v>-0.007825318444</v>
      </c>
      <c r="R10" s="13">
        <f t="shared" si="3"/>
        <v>2.893549083</v>
      </c>
      <c r="S10" s="8"/>
      <c r="T10" s="14">
        <f t="shared" si="4"/>
        <v>9.219808197</v>
      </c>
      <c r="U10" s="14">
        <f t="shared" si="5"/>
        <v>36.64065889</v>
      </c>
      <c r="V10" s="10">
        <f t="shared" si="6"/>
        <v>1.007887037</v>
      </c>
      <c r="W10" s="8">
        <f t="shared" si="7"/>
        <v>1</v>
      </c>
      <c r="X10" s="8">
        <f t="shared" si="8"/>
        <v>5</v>
      </c>
      <c r="Y10" s="15"/>
      <c r="Z10" s="70">
        <f t="shared" si="9"/>
        <v>-0.0127699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-2.08832999999999E-5</v>
      </c>
      <c r="L11" s="11">
        <v>3.13903591324573E-7</v>
      </c>
      <c r="M11" s="10">
        <f t="shared" si="1"/>
        <v>-20.8833</v>
      </c>
      <c r="N11" s="10">
        <v>0.030883669</v>
      </c>
      <c r="O11" s="10">
        <v>-20.732440948</v>
      </c>
      <c r="P11" s="10">
        <v>0.047492419</v>
      </c>
      <c r="Q11" s="12">
        <f t="shared" si="2"/>
        <v>-0.007223908673</v>
      </c>
      <c r="R11" s="13">
        <f t="shared" si="3"/>
        <v>2.662956838</v>
      </c>
      <c r="S11" s="8"/>
      <c r="T11" s="14">
        <f t="shared" si="4"/>
        <v>15.07764513</v>
      </c>
      <c r="U11" s="14">
        <f t="shared" si="5"/>
        <v>59.92042786</v>
      </c>
      <c r="V11" s="10">
        <f t="shared" si="6"/>
        <v>1.007276473</v>
      </c>
      <c r="W11" s="8">
        <f t="shared" si="7"/>
        <v>1</v>
      </c>
      <c r="X11" s="8">
        <f t="shared" si="8"/>
        <v>6</v>
      </c>
      <c r="Y11" s="15"/>
      <c r="Z11" s="70">
        <f t="shared" si="9"/>
        <v>-0.0208833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-3.10192999999999E-5</v>
      </c>
      <c r="L12" s="11">
        <v>4.6726640034234E-7</v>
      </c>
      <c r="M12" s="10">
        <f t="shared" si="1"/>
        <v>-31.0193</v>
      </c>
      <c r="N12" s="10">
        <v>0.045954838</v>
      </c>
      <c r="O12" s="10">
        <v>-30.763511658</v>
      </c>
      <c r="P12" s="10">
        <v>0.070669965</v>
      </c>
      <c r="Q12" s="12">
        <f t="shared" si="2"/>
        <v>-0.008246102975</v>
      </c>
      <c r="R12" s="13">
        <f t="shared" si="3"/>
        <v>3.034347822</v>
      </c>
      <c r="S12" s="8"/>
      <c r="T12" s="14">
        <f t="shared" si="4"/>
        <v>22.39578982</v>
      </c>
      <c r="U12" s="14">
        <f t="shared" si="5"/>
        <v>89.00364062</v>
      </c>
      <c r="V12" s="10">
        <f t="shared" si="6"/>
        <v>1.008314667</v>
      </c>
      <c r="W12" s="8">
        <f t="shared" si="7"/>
        <v>1</v>
      </c>
      <c r="X12" s="8">
        <f t="shared" si="8"/>
        <v>7</v>
      </c>
      <c r="Y12" s="15"/>
      <c r="Z12" s="70">
        <f t="shared" si="9"/>
        <v>-0.0310193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-7.19444943820224E-8</v>
      </c>
      <c r="L13" s="24">
        <v>6.33836138331795E-9</v>
      </c>
      <c r="M13" s="23">
        <f t="shared" si="1"/>
        <v>-0.07194449438</v>
      </c>
      <c r="N13" s="23">
        <v>6.32026E-4</v>
      </c>
      <c r="O13" s="23">
        <v>-0.068190075</v>
      </c>
      <c r="P13" s="23">
        <v>6.27306E-4</v>
      </c>
      <c r="Q13" s="26">
        <f t="shared" si="2"/>
        <v>-0.05218494361</v>
      </c>
      <c r="R13" s="27">
        <f t="shared" si="3"/>
        <v>4.216134837</v>
      </c>
      <c r="S13" s="22"/>
      <c r="T13" s="28">
        <f t="shared" si="4"/>
        <v>0.05194358915</v>
      </c>
      <c r="U13" s="28">
        <f t="shared" ref="U13:U19" si="10">K13/$K$14</f>
        <v>0.05194358915</v>
      </c>
      <c r="V13" s="23">
        <f t="shared" si="6"/>
        <v>1.05505815</v>
      </c>
      <c r="W13" s="22">
        <f t="shared" si="7"/>
        <v>1</v>
      </c>
      <c r="X13" s="22">
        <f t="shared" si="8"/>
        <v>8</v>
      </c>
      <c r="Y13" s="71"/>
      <c r="Z13" s="67">
        <f t="shared" si="9"/>
        <v>-0.00007194449438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-1.3850505050505E-6</v>
      </c>
      <c r="L14" s="31">
        <v>3.33078938175119E-8</v>
      </c>
      <c r="M14" s="30">
        <f t="shared" si="1"/>
        <v>-1.385050505</v>
      </c>
      <c r="N14" s="30">
        <v>0.002937137</v>
      </c>
      <c r="O14" s="30">
        <v>-1.384203792</v>
      </c>
      <c r="P14" s="30">
        <v>0.002937137</v>
      </c>
      <c r="Q14" s="32">
        <f t="shared" si="2"/>
        <v>-0.0006113228705</v>
      </c>
      <c r="R14" s="34">
        <f t="shared" si="3"/>
        <v>0.2038435864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1.000611697</v>
      </c>
      <c r="W14" s="29">
        <f t="shared" si="7"/>
        <v>1</v>
      </c>
      <c r="X14" s="29">
        <f t="shared" si="8"/>
        <v>9</v>
      </c>
      <c r="Y14" s="72"/>
      <c r="Z14" s="69">
        <f t="shared" si="9"/>
        <v>-0.001385050505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-1.002688E-5</v>
      </c>
      <c r="L15" s="24">
        <v>1.66953346171856E-7</v>
      </c>
      <c r="M15" s="23">
        <f t="shared" si="1"/>
        <v>-10.02688</v>
      </c>
      <c r="N15" s="23">
        <v>0.014765487</v>
      </c>
      <c r="O15" s="23">
        <v>-9.933316231</v>
      </c>
      <c r="P15" s="23">
        <v>0.02208886</v>
      </c>
      <c r="Q15" s="26">
        <f t="shared" si="2"/>
        <v>-0.009331294381</v>
      </c>
      <c r="R15" s="27">
        <f t="shared" si="3"/>
        <v>3.521475167</v>
      </c>
      <c r="S15" s="22"/>
      <c r="T15" s="28">
        <f t="shared" si="4"/>
        <v>7.23936056</v>
      </c>
      <c r="U15" s="28">
        <f t="shared" si="10"/>
        <v>7.23936056</v>
      </c>
      <c r="V15" s="23">
        <f t="shared" si="6"/>
        <v>1.009419188</v>
      </c>
      <c r="W15" s="22">
        <f t="shared" si="7"/>
        <v>1</v>
      </c>
      <c r="X15" s="22">
        <f t="shared" si="8"/>
        <v>10</v>
      </c>
      <c r="Y15" s="71"/>
      <c r="Z15" s="70">
        <f t="shared" si="9"/>
        <v>-0.01002688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-2.66565E-5</v>
      </c>
      <c r="L16" s="24">
        <v>3.84522201221624E-7</v>
      </c>
      <c r="M16" s="23">
        <f t="shared" si="1"/>
        <v>-26.6565</v>
      </c>
      <c r="N16" s="23">
        <v>0.039316649</v>
      </c>
      <c r="O16" s="23">
        <v>-26.360715866</v>
      </c>
      <c r="P16" s="23">
        <v>0.059671876</v>
      </c>
      <c r="Q16" s="26">
        <f t="shared" si="2"/>
        <v>-0.01109613543</v>
      </c>
      <c r="R16" s="27">
        <f t="shared" si="3"/>
        <v>4.139156617</v>
      </c>
      <c r="S16" s="22"/>
      <c r="T16" s="28">
        <f t="shared" si="4"/>
        <v>19.24586858</v>
      </c>
      <c r="U16" s="28">
        <f t="shared" si="10"/>
        <v>19.24586858</v>
      </c>
      <c r="V16" s="23">
        <f t="shared" si="6"/>
        <v>1.011220641</v>
      </c>
      <c r="W16" s="22">
        <f t="shared" si="7"/>
        <v>1</v>
      </c>
      <c r="X16" s="22">
        <f t="shared" si="8"/>
        <v>11</v>
      </c>
      <c r="Y16" s="71"/>
      <c r="Z16" s="70">
        <f t="shared" si="9"/>
        <v>-0.0266565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-5.12573E-5</v>
      </c>
      <c r="L17" s="24">
        <v>7.23346397033268E-7</v>
      </c>
      <c r="M17" s="23">
        <f t="shared" si="1"/>
        <v>-51.2573</v>
      </c>
      <c r="N17" s="23">
        <v>0.075641182</v>
      </c>
      <c r="O17" s="23">
        <v>-50.679885864</v>
      </c>
      <c r="P17" s="23">
        <v>0.115633408</v>
      </c>
      <c r="Q17" s="26">
        <f t="shared" si="2"/>
        <v>-0.01126501271</v>
      </c>
      <c r="R17" s="27">
        <f t="shared" si="3"/>
        <v>4.178823607</v>
      </c>
      <c r="S17" s="22"/>
      <c r="T17" s="28">
        <f t="shared" si="4"/>
        <v>37.00753136</v>
      </c>
      <c r="U17" s="28">
        <f t="shared" si="10"/>
        <v>37.00753136</v>
      </c>
      <c r="V17" s="23">
        <f t="shared" si="6"/>
        <v>1.011393359</v>
      </c>
      <c r="W17" s="22">
        <f t="shared" si="7"/>
        <v>1</v>
      </c>
      <c r="X17" s="22">
        <f t="shared" si="8"/>
        <v>12</v>
      </c>
      <c r="Y17" s="71"/>
      <c r="Z17" s="70">
        <f t="shared" si="9"/>
        <v>-0.0512573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-8.31603E-5</v>
      </c>
      <c r="L18" s="24">
        <v>1.1898395231749E-6</v>
      </c>
      <c r="M18" s="23">
        <f t="shared" si="1"/>
        <v>-83.1603</v>
      </c>
      <c r="N18" s="23">
        <v>0.123128156</v>
      </c>
      <c r="O18" s="23">
        <v>-82.929763794</v>
      </c>
      <c r="P18" s="23">
        <v>0.189969675</v>
      </c>
      <c r="Q18" s="26">
        <f t="shared" si="2"/>
        <v>-0.002772190649</v>
      </c>
      <c r="R18" s="27">
        <f t="shared" si="3"/>
        <v>1.018348336</v>
      </c>
      <c r="S18" s="22"/>
      <c r="T18" s="28">
        <f t="shared" si="4"/>
        <v>60.04134845</v>
      </c>
      <c r="U18" s="28">
        <f t="shared" si="10"/>
        <v>60.04134845</v>
      </c>
      <c r="V18" s="23">
        <f t="shared" si="6"/>
        <v>1.002779897</v>
      </c>
      <c r="W18" s="22">
        <f t="shared" si="7"/>
        <v>1</v>
      </c>
      <c r="X18" s="22">
        <f t="shared" si="8"/>
        <v>13</v>
      </c>
      <c r="Y18" s="71"/>
      <c r="Z18" s="70">
        <f t="shared" si="9"/>
        <v>-0.0831603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-1.21905E-4</v>
      </c>
      <c r="L19" s="24">
        <v>1.68201268326569E-6</v>
      </c>
      <c r="M19" s="23">
        <f t="shared" si="1"/>
        <v>-121.905</v>
      </c>
      <c r="N19" s="23">
        <v>0.181324041</v>
      </c>
      <c r="O19" s="23">
        <v>-123.05405426</v>
      </c>
      <c r="P19" s="23">
        <v>0.282679859</v>
      </c>
      <c r="Q19" s="26">
        <f t="shared" si="2"/>
        <v>0.009425817317</v>
      </c>
      <c r="R19" s="27">
        <f t="shared" si="3"/>
        <v>-3.421466894</v>
      </c>
      <c r="S19" s="22"/>
      <c r="T19" s="28">
        <f t="shared" si="4"/>
        <v>88.01484102</v>
      </c>
      <c r="U19" s="28">
        <f t="shared" si="10"/>
        <v>88.01484102</v>
      </c>
      <c r="V19" s="23">
        <f t="shared" si="6"/>
        <v>0.9906621991</v>
      </c>
      <c r="W19" s="22">
        <f t="shared" si="7"/>
        <v>1</v>
      </c>
      <c r="X19" s="22">
        <f t="shared" si="8"/>
        <v>14</v>
      </c>
      <c r="Y19" s="71"/>
      <c r="Z19" s="79">
        <f t="shared" si="9"/>
        <v>-0.121905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-1.58821739130434E-7</v>
      </c>
      <c r="L20" s="39">
        <v>1.24261937634853E-8</v>
      </c>
      <c r="M20" s="38">
        <f t="shared" si="1"/>
        <v>-0.1588217391</v>
      </c>
      <c r="N20" s="38">
        <v>0.001400599</v>
      </c>
      <c r="O20" s="38">
        <v>-0.153426081</v>
      </c>
      <c r="P20" s="38">
        <v>0.001411438</v>
      </c>
      <c r="Q20" s="40">
        <f t="shared" si="2"/>
        <v>-0.03397304525</v>
      </c>
      <c r="R20" s="41">
        <f t="shared" si="3"/>
        <v>2.713533365</v>
      </c>
      <c r="S20" s="37"/>
      <c r="T20" s="42">
        <f t="shared" si="4"/>
        <v>0.1146685544</v>
      </c>
      <c r="U20" s="42">
        <f t="shared" ref="U20:U26" si="11">K20/$K$21</f>
        <v>0.05081833473</v>
      </c>
      <c r="V20" s="38">
        <f t="shared" si="6"/>
        <v>1.035167803</v>
      </c>
      <c r="W20" s="37">
        <f t="shared" si="7"/>
        <v>1</v>
      </c>
      <c r="X20" s="37">
        <f t="shared" si="8"/>
        <v>15</v>
      </c>
      <c r="Y20" s="81"/>
      <c r="Z20" s="68">
        <f t="shared" si="9"/>
        <v>-0.0001588217391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-3.12528421052631E-6</v>
      </c>
      <c r="L21" s="39">
        <v>8.32129622622932E-8</v>
      </c>
      <c r="M21" s="38">
        <f t="shared" si="1"/>
        <v>-3.125284211</v>
      </c>
      <c r="N21" s="38">
        <v>0.006776374</v>
      </c>
      <c r="O21" s="38">
        <v>-3.114372969</v>
      </c>
      <c r="P21" s="38">
        <v>0.006608558</v>
      </c>
      <c r="Q21" s="40">
        <f t="shared" si="2"/>
        <v>-0.003491279766</v>
      </c>
      <c r="R21" s="41">
        <f t="shared" si="3"/>
        <v>1.152759915</v>
      </c>
      <c r="S21" s="37"/>
      <c r="T21" s="42">
        <f t="shared" si="4"/>
        <v>2.256440613</v>
      </c>
      <c r="U21" s="42">
        <f t="shared" si="11"/>
        <v>1</v>
      </c>
      <c r="V21" s="38">
        <f t="shared" si="6"/>
        <v>1.003503512</v>
      </c>
      <c r="W21" s="37">
        <f t="shared" si="7"/>
        <v>1</v>
      </c>
      <c r="X21" s="37">
        <f t="shared" si="8"/>
        <v>16</v>
      </c>
      <c r="Y21" s="81"/>
      <c r="Z21" s="69">
        <f t="shared" si="9"/>
        <v>-0.003125284211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-2.25013999999999E-5</v>
      </c>
      <c r="L22" s="39">
        <v>3.45858673770403E-7</v>
      </c>
      <c r="M22" s="38">
        <f t="shared" si="1"/>
        <v>-22.5014</v>
      </c>
      <c r="N22" s="38">
        <v>0.033117162</v>
      </c>
      <c r="O22" s="38">
        <v>-22.345750809</v>
      </c>
      <c r="P22" s="38">
        <v>0.049699935</v>
      </c>
      <c r="Q22" s="40">
        <f t="shared" si="2"/>
        <v>-0.006917311412</v>
      </c>
      <c r="R22" s="41">
        <f t="shared" si="3"/>
        <v>2.606187545</v>
      </c>
      <c r="S22" s="37"/>
      <c r="T22" s="42">
        <f t="shared" si="4"/>
        <v>16.24590578</v>
      </c>
      <c r="U22" s="42">
        <f t="shared" si="11"/>
        <v>7.199793198</v>
      </c>
      <c r="V22" s="38">
        <f t="shared" si="6"/>
        <v>1.006965494</v>
      </c>
      <c r="W22" s="37">
        <f t="shared" si="7"/>
        <v>1</v>
      </c>
      <c r="X22" s="37">
        <f t="shared" si="8"/>
        <v>17</v>
      </c>
      <c r="Y22" s="81"/>
      <c r="Z22" s="69">
        <f t="shared" si="9"/>
        <v>-0.0225014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-5.93838999999999E-5</v>
      </c>
      <c r="L23" s="39">
        <v>8.48710126478928E-7</v>
      </c>
      <c r="M23" s="38">
        <f t="shared" si="1"/>
        <v>-59.3839</v>
      </c>
      <c r="N23" s="38">
        <v>0.087800083</v>
      </c>
      <c r="O23" s="38">
        <v>-59.370620728</v>
      </c>
      <c r="P23" s="38">
        <v>0.13426172</v>
      </c>
      <c r="Q23" s="40">
        <f t="shared" si="2"/>
        <v>-0.0002236173778</v>
      </c>
      <c r="R23" s="41">
        <f t="shared" si="3"/>
        <v>0.08277737309</v>
      </c>
      <c r="S23" s="37"/>
      <c r="T23" s="42">
        <f t="shared" si="4"/>
        <v>42.87489863</v>
      </c>
      <c r="U23" s="42">
        <f t="shared" si="11"/>
        <v>19.0011199</v>
      </c>
      <c r="V23" s="38">
        <f t="shared" si="6"/>
        <v>1.000223667</v>
      </c>
      <c r="W23" s="37">
        <f t="shared" si="7"/>
        <v>1</v>
      </c>
      <c r="X23" s="37">
        <f t="shared" si="8"/>
        <v>18</v>
      </c>
      <c r="Y23" s="81"/>
      <c r="Z23" s="70">
        <f t="shared" si="9"/>
        <v>-0.0593839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-1.13171999999999E-4</v>
      </c>
      <c r="L24" s="39">
        <v>1.52984319523936E-6</v>
      </c>
      <c r="M24" s="38">
        <f t="shared" si="1"/>
        <v>-113.172</v>
      </c>
      <c r="N24" s="38">
        <v>0.16810459</v>
      </c>
      <c r="O24" s="38">
        <v>-114.119369507</v>
      </c>
      <c r="P24" s="38">
        <v>0.260175168</v>
      </c>
      <c r="Q24" s="40">
        <f t="shared" si="2"/>
        <v>0.008371059158</v>
      </c>
      <c r="R24" s="41">
        <f t="shared" si="3"/>
        <v>-3.05841418</v>
      </c>
      <c r="S24" s="37"/>
      <c r="T24" s="42">
        <f t="shared" si="4"/>
        <v>81.70965578</v>
      </c>
      <c r="U24" s="42">
        <f t="shared" si="11"/>
        <v>36.21174664</v>
      </c>
      <c r="V24" s="38">
        <f t="shared" si="6"/>
        <v>0.9916984337</v>
      </c>
      <c r="W24" s="37">
        <f t="shared" si="7"/>
        <v>1</v>
      </c>
      <c r="X24" s="37">
        <f t="shared" si="8"/>
        <v>19</v>
      </c>
      <c r="Y24" s="81"/>
      <c r="Z24" s="79">
        <f t="shared" si="9"/>
        <v>-0.113172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-1.89681999999999E-4</v>
      </c>
      <c r="L25" s="39">
        <v>2.59915992644398E-6</v>
      </c>
      <c r="M25" s="38">
        <f t="shared" si="1"/>
        <v>-189.682</v>
      </c>
      <c r="N25" s="38">
        <v>0.28119494</v>
      </c>
      <c r="O25" s="38">
        <v>-186.558303833</v>
      </c>
      <c r="P25" s="38">
        <v>0.427431769</v>
      </c>
      <c r="Q25" s="40">
        <f t="shared" si="2"/>
        <v>-0.01646806849</v>
      </c>
      <c r="R25" s="41">
        <f t="shared" si="3"/>
        <v>6.105343214</v>
      </c>
      <c r="S25" s="37"/>
      <c r="T25" s="42">
        <f t="shared" si="4"/>
        <v>136.9495187</v>
      </c>
      <c r="U25" s="42">
        <f t="shared" si="11"/>
        <v>60.69272016</v>
      </c>
      <c r="V25" s="38">
        <f t="shared" si="6"/>
        <v>1.016743807</v>
      </c>
      <c r="W25" s="37">
        <f t="shared" si="7"/>
        <v>1</v>
      </c>
      <c r="X25" s="37">
        <f t="shared" si="8"/>
        <v>20</v>
      </c>
      <c r="Y25" s="81"/>
      <c r="Z25" s="79">
        <f t="shared" si="9"/>
        <v>-0.189682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-2.81414E-4</v>
      </c>
      <c r="L26" s="39">
        <v>3.61484090209718E-6</v>
      </c>
      <c r="M26" s="38">
        <f t="shared" si="1"/>
        <v>-281.414</v>
      </c>
      <c r="N26" s="38">
        <v>0.419340468</v>
      </c>
      <c r="O26" s="38">
        <v>-276.717987061</v>
      </c>
      <c r="P26" s="38">
        <v>0.636029683</v>
      </c>
      <c r="Q26" s="40">
        <f t="shared" si="2"/>
        <v>-0.0166872044</v>
      </c>
      <c r="R26" s="41">
        <f t="shared" si="3"/>
        <v>6.164147131</v>
      </c>
      <c r="S26" s="37"/>
      <c r="T26" s="42">
        <f t="shared" si="4"/>
        <v>203.1795945</v>
      </c>
      <c r="U26" s="42">
        <f t="shared" si="11"/>
        <v>90.04429071</v>
      </c>
      <c r="V26" s="38">
        <f t="shared" si="6"/>
        <v>1.016970393</v>
      </c>
      <c r="W26" s="37">
        <f t="shared" si="7"/>
        <v>1</v>
      </c>
      <c r="X26" s="37">
        <f t="shared" si="8"/>
        <v>21</v>
      </c>
      <c r="Y26" s="81"/>
      <c r="Z26" s="79">
        <f t="shared" si="9"/>
        <v>-0.281414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-2.80636956521739E-7</v>
      </c>
      <c r="L27" s="46">
        <v>1.9289214189335E-8</v>
      </c>
      <c r="M27" s="45">
        <f t="shared" si="1"/>
        <v>-0.2806369565</v>
      </c>
      <c r="N27" s="45">
        <v>0.002488051</v>
      </c>
      <c r="O27" s="45">
        <v>-0.272760272</v>
      </c>
      <c r="P27" s="45">
        <v>0.002509223</v>
      </c>
      <c r="Q27" s="47">
        <f t="shared" si="2"/>
        <v>-0.0280671677</v>
      </c>
      <c r="R27" s="48">
        <f t="shared" si="3"/>
        <v>2.229058103</v>
      </c>
      <c r="S27" s="44"/>
      <c r="T27" s="49">
        <f t="shared" si="4"/>
        <v>0.2026185728</v>
      </c>
      <c r="U27" s="49">
        <f t="shared" ref="U27:U33" si="12">K27/$K$28</f>
        <v>0.05103949771</v>
      </c>
      <c r="V27" s="45">
        <f t="shared" si="6"/>
        <v>1.028877682</v>
      </c>
      <c r="W27" s="44">
        <f t="shared" si="7"/>
        <v>1</v>
      </c>
      <c r="X27" s="44">
        <f t="shared" si="8"/>
        <v>22</v>
      </c>
      <c r="Y27" s="85"/>
      <c r="Z27" s="68">
        <f t="shared" si="9"/>
        <v>-0.0002806369565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-5.49842708333333E-6</v>
      </c>
      <c r="L28" s="46">
        <v>1.08917713487767E-7</v>
      </c>
      <c r="M28" s="45">
        <f t="shared" si="1"/>
        <v>-5.498427083</v>
      </c>
      <c r="N28" s="45">
        <v>0.011877527</v>
      </c>
      <c r="O28" s="45">
        <v>-5.53681469</v>
      </c>
      <c r="P28" s="45">
        <v>0.011748548</v>
      </c>
      <c r="Q28" s="47">
        <f t="shared" si="2"/>
        <v>0.006981561469</v>
      </c>
      <c r="R28" s="48">
        <f t="shared" si="3"/>
        <v>-2.297777563</v>
      </c>
      <c r="S28" s="44"/>
      <c r="T28" s="49">
        <f t="shared" si="4"/>
        <v>3.969838691</v>
      </c>
      <c r="U28" s="49">
        <f t="shared" si="12"/>
        <v>1</v>
      </c>
      <c r="V28" s="45">
        <f t="shared" si="6"/>
        <v>0.9930668428</v>
      </c>
      <c r="W28" s="44">
        <f t="shared" si="7"/>
        <v>1</v>
      </c>
      <c r="X28" s="44">
        <f t="shared" si="8"/>
        <v>23</v>
      </c>
      <c r="Y28" s="85"/>
      <c r="Z28" s="69">
        <f t="shared" si="9"/>
        <v>-0.005498427083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-3.969E-5</v>
      </c>
      <c r="L29" s="46">
        <v>5.58777525704392E-7</v>
      </c>
      <c r="M29" s="45">
        <f t="shared" si="1"/>
        <v>-39.69</v>
      </c>
      <c r="N29" s="45">
        <v>0.058657455</v>
      </c>
      <c r="O29" s="45">
        <v>-39.733268738</v>
      </c>
      <c r="P29" s="45">
        <v>0.08835544</v>
      </c>
      <c r="Q29" s="47">
        <f t="shared" si="2"/>
        <v>0.001090167246</v>
      </c>
      <c r="R29" s="48">
        <f t="shared" si="3"/>
        <v>-0.4079890703</v>
      </c>
      <c r="S29" s="44"/>
      <c r="T29" s="49">
        <f t="shared" si="4"/>
        <v>28.65599475</v>
      </c>
      <c r="U29" s="49">
        <f t="shared" si="12"/>
        <v>7.218427997</v>
      </c>
      <c r="V29" s="45">
        <f t="shared" si="6"/>
        <v>0.9989110199</v>
      </c>
      <c r="W29" s="44">
        <f t="shared" si="7"/>
        <v>1</v>
      </c>
      <c r="X29" s="44">
        <f t="shared" si="8"/>
        <v>24</v>
      </c>
      <c r="Y29" s="85"/>
      <c r="Z29" s="70">
        <f t="shared" si="9"/>
        <v>-0.03969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-1.06547999999999E-4</v>
      </c>
      <c r="L30" s="46">
        <v>1.72629573645333E-6</v>
      </c>
      <c r="M30" s="45">
        <f t="shared" si="1"/>
        <v>-106.548</v>
      </c>
      <c r="N30" s="45">
        <v>0.157768781</v>
      </c>
      <c r="O30" s="45">
        <v>-105.442863464</v>
      </c>
      <c r="P30" s="45">
        <v>0.238687503</v>
      </c>
      <c r="Q30" s="47">
        <f t="shared" si="2"/>
        <v>-0.01037219409</v>
      </c>
      <c r="R30" s="48">
        <f t="shared" si="3"/>
        <v>3.862538951</v>
      </c>
      <c r="S30" s="44"/>
      <c r="T30" s="49">
        <f t="shared" si="4"/>
        <v>76.92715869</v>
      </c>
      <c r="U30" s="49">
        <f t="shared" si="12"/>
        <v>19.37790542</v>
      </c>
      <c r="V30" s="45">
        <f t="shared" si="6"/>
        <v>1.010480904</v>
      </c>
      <c r="W30" s="44">
        <f t="shared" si="7"/>
        <v>1</v>
      </c>
      <c r="X30" s="44">
        <f t="shared" si="8"/>
        <v>25</v>
      </c>
      <c r="Y30" s="85"/>
      <c r="Z30" s="79">
        <f t="shared" si="9"/>
        <v>-0.106548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-2.06024E-4</v>
      </c>
      <c r="L31" s="46">
        <v>2.93185637748199E-6</v>
      </c>
      <c r="M31" s="45">
        <f t="shared" si="1"/>
        <v>-206.024</v>
      </c>
      <c r="N31" s="45">
        <v>0.30605437</v>
      </c>
      <c r="O31" s="45">
        <v>-202.719543457</v>
      </c>
      <c r="P31" s="45">
        <v>0.462533632</v>
      </c>
      <c r="Q31" s="47">
        <f t="shared" si="2"/>
        <v>-0.01603918254</v>
      </c>
      <c r="R31" s="48">
        <f t="shared" si="3"/>
        <v>5.958023244</v>
      </c>
      <c r="S31" s="44"/>
      <c r="T31" s="49">
        <f t="shared" si="4"/>
        <v>148.7483664</v>
      </c>
      <c r="U31" s="49">
        <f t="shared" si="12"/>
        <v>37.46962484</v>
      </c>
      <c r="V31" s="45">
        <f t="shared" si="6"/>
        <v>1.016300631</v>
      </c>
      <c r="W31" s="44">
        <f t="shared" si="7"/>
        <v>1</v>
      </c>
      <c r="X31" s="44">
        <f t="shared" si="8"/>
        <v>26</v>
      </c>
      <c r="Y31" s="85"/>
      <c r="Z31" s="79">
        <f t="shared" si="9"/>
        <v>-0.206024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-3.35401E-4</v>
      </c>
      <c r="L32" s="46">
        <v>4.98305198354453E-6</v>
      </c>
      <c r="M32" s="45">
        <f t="shared" si="1"/>
        <v>-335.401</v>
      </c>
      <c r="N32" s="45">
        <v>0.502195927</v>
      </c>
      <c r="O32" s="45">
        <v>-331.719055176</v>
      </c>
      <c r="P32" s="45">
        <v>0.759878701</v>
      </c>
      <c r="Q32" s="47">
        <f t="shared" si="2"/>
        <v>-0.01097773955</v>
      </c>
      <c r="R32" s="48">
        <f t="shared" si="3"/>
        <v>4.042393757</v>
      </c>
      <c r="S32" s="44"/>
      <c r="T32" s="49">
        <f t="shared" si="4"/>
        <v>242.1579565</v>
      </c>
      <c r="U32" s="49">
        <f t="shared" si="12"/>
        <v>60.99944492</v>
      </c>
      <c r="V32" s="45">
        <f t="shared" si="6"/>
        <v>1.011099588</v>
      </c>
      <c r="W32" s="44">
        <f t="shared" si="7"/>
        <v>1</v>
      </c>
      <c r="X32" s="44">
        <f t="shared" si="8"/>
        <v>27</v>
      </c>
      <c r="Y32" s="85"/>
      <c r="Z32" s="79">
        <f t="shared" si="9"/>
        <v>-0.335401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-4.95541E-4</v>
      </c>
      <c r="L33" s="46">
        <v>7.27251773056718E-6</v>
      </c>
      <c r="M33" s="45">
        <f t="shared" si="1"/>
        <v>-495.541</v>
      </c>
      <c r="N33" s="45">
        <v>0.750104045</v>
      </c>
      <c r="O33" s="45">
        <v>-492.216186523</v>
      </c>
      <c r="P33" s="45">
        <v>1.130719437</v>
      </c>
      <c r="Q33" s="47">
        <f t="shared" si="2"/>
        <v>-0.006709461936</v>
      </c>
      <c r="R33" s="48">
        <f t="shared" si="3"/>
        <v>2.450297767</v>
      </c>
      <c r="S33" s="44"/>
      <c r="T33" s="49">
        <f t="shared" si="4"/>
        <v>357.7782891</v>
      </c>
      <c r="U33" s="49">
        <f t="shared" si="12"/>
        <v>90.12413777</v>
      </c>
      <c r="V33" s="45">
        <f t="shared" si="6"/>
        <v>1.006754783</v>
      </c>
      <c r="W33" s="44">
        <f t="shared" si="7"/>
        <v>1</v>
      </c>
      <c r="X33" s="44">
        <f t="shared" si="8"/>
        <v>28</v>
      </c>
      <c r="Y33" s="85"/>
      <c r="Z33" s="79">
        <f t="shared" si="9"/>
        <v>-0.495541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-4.23960439560439E-7</v>
      </c>
      <c r="L34" s="53">
        <v>3.34266921922548E-8</v>
      </c>
      <c r="M34" s="52">
        <f t="shared" si="1"/>
        <v>-0.4239604396</v>
      </c>
      <c r="N34" s="52">
        <v>0.003906048</v>
      </c>
      <c r="O34" s="52">
        <v>-0.426193625</v>
      </c>
      <c r="P34" s="52">
        <v>0.003920661</v>
      </c>
      <c r="Q34" s="54">
        <f t="shared" si="2"/>
        <v>0.005267438259</v>
      </c>
      <c r="R34" s="55">
        <f t="shared" si="3"/>
        <v>-0.4035151468</v>
      </c>
      <c r="S34" s="51"/>
      <c r="T34" s="56">
        <f t="shared" si="4"/>
        <v>0.3060974586</v>
      </c>
      <c r="U34" s="56">
        <f t="shared" ref="U34:U40" si="13">K34/$K$35</f>
        <v>0.04951535052</v>
      </c>
      <c r="V34" s="52">
        <f t="shared" si="6"/>
        <v>0.9947601623</v>
      </c>
      <c r="W34" s="51">
        <f t="shared" si="7"/>
        <v>1</v>
      </c>
      <c r="X34" s="51">
        <f t="shared" si="8"/>
        <v>29</v>
      </c>
      <c r="Y34" s="87"/>
      <c r="Z34" s="68">
        <f t="shared" si="9"/>
        <v>-0.0004239604396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-8.56220212765957E-6</v>
      </c>
      <c r="L35" s="53">
        <v>1.5972217679103E-7</v>
      </c>
      <c r="M35" s="52">
        <f t="shared" si="1"/>
        <v>-8.562202128</v>
      </c>
      <c r="N35" s="52">
        <v>0.018731343</v>
      </c>
      <c r="O35" s="52">
        <v>-8.657046318</v>
      </c>
      <c r="P35" s="52">
        <v>0.018357106</v>
      </c>
      <c r="Q35" s="54">
        <f t="shared" si="2"/>
        <v>0.01107707911</v>
      </c>
      <c r="R35" s="55">
        <f t="shared" si="3"/>
        <v>-3.616304163</v>
      </c>
      <c r="S35" s="51"/>
      <c r="T35" s="56">
        <f t="shared" si="4"/>
        <v>6.181869973</v>
      </c>
      <c r="U35" s="56">
        <f t="shared" si="13"/>
        <v>1</v>
      </c>
      <c r="V35" s="52">
        <f t="shared" si="6"/>
        <v>0.9890442783</v>
      </c>
      <c r="W35" s="51">
        <f t="shared" si="7"/>
        <v>1</v>
      </c>
      <c r="X35" s="51">
        <f t="shared" si="8"/>
        <v>30</v>
      </c>
      <c r="Y35" s="87"/>
      <c r="Z35" s="69">
        <f t="shared" si="9"/>
        <v>-0.008562202128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-6.26040999999999E-5</v>
      </c>
      <c r="L36" s="53">
        <v>9.08118373230043E-7</v>
      </c>
      <c r="M36" s="52">
        <f t="shared" si="1"/>
        <v>-62.6041</v>
      </c>
      <c r="N36" s="52">
        <v>0.092651746</v>
      </c>
      <c r="O36" s="52">
        <v>-62.103130341</v>
      </c>
      <c r="P36" s="52">
        <v>0.138055375</v>
      </c>
      <c r="Q36" s="54">
        <f t="shared" si="2"/>
        <v>-0.008002186103</v>
      </c>
      <c r="R36" s="55">
        <f t="shared" si="3"/>
        <v>3.013102235</v>
      </c>
      <c r="S36" s="51"/>
      <c r="T36" s="56">
        <f t="shared" si="4"/>
        <v>45.199868</v>
      </c>
      <c r="U36" s="56">
        <f t="shared" si="13"/>
        <v>7.311682096</v>
      </c>
      <c r="V36" s="52">
        <f t="shared" si="6"/>
        <v>1.008066738</v>
      </c>
      <c r="W36" s="51">
        <f t="shared" si="7"/>
        <v>1</v>
      </c>
      <c r="X36" s="51">
        <f t="shared" si="8"/>
        <v>31</v>
      </c>
      <c r="Y36" s="87"/>
      <c r="Z36" s="70">
        <f t="shared" si="9"/>
        <v>-0.0626041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-1.66846E-4</v>
      </c>
      <c r="L37" s="53">
        <v>2.65970378847424E-6</v>
      </c>
      <c r="M37" s="52">
        <f t="shared" si="1"/>
        <v>-166.846</v>
      </c>
      <c r="N37" s="52">
        <v>0.248069971</v>
      </c>
      <c r="O37" s="52">
        <v>-164.814971924</v>
      </c>
      <c r="P37" s="52">
        <v>0.372949223</v>
      </c>
      <c r="Q37" s="54">
        <f t="shared" si="2"/>
        <v>-0.01217307023</v>
      </c>
      <c r="R37" s="55">
        <f t="shared" si="3"/>
        <v>4.53438269</v>
      </c>
      <c r="S37" s="51"/>
      <c r="T37" s="56">
        <f t="shared" si="4"/>
        <v>120.4620333</v>
      </c>
      <c r="U37" s="56">
        <f t="shared" si="13"/>
        <v>19.48634212</v>
      </c>
      <c r="V37" s="52">
        <f t="shared" si="6"/>
        <v>1.01232308</v>
      </c>
      <c r="W37" s="51">
        <f t="shared" si="7"/>
        <v>1</v>
      </c>
      <c r="X37" s="51">
        <f t="shared" si="8"/>
        <v>32</v>
      </c>
      <c r="Y37" s="87"/>
      <c r="Z37" s="79">
        <f t="shared" si="9"/>
        <v>-0.166846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-3.20665E-4</v>
      </c>
      <c r="L38" s="53">
        <v>4.66206212231489E-6</v>
      </c>
      <c r="M38" s="52">
        <f t="shared" si="1"/>
        <v>-320.665</v>
      </c>
      <c r="N38" s="52">
        <v>0.480978887</v>
      </c>
      <c r="O38" s="52">
        <v>-317.169799805</v>
      </c>
      <c r="P38" s="52">
        <v>0.7227088</v>
      </c>
      <c r="Q38" s="54">
        <f t="shared" si="2"/>
        <v>-0.01089984936</v>
      </c>
      <c r="R38" s="55">
        <f t="shared" si="3"/>
        <v>4.026128009</v>
      </c>
      <c r="S38" s="51"/>
      <c r="T38" s="56">
        <f t="shared" si="4"/>
        <v>231.5186333</v>
      </c>
      <c r="U38" s="56">
        <f t="shared" si="13"/>
        <v>37.45122986</v>
      </c>
      <c r="V38" s="52">
        <f t="shared" si="6"/>
        <v>1.011019965</v>
      </c>
      <c r="W38" s="51">
        <f t="shared" si="7"/>
        <v>1</v>
      </c>
      <c r="X38" s="51">
        <f t="shared" si="8"/>
        <v>33</v>
      </c>
      <c r="Y38" s="87"/>
      <c r="Z38" s="79">
        <f t="shared" si="9"/>
        <v>-0.320665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-5.22794E-4</v>
      </c>
      <c r="L39" s="53">
        <v>6.65922038692339E-6</v>
      </c>
      <c r="M39" s="52">
        <f t="shared" si="1"/>
        <v>-522.794</v>
      </c>
      <c r="N39" s="52">
        <v>0.79408351</v>
      </c>
      <c r="O39" s="52">
        <v>-518.256469727</v>
      </c>
      <c r="P39" s="52">
        <v>1.187310471</v>
      </c>
      <c r="Q39" s="54">
        <f t="shared" si="2"/>
        <v>-0.008679384754</v>
      </c>
      <c r="R39" s="55">
        <f t="shared" si="3"/>
        <v>3.176692703</v>
      </c>
      <c r="S39" s="51"/>
      <c r="T39" s="56">
        <f t="shared" si="4"/>
        <v>377.4548279</v>
      </c>
      <c r="U39" s="56">
        <f t="shared" si="13"/>
        <v>61.05835768</v>
      </c>
      <c r="V39" s="52">
        <f t="shared" si="6"/>
        <v>1.008755376</v>
      </c>
      <c r="W39" s="51">
        <f t="shared" si="7"/>
        <v>1</v>
      </c>
      <c r="X39" s="51">
        <f t="shared" si="8"/>
        <v>34</v>
      </c>
      <c r="Y39" s="87"/>
      <c r="Z39" s="79">
        <f t="shared" si="9"/>
        <v>-0.522794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-7.70769696969697E-4</v>
      </c>
      <c r="L40" s="53">
        <v>1.28166621028353E-5</v>
      </c>
      <c r="M40" s="52">
        <f t="shared" si="1"/>
        <v>-770.769697</v>
      </c>
      <c r="N40" s="52">
        <v>1.192328768</v>
      </c>
      <c r="O40" s="52">
        <v>-769.331665039</v>
      </c>
      <c r="P40" s="52">
        <v>1.76674912</v>
      </c>
      <c r="Q40" s="54">
        <f t="shared" si="2"/>
        <v>-0.001865708961</v>
      </c>
      <c r="R40" s="55">
        <f t="shared" si="3"/>
        <v>0.6746752127</v>
      </c>
      <c r="S40" s="51"/>
      <c r="T40" s="56">
        <f t="shared" si="4"/>
        <v>556.4921237</v>
      </c>
      <c r="U40" s="56">
        <f t="shared" si="13"/>
        <v>90.02003053</v>
      </c>
      <c r="V40" s="52">
        <f t="shared" si="6"/>
        <v>1.001869196</v>
      </c>
      <c r="W40" s="51">
        <f t="shared" si="7"/>
        <v>1</v>
      </c>
      <c r="X40" s="51">
        <f t="shared" si="8"/>
        <v>35</v>
      </c>
      <c r="Y40" s="87"/>
      <c r="Z40" s="79">
        <f t="shared" si="9"/>
        <v>-0.770769697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-5.94153846153846E-7</v>
      </c>
      <c r="L41" s="60">
        <v>5.0210409075083E-8</v>
      </c>
      <c r="M41" s="59">
        <f t="shared" si="1"/>
        <v>-0.5941538462</v>
      </c>
      <c r="N41" s="59">
        <v>0.005633917</v>
      </c>
      <c r="O41" s="59">
        <v>-0.613704324</v>
      </c>
      <c r="P41" s="59">
        <v>0.005645752</v>
      </c>
      <c r="Q41" s="61">
        <f t="shared" si="2"/>
        <v>0.03290474003</v>
      </c>
      <c r="R41" s="62">
        <f t="shared" si="3"/>
        <v>-2.451183249</v>
      </c>
      <c r="S41" s="58"/>
      <c r="T41" s="63">
        <f t="shared" si="4"/>
        <v>0.4289763037</v>
      </c>
      <c r="U41" s="63">
        <f t="shared" ref="U41:U47" si="14">K41/$K$42</f>
        <v>0.04782700344</v>
      </c>
      <c r="V41" s="59">
        <f t="shared" si="6"/>
        <v>0.9681434901</v>
      </c>
      <c r="W41" s="58">
        <f t="shared" si="7"/>
        <v>1</v>
      </c>
      <c r="X41" s="58">
        <f t="shared" si="8"/>
        <v>36</v>
      </c>
      <c r="Y41" s="89"/>
      <c r="Z41" s="68">
        <f t="shared" si="9"/>
        <v>-0.0005941538462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-1.24229787234042E-5</v>
      </c>
      <c r="L42" s="60">
        <v>2.71149801025562E-7</v>
      </c>
      <c r="M42" s="59">
        <f t="shared" si="1"/>
        <v>-12.42297872</v>
      </c>
      <c r="N42" s="59">
        <v>0.027244542</v>
      </c>
      <c r="O42" s="59">
        <v>-12.457491875</v>
      </c>
      <c r="P42" s="59">
        <v>0.026434233</v>
      </c>
      <c r="Q42" s="61">
        <f t="shared" si="2"/>
        <v>0.002778170386</v>
      </c>
      <c r="R42" s="62">
        <f t="shared" si="3"/>
        <v>-0.9091751228</v>
      </c>
      <c r="S42" s="58"/>
      <c r="T42" s="63">
        <f t="shared" si="4"/>
        <v>8.969332655</v>
      </c>
      <c r="U42" s="63">
        <f t="shared" si="14"/>
        <v>1</v>
      </c>
      <c r="V42" s="59">
        <f t="shared" si="6"/>
        <v>0.9972295265</v>
      </c>
      <c r="W42" s="58">
        <f t="shared" si="7"/>
        <v>1</v>
      </c>
      <c r="X42" s="58">
        <f t="shared" si="8"/>
        <v>37</v>
      </c>
      <c r="Y42" s="89"/>
      <c r="Z42" s="70">
        <f t="shared" si="9"/>
        <v>-0.01242297872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-9.04340999999999E-5</v>
      </c>
      <c r="L43" s="60">
        <v>1.24463462246329E-6</v>
      </c>
      <c r="M43" s="59">
        <f t="shared" si="1"/>
        <v>-90.4341</v>
      </c>
      <c r="N43" s="59">
        <v>0.133955775</v>
      </c>
      <c r="O43" s="59">
        <v>-89.383003235</v>
      </c>
      <c r="P43" s="59">
        <v>0.19879974</v>
      </c>
      <c r="Q43" s="61">
        <f t="shared" si="2"/>
        <v>-0.01162279234</v>
      </c>
      <c r="R43" s="62">
        <f t="shared" si="3"/>
        <v>4.38469265</v>
      </c>
      <c r="S43" s="58"/>
      <c r="T43" s="63">
        <f t="shared" si="4"/>
        <v>65.2929981</v>
      </c>
      <c r="U43" s="63">
        <f t="shared" si="14"/>
        <v>7.27958262</v>
      </c>
      <c r="V43" s="59">
        <f t="shared" si="6"/>
        <v>1.01175947</v>
      </c>
      <c r="W43" s="58">
        <f t="shared" si="7"/>
        <v>1</v>
      </c>
      <c r="X43" s="58">
        <f t="shared" si="8"/>
        <v>38</v>
      </c>
      <c r="Y43" s="89"/>
      <c r="Z43" s="70">
        <f t="shared" si="9"/>
        <v>-0.0904341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-2.39846E-4</v>
      </c>
      <c r="L44" s="60">
        <v>3.4971104955637E-6</v>
      </c>
      <c r="M44" s="59">
        <f t="shared" si="1"/>
        <v>-239.846</v>
      </c>
      <c r="N44" s="59">
        <v>0.359249098</v>
      </c>
      <c r="O44" s="59">
        <v>-237.48248291</v>
      </c>
      <c r="P44" s="59">
        <v>0.537046882</v>
      </c>
      <c r="Q44" s="61">
        <f t="shared" si="2"/>
        <v>-0.009854311058</v>
      </c>
      <c r="R44" s="62">
        <f t="shared" si="3"/>
        <v>3.657979694</v>
      </c>
      <c r="S44" s="58"/>
      <c r="T44" s="63">
        <f t="shared" si="4"/>
        <v>173.1676925</v>
      </c>
      <c r="U44" s="63">
        <f t="shared" si="14"/>
        <v>19.30664178</v>
      </c>
      <c r="V44" s="59">
        <f t="shared" si="6"/>
        <v>1.009952385</v>
      </c>
      <c r="W44" s="58">
        <f t="shared" si="7"/>
        <v>1</v>
      </c>
      <c r="X44" s="58">
        <f t="shared" si="8"/>
        <v>39</v>
      </c>
      <c r="Y44" s="89"/>
      <c r="Z44" s="79">
        <f t="shared" si="9"/>
        <v>-0.239846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-4.59132E-4</v>
      </c>
      <c r="L45" s="60">
        <v>5.75859270125869E-6</v>
      </c>
      <c r="M45" s="59">
        <f t="shared" si="1"/>
        <v>-459.132</v>
      </c>
      <c r="N45" s="59">
        <v>0.696952669</v>
      </c>
      <c r="O45" s="59">
        <v>-456.47744751</v>
      </c>
      <c r="P45" s="59">
        <v>1.040700672</v>
      </c>
      <c r="Q45" s="61">
        <f t="shared" si="2"/>
        <v>-0.005781676054</v>
      </c>
      <c r="R45" s="62">
        <f t="shared" si="3"/>
        <v>2.119373017</v>
      </c>
      <c r="S45" s="58"/>
      <c r="T45" s="63">
        <f t="shared" si="4"/>
        <v>331.491161</v>
      </c>
      <c r="U45" s="63">
        <f t="shared" si="14"/>
        <v>36.95828595</v>
      </c>
      <c r="V45" s="59">
        <f t="shared" si="6"/>
        <v>1.005815298</v>
      </c>
      <c r="W45" s="58">
        <f t="shared" si="7"/>
        <v>1</v>
      </c>
      <c r="X45" s="58">
        <f t="shared" si="8"/>
        <v>40</v>
      </c>
      <c r="Y45" s="89"/>
      <c r="Z45" s="79">
        <f t="shared" si="9"/>
        <v>-0.459132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-7.46355555555555E-4</v>
      </c>
      <c r="L46" s="60">
        <v>9.98539977250686E-6</v>
      </c>
      <c r="M46" s="59">
        <f t="shared" si="1"/>
        <v>-746.3555556</v>
      </c>
      <c r="N46" s="59">
        <v>1.158245614</v>
      </c>
      <c r="O46" s="59">
        <v>-746.233276367</v>
      </c>
      <c r="P46" s="59">
        <v>1.709727078</v>
      </c>
      <c r="Q46" s="61">
        <f t="shared" si="2"/>
        <v>-0.000163835035</v>
      </c>
      <c r="R46" s="62">
        <f t="shared" si="3"/>
        <v>0.05921180854</v>
      </c>
      <c r="S46" s="58"/>
      <c r="T46" s="63">
        <f t="shared" si="4"/>
        <v>538.8652275</v>
      </c>
      <c r="U46" s="63">
        <f t="shared" si="14"/>
        <v>60.07863107</v>
      </c>
      <c r="V46" s="59">
        <f t="shared" si="6"/>
        <v>1.000163862</v>
      </c>
      <c r="W46" s="58">
        <f t="shared" si="7"/>
        <v>1</v>
      </c>
      <c r="X46" s="58">
        <f t="shared" si="8"/>
        <v>41</v>
      </c>
      <c r="Y46" s="89"/>
      <c r="Z46" s="79">
        <f t="shared" si="9"/>
        <v>-0.7463555556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-0.00109089999999999</v>
      </c>
      <c r="L47" s="60">
        <v>1.68962968867396E-5</v>
      </c>
      <c r="M47" s="59">
        <f t="shared" si="1"/>
        <v>-1090.9</v>
      </c>
      <c r="N47" s="59">
        <v>1.722678877</v>
      </c>
      <c r="O47" s="59">
        <v>-1106.871948242</v>
      </c>
      <c r="P47" s="59">
        <v>2.544118733</v>
      </c>
      <c r="Q47" s="61">
        <f t="shared" si="2"/>
        <v>0.01464107456</v>
      </c>
      <c r="R47" s="62">
        <f t="shared" si="3"/>
        <v>-5.198381589</v>
      </c>
      <c r="S47" s="58"/>
      <c r="T47" s="63">
        <f t="shared" si="4"/>
        <v>787.6247083</v>
      </c>
      <c r="U47" s="63">
        <f t="shared" si="14"/>
        <v>87.81307803</v>
      </c>
      <c r="V47" s="59">
        <f t="shared" si="6"/>
        <v>0.9855701933</v>
      </c>
      <c r="W47" s="58">
        <f t="shared" si="7"/>
        <v>1</v>
      </c>
      <c r="X47" s="58">
        <f t="shared" si="8"/>
        <v>42</v>
      </c>
      <c r="Y47" s="89"/>
      <c r="Z47" s="14">
        <f t="shared" si="9"/>
        <v>-1.0909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-9.6981011235955E-7</v>
      </c>
      <c r="L48" s="96">
        <v>9.91483931985328E-8</v>
      </c>
      <c r="M48" s="95">
        <f t="shared" si="1"/>
        <v>-0.9698101124</v>
      </c>
      <c r="N48" s="95">
        <v>0.009916846</v>
      </c>
      <c r="O48" s="95">
        <v>-1.091041207</v>
      </c>
      <c r="P48" s="95">
        <v>0.010036892</v>
      </c>
      <c r="Q48" s="97">
        <f t="shared" si="2"/>
        <v>0.125004981</v>
      </c>
      <c r="R48" s="98">
        <f t="shared" si="3"/>
        <v>-8.592052054</v>
      </c>
      <c r="S48" s="94"/>
      <c r="T48" s="99">
        <f t="shared" si="4"/>
        <v>0.7001983746</v>
      </c>
      <c r="U48" s="99">
        <f t="shared" ref="U48:U54" si="15">K48/$K$49</f>
        <v>0.04427904982</v>
      </c>
      <c r="V48" s="95">
        <f t="shared" si="6"/>
        <v>0.8888849533</v>
      </c>
      <c r="W48" s="94">
        <f t="shared" si="7"/>
        <v>0</v>
      </c>
      <c r="X48" s="94">
        <f t="shared" si="8"/>
        <v>43</v>
      </c>
      <c r="Y48" s="100"/>
      <c r="Z48" s="68">
        <f t="shared" si="9"/>
        <v>-0.0009698101124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-2.19022340425531E-5</v>
      </c>
      <c r="L49" s="96">
        <v>4.95695783950693E-7</v>
      </c>
      <c r="M49" s="95">
        <f t="shared" si="1"/>
        <v>-21.90223404</v>
      </c>
      <c r="N49" s="95">
        <v>0.04847189</v>
      </c>
      <c r="O49" s="95">
        <v>-22.147260666</v>
      </c>
      <c r="P49" s="95">
        <v>0.046994191</v>
      </c>
      <c r="Q49" s="97">
        <f t="shared" si="2"/>
        <v>0.01118728907</v>
      </c>
      <c r="R49" s="98">
        <f t="shared" si="3"/>
        <v>-3.629335844</v>
      </c>
      <c r="S49" s="94"/>
      <c r="T49" s="99">
        <f t="shared" si="4"/>
        <v>15.81331075</v>
      </c>
      <c r="U49" s="99">
        <f t="shared" si="15"/>
        <v>1</v>
      </c>
      <c r="V49" s="95">
        <f t="shared" si="6"/>
        <v>0.9889364817</v>
      </c>
      <c r="W49" s="94">
        <f t="shared" si="7"/>
        <v>1</v>
      </c>
      <c r="X49" s="94">
        <f t="shared" si="8"/>
        <v>44</v>
      </c>
      <c r="Y49" s="100"/>
      <c r="Z49" s="70">
        <f t="shared" si="9"/>
        <v>-0.02190223404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-1.59142E-4</v>
      </c>
      <c r="L50" s="96">
        <v>2.33360085046541E-6</v>
      </c>
      <c r="M50" s="95">
        <f t="shared" si="1"/>
        <v>-159.142</v>
      </c>
      <c r="N50" s="95">
        <v>0.239499891</v>
      </c>
      <c r="O50" s="95">
        <v>-158.933059692</v>
      </c>
      <c r="P50" s="95">
        <v>0.35342176</v>
      </c>
      <c r="Q50" s="97">
        <f t="shared" si="2"/>
        <v>-0.001312917445</v>
      </c>
      <c r="R50" s="98">
        <f t="shared" si="3"/>
        <v>0.4894045956</v>
      </c>
      <c r="S50" s="94"/>
      <c r="T50" s="99">
        <f t="shared" si="4"/>
        <v>114.8997812</v>
      </c>
      <c r="U50" s="99">
        <f t="shared" si="15"/>
        <v>7.266016777</v>
      </c>
      <c r="V50" s="95">
        <f t="shared" si="6"/>
        <v>1.001314643</v>
      </c>
      <c r="W50" s="94">
        <f t="shared" si="7"/>
        <v>1</v>
      </c>
      <c r="X50" s="94">
        <f t="shared" si="8"/>
        <v>45</v>
      </c>
      <c r="Y50" s="100"/>
      <c r="Z50" s="79">
        <f t="shared" si="9"/>
        <v>-0.159142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-4.21236E-4</v>
      </c>
      <c r="L51" s="96">
        <v>5.94573983808762E-6</v>
      </c>
      <c r="M51" s="95">
        <f t="shared" si="1"/>
        <v>-421.236</v>
      </c>
      <c r="N51" s="95">
        <v>0.644527659</v>
      </c>
      <c r="O51" s="95">
        <v>-421.771453857</v>
      </c>
      <c r="P51" s="95">
        <v>0.954750012</v>
      </c>
      <c r="Q51" s="97">
        <f t="shared" si="2"/>
        <v>0.001271149325</v>
      </c>
      <c r="R51" s="98">
        <f t="shared" si="3"/>
        <v>-0.4648283036</v>
      </c>
      <c r="S51" s="94"/>
      <c r="T51" s="99">
        <f t="shared" si="4"/>
        <v>304.1304259</v>
      </c>
      <c r="U51" s="99">
        <f t="shared" si="15"/>
        <v>19.23255861</v>
      </c>
      <c r="V51" s="95">
        <f t="shared" si="6"/>
        <v>0.9987304644</v>
      </c>
      <c r="W51" s="94">
        <f t="shared" si="7"/>
        <v>1</v>
      </c>
      <c r="X51" s="94">
        <f t="shared" si="8"/>
        <v>46</v>
      </c>
      <c r="Y51" s="100"/>
      <c r="Z51" s="79">
        <f t="shared" si="9"/>
        <v>-0.421236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-8.04409E-4</v>
      </c>
      <c r="L52" s="96">
        <v>1.12433063813025E-5</v>
      </c>
      <c r="M52" s="95">
        <f t="shared" si="1"/>
        <v>-804.409</v>
      </c>
      <c r="N52" s="95">
        <v>1.255204357</v>
      </c>
      <c r="O52" s="95">
        <v>-810.878173828</v>
      </c>
      <c r="P52" s="95">
        <v>1.850134529</v>
      </c>
      <c r="Q52" s="97">
        <f t="shared" si="2"/>
        <v>0.008042145013</v>
      </c>
      <c r="R52" s="98">
        <f t="shared" si="3"/>
        <v>-2.893526202</v>
      </c>
      <c r="S52" s="94"/>
      <c r="T52" s="99">
        <f t="shared" si="4"/>
        <v>580.7795435</v>
      </c>
      <c r="U52" s="99">
        <f t="shared" si="15"/>
        <v>36.72725798</v>
      </c>
      <c r="V52" s="95">
        <f t="shared" si="6"/>
        <v>0.9920220151</v>
      </c>
      <c r="W52" s="94">
        <f t="shared" si="7"/>
        <v>1</v>
      </c>
      <c r="X52" s="94">
        <f t="shared" si="8"/>
        <v>47</v>
      </c>
      <c r="Y52" s="100"/>
      <c r="Z52" s="79">
        <f t="shared" si="9"/>
        <v>-0.804409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-0.00129485</v>
      </c>
      <c r="L53" s="96">
        <v>2.10628568668625E-5</v>
      </c>
      <c r="M53" s="95">
        <f t="shared" si="1"/>
        <v>-1294.85</v>
      </c>
      <c r="N53" s="95">
        <v>2.072021281</v>
      </c>
      <c r="O53" s="95">
        <v>-1326.876220703</v>
      </c>
      <c r="P53" s="95">
        <v>3.039514805</v>
      </c>
      <c r="Q53" s="97">
        <f t="shared" si="2"/>
        <v>0.02473353725</v>
      </c>
      <c r="R53" s="98">
        <f t="shared" si="3"/>
        <v>-8.706145927</v>
      </c>
      <c r="S53" s="94"/>
      <c r="T53" s="99">
        <f t="shared" si="4"/>
        <v>934.8756564</v>
      </c>
      <c r="U53" s="99">
        <f t="shared" si="15"/>
        <v>59.11953993</v>
      </c>
      <c r="V53" s="95">
        <f t="shared" si="6"/>
        <v>0.9758634451</v>
      </c>
      <c r="W53" s="94">
        <f t="shared" si="7"/>
        <v>1</v>
      </c>
      <c r="X53" s="94">
        <f t="shared" si="8"/>
        <v>48</v>
      </c>
      <c r="Y53" s="100"/>
      <c r="Z53" s="14">
        <f t="shared" si="9"/>
        <v>-1.29485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-0.00190394</v>
      </c>
      <c r="L54" s="96">
        <v>2.92214878734015E-5</v>
      </c>
      <c r="M54" s="95">
        <f t="shared" si="1"/>
        <v>-1903.94</v>
      </c>
      <c r="N54" s="95">
        <v>3.084467225</v>
      </c>
      <c r="O54" s="95">
        <v>-1968.864868164</v>
      </c>
      <c r="P54" s="95">
        <v>4.522877748</v>
      </c>
      <c r="Q54" s="97">
        <f t="shared" si="2"/>
        <v>0.03410027005</v>
      </c>
      <c r="R54" s="98">
        <f t="shared" si="3"/>
        <v>-11.85946473</v>
      </c>
      <c r="S54" s="94"/>
      <c r="T54" s="99">
        <f t="shared" si="4"/>
        <v>1374.635793</v>
      </c>
      <c r="U54" s="99">
        <f t="shared" si="15"/>
        <v>86.92903182</v>
      </c>
      <c r="V54" s="95">
        <f t="shared" si="6"/>
        <v>0.9670242132</v>
      </c>
      <c r="W54" s="94">
        <f t="shared" si="7"/>
        <v>1</v>
      </c>
      <c r="X54" s="94">
        <f t="shared" si="8"/>
        <v>49</v>
      </c>
      <c r="Y54" s="100"/>
      <c r="Z54" s="14">
        <f t="shared" si="9"/>
        <v>-1.90394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-1.32630909090909E-6</v>
      </c>
      <c r="L55" s="103">
        <v>1.42852847393251E-7</v>
      </c>
      <c r="M55" s="102">
        <f t="shared" si="1"/>
        <v>-1.326309091</v>
      </c>
      <c r="N55" s="102">
        <v>0.014923681</v>
      </c>
      <c r="O55" s="102">
        <v>-1.704774618</v>
      </c>
      <c r="P55" s="102">
        <v>0.015682644</v>
      </c>
      <c r="Q55" s="104">
        <f t="shared" si="2"/>
        <v>0.2853524338</v>
      </c>
      <c r="R55" s="106">
        <f t="shared" si="3"/>
        <v>-17.48222287</v>
      </c>
      <c r="S55" s="101"/>
      <c r="T55" s="108">
        <f t="shared" si="4"/>
        <v>0.9575889732</v>
      </c>
      <c r="U55" s="108">
        <f t="shared" ref="U55:U61" si="16">K55/$K$56</f>
        <v>0.03906391527</v>
      </c>
      <c r="V55" s="102">
        <f t="shared" si="6"/>
        <v>0.7779967375</v>
      </c>
      <c r="W55" s="101">
        <f t="shared" si="7"/>
        <v>0</v>
      </c>
      <c r="X55" s="101">
        <f t="shared" si="8"/>
        <v>50</v>
      </c>
      <c r="Y55" s="110"/>
      <c r="Z55" s="69">
        <f t="shared" si="9"/>
        <v>-0.001326309091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-3.39522826086956E-5</v>
      </c>
      <c r="L56" s="103">
        <v>7.19569626045448E-7</v>
      </c>
      <c r="M56" s="102">
        <f t="shared" si="1"/>
        <v>-33.95228261</v>
      </c>
      <c r="N56" s="102">
        <v>0.077126865</v>
      </c>
      <c r="O56" s="102">
        <v>-34.628185272</v>
      </c>
      <c r="P56" s="102">
        <v>0.073428424</v>
      </c>
      <c r="Q56" s="104">
        <f t="shared" si="2"/>
        <v>0.01990742923</v>
      </c>
      <c r="R56" s="106">
        <f t="shared" si="3"/>
        <v>-6.347053214</v>
      </c>
      <c r="S56" s="101"/>
      <c r="T56" s="108">
        <f t="shared" si="4"/>
        <v>24.51338957</v>
      </c>
      <c r="U56" s="108">
        <f t="shared" si="16"/>
        <v>1</v>
      </c>
      <c r="V56" s="102">
        <f t="shared" si="6"/>
        <v>0.9804811411</v>
      </c>
      <c r="W56" s="101">
        <f t="shared" si="7"/>
        <v>1</v>
      </c>
      <c r="X56" s="101">
        <f t="shared" si="8"/>
        <v>51</v>
      </c>
      <c r="Y56" s="110"/>
      <c r="Z56" s="70">
        <f t="shared" si="9"/>
        <v>-0.03395228261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-2.46995999999999E-4</v>
      </c>
      <c r="L57" s="103">
        <v>3.04328769589731E-6</v>
      </c>
      <c r="M57" s="102">
        <f t="shared" si="1"/>
        <v>-246.996</v>
      </c>
      <c r="N57" s="102">
        <v>0.378939765</v>
      </c>
      <c r="O57" s="102">
        <v>-248.412521362</v>
      </c>
      <c r="P57" s="102">
        <v>0.552221501</v>
      </c>
      <c r="Q57" s="104">
        <f t="shared" si="2"/>
        <v>0.005734997174</v>
      </c>
      <c r="R57" s="106">
        <f t="shared" si="3"/>
        <v>-2.115049985</v>
      </c>
      <c r="S57" s="101"/>
      <c r="T57" s="108">
        <f t="shared" si="4"/>
        <v>178.3299592</v>
      </c>
      <c r="U57" s="108">
        <f t="shared" si="16"/>
        <v>7.27479807</v>
      </c>
      <c r="V57" s="102">
        <f t="shared" si="6"/>
        <v>0.9942977055</v>
      </c>
      <c r="W57" s="101">
        <f t="shared" si="7"/>
        <v>1</v>
      </c>
      <c r="X57" s="101">
        <f t="shared" si="8"/>
        <v>52</v>
      </c>
      <c r="Y57" s="110"/>
      <c r="Z57" s="79">
        <f t="shared" si="9"/>
        <v>-0.246996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-6.49823E-4</v>
      </c>
      <c r="L58" s="103">
        <v>9.12152360788991E-6</v>
      </c>
      <c r="M58" s="102">
        <f t="shared" si="1"/>
        <v>-649.823</v>
      </c>
      <c r="N58" s="102">
        <v>1.01893222</v>
      </c>
      <c r="O58" s="102">
        <v>-659.259887695</v>
      </c>
      <c r="P58" s="102">
        <v>1.491796893</v>
      </c>
      <c r="Q58" s="104">
        <f t="shared" si="2"/>
        <v>0.01452224328</v>
      </c>
      <c r="R58" s="106">
        <f t="shared" si="3"/>
        <v>-5.223660532</v>
      </c>
      <c r="S58" s="101"/>
      <c r="T58" s="108">
        <f t="shared" si="4"/>
        <v>469.169173</v>
      </c>
      <c r="U58" s="108">
        <f t="shared" si="16"/>
        <v>19.13930228</v>
      </c>
      <c r="V58" s="102">
        <f t="shared" si="6"/>
        <v>0.9856856334</v>
      </c>
      <c r="W58" s="101">
        <f t="shared" si="7"/>
        <v>1</v>
      </c>
      <c r="X58" s="101">
        <f t="shared" si="8"/>
        <v>53</v>
      </c>
      <c r="Y58" s="110"/>
      <c r="Z58" s="79">
        <f t="shared" si="9"/>
        <v>-0.649823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-0.00122813</v>
      </c>
      <c r="L59" s="103">
        <v>1.8864029690435E-5</v>
      </c>
      <c r="M59" s="102">
        <f t="shared" si="1"/>
        <v>-1228.13</v>
      </c>
      <c r="N59" s="102">
        <v>1.974258002</v>
      </c>
      <c r="O59" s="102">
        <v>-1268.679199219</v>
      </c>
      <c r="P59" s="102">
        <v>2.890835201</v>
      </c>
      <c r="Q59" s="104">
        <f t="shared" si="2"/>
        <v>0.03301702525</v>
      </c>
      <c r="R59" s="106">
        <f t="shared" si="3"/>
        <v>-11.58330009</v>
      </c>
      <c r="S59" s="101"/>
      <c r="T59" s="108">
        <f t="shared" si="4"/>
        <v>886.7041278</v>
      </c>
      <c r="U59" s="108">
        <f t="shared" si="16"/>
        <v>36.17223661</v>
      </c>
      <c r="V59" s="102">
        <f t="shared" si="6"/>
        <v>0.9680382564</v>
      </c>
      <c r="W59" s="101">
        <f t="shared" si="7"/>
        <v>1</v>
      </c>
      <c r="X59" s="101">
        <f t="shared" si="8"/>
        <v>54</v>
      </c>
      <c r="Y59" s="110"/>
      <c r="Z59" s="14">
        <f t="shared" si="9"/>
        <v>-1.22813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-0.00199233</v>
      </c>
      <c r="L60" s="103">
        <v>3.0349165032696E-5</v>
      </c>
      <c r="M60" s="102">
        <f t="shared" si="1"/>
        <v>-1992.33</v>
      </c>
      <c r="N60" s="102">
        <v>3.235905061</v>
      </c>
      <c r="O60" s="102">
        <v>-2073.026123047</v>
      </c>
      <c r="P60" s="102">
        <v>4.749241882</v>
      </c>
      <c r="Q60" s="104">
        <f t="shared" si="2"/>
        <v>0.04050339203</v>
      </c>
      <c r="R60" s="106">
        <f t="shared" si="3"/>
        <v>-14.04178061</v>
      </c>
      <c r="S60" s="101"/>
      <c r="T60" s="108">
        <f t="shared" si="4"/>
        <v>1438.452961</v>
      </c>
      <c r="U60" s="108">
        <f t="shared" si="16"/>
        <v>58.6802962</v>
      </c>
      <c r="V60" s="102">
        <f t="shared" si="6"/>
        <v>0.9610732725</v>
      </c>
      <c r="W60" s="101">
        <f t="shared" si="7"/>
        <v>1</v>
      </c>
      <c r="X60" s="101">
        <f t="shared" si="8"/>
        <v>55</v>
      </c>
      <c r="Y60" s="110"/>
      <c r="Z60" s="14">
        <f t="shared" si="9"/>
        <v>-1.99233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-0.00289976999999999</v>
      </c>
      <c r="L61" s="103">
        <v>5.68264867465831E-5</v>
      </c>
      <c r="M61" s="102">
        <f t="shared" si="1"/>
        <v>-2899.77</v>
      </c>
      <c r="N61" s="102">
        <v>4.795985949</v>
      </c>
      <c r="O61" s="102">
        <v>-3077.326416016</v>
      </c>
      <c r="P61" s="102">
        <v>7.06699648</v>
      </c>
      <c r="Q61" s="104">
        <f t="shared" si="2"/>
        <v>0.06123120662</v>
      </c>
      <c r="R61" s="106">
        <f t="shared" si="3"/>
        <v>-20.7893935</v>
      </c>
      <c r="S61" s="101"/>
      <c r="T61" s="108">
        <f t="shared" si="4"/>
        <v>2093.620405</v>
      </c>
      <c r="U61" s="108">
        <f t="shared" si="16"/>
        <v>85.40721793</v>
      </c>
      <c r="V61" s="102">
        <f t="shared" si="6"/>
        <v>0.9423017282</v>
      </c>
      <c r="W61" s="101">
        <f t="shared" si="7"/>
        <v>1</v>
      </c>
      <c r="X61" s="101">
        <f t="shared" si="8"/>
        <v>56</v>
      </c>
      <c r="Y61" s="110"/>
      <c r="Z61" s="14">
        <f t="shared" si="9"/>
        <v>-2.89977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-1.38936458333333E-6</v>
      </c>
      <c r="L62" s="117">
        <v>2.90103864491637E-8</v>
      </c>
      <c r="M62" s="116">
        <f t="shared" si="1"/>
        <v>-1.389364583</v>
      </c>
      <c r="N62" s="116">
        <v>0.002984111</v>
      </c>
      <c r="O62" s="116">
        <v>-1.384203792</v>
      </c>
      <c r="P62" s="116">
        <v>0.002937137</v>
      </c>
      <c r="Q62" s="118">
        <f t="shared" si="2"/>
        <v>-0.003714497545</v>
      </c>
      <c r="R62" s="119">
        <f t="shared" si="3"/>
        <v>1.232549531</v>
      </c>
      <c r="T62" s="120">
        <f t="shared" si="4"/>
        <v>1.003114744</v>
      </c>
      <c r="V62" s="1">
        <f t="shared" si="6"/>
        <v>1.003728346</v>
      </c>
      <c r="W62" s="121">
        <f t="shared" si="7"/>
        <v>1</v>
      </c>
      <c r="X62" s="121">
        <f t="shared" si="8"/>
        <v>57</v>
      </c>
      <c r="Z62" s="69">
        <f t="shared" si="9"/>
        <v>-0.001389364583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-1.38958762886597E-6</v>
      </c>
      <c r="L63" s="117">
        <v>2.89423826252693E-8</v>
      </c>
      <c r="M63" s="116">
        <f t="shared" si="1"/>
        <v>-1.389587629</v>
      </c>
      <c r="N63" s="116">
        <v>0.002971166</v>
      </c>
      <c r="O63" s="116">
        <v>-1.384203792</v>
      </c>
      <c r="P63" s="116">
        <v>0.002937137</v>
      </c>
      <c r="Q63" s="118">
        <f t="shared" si="2"/>
        <v>-0.003874413354</v>
      </c>
      <c r="R63" s="119">
        <f t="shared" si="3"/>
        <v>1.288655784</v>
      </c>
      <c r="T63" s="120">
        <f t="shared" si="4"/>
        <v>1.003275782</v>
      </c>
      <c r="V63" s="1">
        <f t="shared" si="6"/>
        <v>1.003889483</v>
      </c>
      <c r="W63" s="121">
        <f t="shared" si="7"/>
        <v>1</v>
      </c>
      <c r="X63" s="121">
        <f t="shared" si="8"/>
        <v>58</v>
      </c>
      <c r="Z63" s="69">
        <f t="shared" si="9"/>
        <v>-0.001389587629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-2.48853999999999E-5</v>
      </c>
      <c r="L64" s="117">
        <v>4.27136152683535E-7</v>
      </c>
      <c r="M64" s="116">
        <f t="shared" si="1"/>
        <v>-24.8854</v>
      </c>
      <c r="N64" s="116">
        <v>0.037026371</v>
      </c>
      <c r="O64" s="116">
        <v>-24.661775589</v>
      </c>
      <c r="P64" s="116">
        <v>0.057416857</v>
      </c>
      <c r="Q64" s="118">
        <f t="shared" si="2"/>
        <v>-0.008986169039</v>
      </c>
      <c r="R64" s="119">
        <f t="shared" si="3"/>
        <v>3.273182186</v>
      </c>
      <c r="T64" s="120">
        <f t="shared" si="4"/>
        <v>17.96714265</v>
      </c>
      <c r="V64" s="1">
        <f t="shared" si="6"/>
        <v>1.009067652</v>
      </c>
      <c r="W64" s="121">
        <f t="shared" si="7"/>
        <v>1</v>
      </c>
      <c r="X64" s="121">
        <f t="shared" si="8"/>
        <v>59</v>
      </c>
      <c r="Z64" s="70">
        <f t="shared" si="9"/>
        <v>-0.0248854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-1.38852040816326E-6</v>
      </c>
      <c r="L65" s="117">
        <v>3.07856673010654E-8</v>
      </c>
      <c r="M65" s="116">
        <f t="shared" si="1"/>
        <v>-1.388520408</v>
      </c>
      <c r="N65" s="116">
        <v>0.002953197</v>
      </c>
      <c r="O65" s="116">
        <v>-1.383829951</v>
      </c>
      <c r="P65" s="116">
        <v>0.002956462</v>
      </c>
      <c r="Q65" s="118">
        <f t="shared" si="2"/>
        <v>-0.003378025368</v>
      </c>
      <c r="R65" s="119">
        <f t="shared" si="3"/>
        <v>1.122451756</v>
      </c>
      <c r="T65" s="120">
        <f t="shared" si="4"/>
        <v>1.002505254</v>
      </c>
      <c r="V65" s="1">
        <f t="shared" si="6"/>
        <v>1.003389475</v>
      </c>
      <c r="W65" s="121">
        <f t="shared" si="7"/>
        <v>1</v>
      </c>
      <c r="X65" s="121">
        <f t="shared" si="8"/>
        <v>60</v>
      </c>
      <c r="Z65" s="69">
        <f t="shared" si="9"/>
        <v>-0.001388520408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-1.38425252525252E-6</v>
      </c>
      <c r="L66" s="117">
        <v>2.79771566564302E-8</v>
      </c>
      <c r="M66" s="116">
        <f t="shared" si="1"/>
        <v>-1.384252525</v>
      </c>
      <c r="N66" s="116">
        <v>0.002932633</v>
      </c>
      <c r="O66" s="116">
        <v>-1.383832335</v>
      </c>
      <c r="P66" s="116">
        <v>0.002956409</v>
      </c>
      <c r="Q66" s="118">
        <f t="shared" si="2"/>
        <v>-0.0003035502879</v>
      </c>
      <c r="R66" s="119">
        <f t="shared" si="3"/>
        <v>0.1009050217</v>
      </c>
      <c r="T66" s="120">
        <f t="shared" si="4"/>
        <v>0.9994238623</v>
      </c>
      <c r="V66" s="1">
        <f t="shared" si="6"/>
        <v>1.000303642</v>
      </c>
      <c r="W66" s="121">
        <f t="shared" si="7"/>
        <v>1</v>
      </c>
      <c r="X66" s="121">
        <f t="shared" si="8"/>
        <v>61</v>
      </c>
      <c r="Z66" s="69">
        <f t="shared" si="9"/>
        <v>-0.001384252525</v>
      </c>
    </row>
    <row r="67">
      <c r="K67" s="1"/>
      <c r="L67" s="2"/>
      <c r="M67" s="1"/>
      <c r="O67" s="1"/>
      <c r="W67" s="122">
        <f>(SUM(W6:W61)-1)/55</f>
        <v>0.9636363636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46</v>
      </c>
      <c r="W5" s="4">
        <v>0.1</v>
      </c>
      <c r="X5" s="4" t="s">
        <v>2</v>
      </c>
    </row>
    <row r="6">
      <c r="A6" s="8"/>
      <c r="B6" s="8">
        <v>1.0</v>
      </c>
      <c r="C6" s="8">
        <v>2.0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-1.46927883538633E-8</v>
      </c>
      <c r="L6" s="11">
        <v>1.13858743271081E-9</v>
      </c>
      <c r="M6" s="10">
        <f t="shared" ref="M6:M66" si="1">K6*1000000</f>
        <v>-0.01469278835</v>
      </c>
      <c r="N6" s="10">
        <v>4.0636E-5</v>
      </c>
      <c r="O6" s="10">
        <v>-0.013737248</v>
      </c>
      <c r="P6" s="10">
        <v>6.355E-5</v>
      </c>
      <c r="Q6" s="12">
        <f t="shared" ref="Q6:Q66" si="2">(O6-M6)/M6</f>
        <v>-0.06503465039</v>
      </c>
      <c r="R6" s="13">
        <f t="shared" ref="R6:R66" si="3">(O6-M6)/sqrt(N6*N6+P6*P6)</f>
        <v>12.66768373</v>
      </c>
      <c r="S6" s="8"/>
      <c r="T6" s="14">
        <f t="shared" ref="T6:T66" si="4">K6/$K$14</f>
        <v>0.01305425136</v>
      </c>
      <c r="U6" s="14">
        <f t="shared" ref="U6:U12" si="5">K6/$K$7</f>
        <v>0.05206424547</v>
      </c>
      <c r="V6" s="10">
        <f t="shared" ref="V6:V66" si="6">M6/O6</f>
        <v>1.069558354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67">
        <f t="shared" ref="Z6:Z66" si="9">M6*0.001</f>
        <v>-0.00001469278835</v>
      </c>
      <c r="AA6" s="86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2.0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-2.82204960835509E-7</v>
      </c>
      <c r="L7" s="11">
        <v>6.01252196269296E-9</v>
      </c>
      <c r="M7" s="10">
        <f t="shared" si="1"/>
        <v>-0.2822049608</v>
      </c>
      <c r="N7" s="10">
        <v>3.03952E-4</v>
      </c>
      <c r="O7" s="10">
        <v>-0.281355202</v>
      </c>
      <c r="P7" s="10">
        <v>2.97308E-4</v>
      </c>
      <c r="Q7" s="12">
        <f t="shared" si="2"/>
        <v>-0.003011140672</v>
      </c>
      <c r="R7" s="13">
        <f t="shared" si="3"/>
        <v>1.998581491</v>
      </c>
      <c r="S7" s="8"/>
      <c r="T7" s="14">
        <f t="shared" si="4"/>
        <v>0.2507335167</v>
      </c>
      <c r="U7" s="14">
        <f t="shared" si="5"/>
        <v>1</v>
      </c>
      <c r="V7" s="10">
        <f t="shared" si="6"/>
        <v>1.003020235</v>
      </c>
      <c r="W7" s="8">
        <f t="shared" si="7"/>
        <v>1</v>
      </c>
      <c r="X7" s="8">
        <f t="shared" si="8"/>
        <v>2</v>
      </c>
      <c r="Y7" s="15"/>
      <c r="Z7" s="68">
        <f t="shared" si="9"/>
        <v>-0.0002822049608</v>
      </c>
      <c r="AA7" s="86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2.0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-2.03896499999999E-6</v>
      </c>
      <c r="L8" s="11">
        <v>2.95671244669858E-8</v>
      </c>
      <c r="M8" s="10">
        <f t="shared" si="1"/>
        <v>-2.038965</v>
      </c>
      <c r="N8" s="10">
        <v>0.00212447</v>
      </c>
      <c r="O8" s="10">
        <v>-2.021940708</v>
      </c>
      <c r="P8" s="10">
        <v>0.002235765</v>
      </c>
      <c r="Q8" s="12">
        <f t="shared" si="2"/>
        <v>-0.008349477308</v>
      </c>
      <c r="R8" s="13">
        <f t="shared" si="3"/>
        <v>5.519919318</v>
      </c>
      <c r="S8" s="8"/>
      <c r="T8" s="14">
        <f t="shared" si="4"/>
        <v>1.811580007</v>
      </c>
      <c r="U8" s="14">
        <f t="shared" si="5"/>
        <v>7.22512104</v>
      </c>
      <c r="V8" s="10">
        <f t="shared" si="6"/>
        <v>1.008419778</v>
      </c>
      <c r="W8" s="8">
        <f t="shared" si="7"/>
        <v>1</v>
      </c>
      <c r="X8" s="8">
        <f t="shared" si="8"/>
        <v>3</v>
      </c>
      <c r="Y8" s="15"/>
      <c r="Z8" s="69">
        <f t="shared" si="9"/>
        <v>-0.002038965</v>
      </c>
      <c r="AA8" s="86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2.0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-5.41077999999999E-6</v>
      </c>
      <c r="L9" s="11">
        <v>8.12865246856906E-8</v>
      </c>
      <c r="M9" s="10">
        <f t="shared" si="1"/>
        <v>-5.41078</v>
      </c>
      <c r="N9" s="10">
        <v>0.005659523</v>
      </c>
      <c r="O9" s="10">
        <v>-5.352427483</v>
      </c>
      <c r="P9" s="10">
        <v>0.006038724</v>
      </c>
      <c r="Q9" s="12">
        <f t="shared" si="2"/>
        <v>-0.01078449262</v>
      </c>
      <c r="R9" s="13">
        <f t="shared" si="3"/>
        <v>7.050594828</v>
      </c>
      <c r="S9" s="8"/>
      <c r="T9" s="14">
        <f t="shared" si="4"/>
        <v>4.807370832</v>
      </c>
      <c r="U9" s="14">
        <f t="shared" si="5"/>
        <v>19.1732278</v>
      </c>
      <c r="V9" s="10">
        <f t="shared" si="6"/>
        <v>1.010902066</v>
      </c>
      <c r="W9" s="8">
        <f t="shared" si="7"/>
        <v>1</v>
      </c>
      <c r="X9" s="8">
        <f t="shared" si="8"/>
        <v>4</v>
      </c>
      <c r="Y9" s="15"/>
      <c r="Z9" s="69">
        <f t="shared" si="9"/>
        <v>-0.00541078</v>
      </c>
      <c r="AA9" s="86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2.0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-1.0398945E-5</v>
      </c>
      <c r="L10" s="11">
        <v>1.58208538592002E-7</v>
      </c>
      <c r="M10" s="10">
        <f t="shared" si="1"/>
        <v>-10.398945</v>
      </c>
      <c r="N10" s="10">
        <v>0.010875352</v>
      </c>
      <c r="O10" s="10">
        <v>-10.338890076</v>
      </c>
      <c r="P10" s="10">
        <v>0.011700865</v>
      </c>
      <c r="Q10" s="12">
        <f t="shared" si="2"/>
        <v>-0.005775097762</v>
      </c>
      <c r="R10" s="13">
        <f t="shared" si="3"/>
        <v>3.759432637</v>
      </c>
      <c r="S10" s="8"/>
      <c r="T10" s="14">
        <f t="shared" si="4"/>
        <v>9.239256609</v>
      </c>
      <c r="U10" s="14">
        <f t="shared" si="5"/>
        <v>36.84890928</v>
      </c>
      <c r="V10" s="10">
        <f t="shared" si="6"/>
        <v>1.005808643</v>
      </c>
      <c r="W10" s="8">
        <f t="shared" si="7"/>
        <v>1</v>
      </c>
      <c r="X10" s="8">
        <f t="shared" si="8"/>
        <v>5</v>
      </c>
      <c r="Y10" s="15"/>
      <c r="Z10" s="70">
        <f t="shared" si="9"/>
        <v>-0.010398945</v>
      </c>
      <c r="AA10" s="86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2.0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-1.701165E-5</v>
      </c>
      <c r="L11" s="11">
        <v>2.74040633564114E-7</v>
      </c>
      <c r="M11" s="10">
        <f t="shared" si="1"/>
        <v>-17.01165</v>
      </c>
      <c r="N11" s="10">
        <v>0.017807992</v>
      </c>
      <c r="O11" s="10">
        <v>-16.92650032</v>
      </c>
      <c r="P11" s="10">
        <v>0.019221809</v>
      </c>
      <c r="Q11" s="12">
        <f t="shared" si="2"/>
        <v>-0.005005374552</v>
      </c>
      <c r="R11" s="13">
        <f t="shared" si="3"/>
        <v>3.249603124</v>
      </c>
      <c r="S11" s="8"/>
      <c r="T11" s="14">
        <f t="shared" si="4"/>
        <v>15.11451399</v>
      </c>
      <c r="U11" s="14">
        <f t="shared" si="5"/>
        <v>60.28118694</v>
      </c>
      <c r="V11" s="10">
        <f t="shared" si="6"/>
        <v>1.005030554</v>
      </c>
      <c r="W11" s="8">
        <f t="shared" si="7"/>
        <v>1</v>
      </c>
      <c r="X11" s="8">
        <f t="shared" si="8"/>
        <v>6</v>
      </c>
      <c r="Y11" s="15"/>
      <c r="Z11" s="70">
        <f t="shared" si="9"/>
        <v>-0.01701165</v>
      </c>
      <c r="AA11" s="86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2.0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-2.52137999999999E-5</v>
      </c>
      <c r="L12" s="11">
        <v>4.13398173981521E-7</v>
      </c>
      <c r="M12" s="10">
        <f t="shared" si="1"/>
        <v>-25.2138</v>
      </c>
      <c r="N12" s="10">
        <v>0.026398928</v>
      </c>
      <c r="O12" s="10">
        <v>-24.936603546</v>
      </c>
      <c r="P12" s="10">
        <v>0.028601476</v>
      </c>
      <c r="Q12" s="12">
        <f t="shared" si="2"/>
        <v>-0.01099383885</v>
      </c>
      <c r="R12" s="13">
        <f t="shared" si="3"/>
        <v>7.12178456</v>
      </c>
      <c r="S12" s="8"/>
      <c r="T12" s="14">
        <f t="shared" si="4"/>
        <v>22.40196176</v>
      </c>
      <c r="U12" s="14">
        <f t="shared" si="5"/>
        <v>89.34570082</v>
      </c>
      <c r="V12" s="10">
        <f t="shared" si="6"/>
        <v>1.011116047</v>
      </c>
      <c r="W12" s="8">
        <f t="shared" si="7"/>
        <v>1</v>
      </c>
      <c r="X12" s="8">
        <f t="shared" si="8"/>
        <v>7</v>
      </c>
      <c r="Y12" s="15"/>
      <c r="Z12" s="70">
        <f t="shared" si="9"/>
        <v>-0.0252138</v>
      </c>
      <c r="AA12" s="86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2.0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-5.79008187772926E-8</v>
      </c>
      <c r="L13" s="24">
        <v>4.74269019205691E-9</v>
      </c>
      <c r="M13" s="23">
        <f t="shared" si="1"/>
        <v>-0.05790081878</v>
      </c>
      <c r="N13" s="23">
        <v>1.59964E-4</v>
      </c>
      <c r="O13" s="23">
        <v>-0.054948993</v>
      </c>
      <c r="P13" s="23">
        <v>2.54202E-4</v>
      </c>
      <c r="Q13" s="26">
        <f t="shared" si="2"/>
        <v>-0.050980726</v>
      </c>
      <c r="R13" s="27">
        <f t="shared" si="3"/>
        <v>9.828115884</v>
      </c>
      <c r="S13" s="22"/>
      <c r="T13" s="28">
        <f t="shared" si="4"/>
        <v>0.05144373035</v>
      </c>
      <c r="U13" s="28">
        <f t="shared" ref="U13:U19" si="10">K13/$K$14</f>
        <v>0.05144373035</v>
      </c>
      <c r="V13" s="23">
        <f t="shared" si="6"/>
        <v>1.053719379</v>
      </c>
      <c r="W13" s="22">
        <f t="shared" si="7"/>
        <v>1</v>
      </c>
      <c r="X13" s="22">
        <f t="shared" si="8"/>
        <v>8</v>
      </c>
      <c r="Y13" s="71"/>
      <c r="Z13" s="67">
        <f t="shared" si="9"/>
        <v>-0.00005790081878</v>
      </c>
      <c r="AA13" s="11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2.0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-1.12551749999999E-6</v>
      </c>
      <c r="L14" s="31">
        <v>2.35429473446759E-8</v>
      </c>
      <c r="M14" s="30">
        <f t="shared" si="1"/>
        <v>-1.1255175</v>
      </c>
      <c r="N14" s="30">
        <v>0.00118923</v>
      </c>
      <c r="O14" s="30">
        <v>-1.125420809</v>
      </c>
      <c r="P14" s="30">
        <v>0.00118923</v>
      </c>
      <c r="Q14" s="32">
        <f t="shared" si="2"/>
        <v>-0.00008590803785</v>
      </c>
      <c r="R14" s="34">
        <f t="shared" si="3"/>
        <v>0.05749170621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1.000085915</v>
      </c>
      <c r="W14" s="29">
        <f t="shared" si="7"/>
        <v>1</v>
      </c>
      <c r="X14" s="29">
        <f t="shared" si="8"/>
        <v>9</v>
      </c>
      <c r="Y14" s="72"/>
      <c r="Z14" s="69">
        <f t="shared" si="9"/>
        <v>-0.0011255175</v>
      </c>
      <c r="AA14" s="131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2.0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-8.14880999999999E-6</v>
      </c>
      <c r="L15" s="24">
        <v>1.23421913547467E-7</v>
      </c>
      <c r="M15" s="23">
        <f t="shared" si="1"/>
        <v>-8.14881</v>
      </c>
      <c r="N15" s="23">
        <v>0.008491577</v>
      </c>
      <c r="O15" s="23">
        <v>-8.087763786</v>
      </c>
      <c r="P15" s="23">
        <v>0.008943059</v>
      </c>
      <c r="Q15" s="26">
        <f t="shared" si="2"/>
        <v>-0.007491426846</v>
      </c>
      <c r="R15" s="27">
        <f t="shared" si="3"/>
        <v>4.950114911</v>
      </c>
      <c r="S15" s="22"/>
      <c r="T15" s="28">
        <f t="shared" si="4"/>
        <v>7.240056241</v>
      </c>
      <c r="U15" s="28">
        <f t="shared" si="10"/>
        <v>7.240056241</v>
      </c>
      <c r="V15" s="23">
        <f t="shared" si="6"/>
        <v>1.007547972</v>
      </c>
      <c r="W15" s="22">
        <f t="shared" si="7"/>
        <v>1</v>
      </c>
      <c r="X15" s="22">
        <f t="shared" si="8"/>
        <v>10</v>
      </c>
      <c r="Y15" s="71"/>
      <c r="Z15" s="69">
        <f t="shared" si="9"/>
        <v>-0.00814881</v>
      </c>
      <c r="AA15" s="11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2.0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-2.16099E-5</v>
      </c>
      <c r="L16" s="24">
        <v>3.13697338370127E-7</v>
      </c>
      <c r="M16" s="23">
        <f t="shared" si="1"/>
        <v>-21.6099</v>
      </c>
      <c r="N16" s="23">
        <v>0.022578507</v>
      </c>
      <c r="O16" s="23">
        <v>-21.40970993</v>
      </c>
      <c r="P16" s="23">
        <v>0.024154896</v>
      </c>
      <c r="Q16" s="26">
        <f t="shared" si="2"/>
        <v>-0.009263812882</v>
      </c>
      <c r="R16" s="27">
        <f t="shared" si="3"/>
        <v>6.054568399</v>
      </c>
      <c r="S16" s="22"/>
      <c r="T16" s="28">
        <f t="shared" si="4"/>
        <v>19.19996801</v>
      </c>
      <c r="U16" s="28">
        <f t="shared" si="10"/>
        <v>19.19996801</v>
      </c>
      <c r="V16" s="23">
        <f t="shared" si="6"/>
        <v>1.009350434</v>
      </c>
      <c r="W16" s="22">
        <f t="shared" si="7"/>
        <v>1</v>
      </c>
      <c r="X16" s="22">
        <f t="shared" si="8"/>
        <v>11</v>
      </c>
      <c r="Y16" s="71"/>
      <c r="Z16" s="70">
        <f t="shared" si="9"/>
        <v>-0.0216099</v>
      </c>
      <c r="AA16" s="11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2.0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-4.15443E-5</v>
      </c>
      <c r="L17" s="24">
        <v>5.62718196652837E-7</v>
      </c>
      <c r="M17" s="23">
        <f t="shared" si="1"/>
        <v>-41.5443</v>
      </c>
      <c r="N17" s="23">
        <v>0.043424461</v>
      </c>
      <c r="O17" s="23">
        <v>-41.355560303</v>
      </c>
      <c r="P17" s="23">
        <v>0.04680346</v>
      </c>
      <c r="Q17" s="26">
        <f t="shared" si="2"/>
        <v>-0.004543094889</v>
      </c>
      <c r="R17" s="27">
        <f t="shared" si="3"/>
        <v>2.956194272</v>
      </c>
      <c r="S17" s="22"/>
      <c r="T17" s="28">
        <f t="shared" si="4"/>
        <v>36.91128747</v>
      </c>
      <c r="U17" s="28">
        <f t="shared" si="10"/>
        <v>36.91128747</v>
      </c>
      <c r="V17" s="23">
        <f t="shared" si="6"/>
        <v>1.004563829</v>
      </c>
      <c r="W17" s="22">
        <f t="shared" si="7"/>
        <v>1</v>
      </c>
      <c r="X17" s="22">
        <f t="shared" si="8"/>
        <v>12</v>
      </c>
      <c r="Y17" s="71"/>
      <c r="Z17" s="70">
        <f t="shared" si="9"/>
        <v>-0.0415443</v>
      </c>
      <c r="AA17" s="11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2.0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-6.774195E-5</v>
      </c>
      <c r="L18" s="24">
        <v>9.51275629941502E-7</v>
      </c>
      <c r="M18" s="23">
        <f t="shared" si="1"/>
        <v>-67.74195</v>
      </c>
      <c r="N18" s="23">
        <v>0.070932316</v>
      </c>
      <c r="O18" s="23">
        <v>-67.706001282</v>
      </c>
      <c r="P18" s="23">
        <v>0.076887238</v>
      </c>
      <c r="Q18" s="26">
        <f t="shared" si="2"/>
        <v>-0.0005306714377</v>
      </c>
      <c r="R18" s="27">
        <f t="shared" si="3"/>
        <v>0.3436484565</v>
      </c>
      <c r="S18" s="22"/>
      <c r="T18" s="28">
        <f t="shared" si="4"/>
        <v>60.18738047</v>
      </c>
      <c r="U18" s="28">
        <f t="shared" si="10"/>
        <v>60.18738047</v>
      </c>
      <c r="V18" s="23">
        <f t="shared" si="6"/>
        <v>1.000530953</v>
      </c>
      <c r="W18" s="22">
        <f t="shared" si="7"/>
        <v>1</v>
      </c>
      <c r="X18" s="22">
        <f t="shared" si="8"/>
        <v>13</v>
      </c>
      <c r="Y18" s="71"/>
      <c r="Z18" s="70">
        <f t="shared" si="9"/>
        <v>-0.06774195</v>
      </c>
      <c r="AA18" s="11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2.0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-9.97727135678392E-5</v>
      </c>
      <c r="L19" s="24">
        <v>1.50054457231428E-6</v>
      </c>
      <c r="M19" s="23">
        <f t="shared" si="1"/>
        <v>-99.77271357</v>
      </c>
      <c r="N19" s="23">
        <v>0.104920259</v>
      </c>
      <c r="O19" s="23">
        <v>-99.746414185</v>
      </c>
      <c r="P19" s="23">
        <v>0.114405903</v>
      </c>
      <c r="Q19" s="26">
        <f t="shared" si="2"/>
        <v>-0.0002635929394</v>
      </c>
      <c r="R19" s="27">
        <f t="shared" si="3"/>
        <v>0.169419863</v>
      </c>
      <c r="S19" s="22"/>
      <c r="T19" s="28">
        <f t="shared" si="4"/>
        <v>88.64607931</v>
      </c>
      <c r="U19" s="28">
        <f t="shared" si="10"/>
        <v>88.64607931</v>
      </c>
      <c r="V19" s="23">
        <f t="shared" si="6"/>
        <v>1.000263662</v>
      </c>
      <c r="W19" s="22">
        <f t="shared" si="7"/>
        <v>1</v>
      </c>
      <c r="X19" s="22">
        <f t="shared" si="8"/>
        <v>14</v>
      </c>
      <c r="Y19" s="71"/>
      <c r="Z19" s="70">
        <f t="shared" si="9"/>
        <v>-0.09977271357</v>
      </c>
      <c r="AA19" s="11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2.0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-1.29784835164835E-7</v>
      </c>
      <c r="L20" s="39">
        <v>1.02748447540323E-8</v>
      </c>
      <c r="M20" s="38">
        <f t="shared" si="1"/>
        <v>-0.1297848352</v>
      </c>
      <c r="N20" s="38">
        <v>5.11994E-4</v>
      </c>
      <c r="O20" s="38">
        <v>-0.12364243</v>
      </c>
      <c r="P20" s="38">
        <v>5.71954E-4</v>
      </c>
      <c r="Q20" s="40">
        <f t="shared" si="2"/>
        <v>-0.04732760308</v>
      </c>
      <c r="R20" s="41">
        <f t="shared" si="3"/>
        <v>8.001687317</v>
      </c>
      <c r="S20" s="37"/>
      <c r="T20" s="42">
        <f t="shared" si="4"/>
        <v>0.1153112547</v>
      </c>
      <c r="U20" s="42">
        <f t="shared" ref="U20:U26" si="11">K20/$K$21</f>
        <v>0.05108972185</v>
      </c>
      <c r="V20" s="38">
        <f t="shared" si="6"/>
        <v>1.049678781</v>
      </c>
      <c r="W20" s="37">
        <f t="shared" si="7"/>
        <v>1</v>
      </c>
      <c r="X20" s="37">
        <f t="shared" si="8"/>
        <v>15</v>
      </c>
      <c r="Y20" s="81"/>
      <c r="Z20" s="68">
        <f t="shared" si="9"/>
        <v>-0.0001297848352</v>
      </c>
      <c r="AA20" s="126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2.0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-2.54033160621761E-6</v>
      </c>
      <c r="L21" s="39">
        <v>5.65124791345014E-8</v>
      </c>
      <c r="M21" s="38">
        <f t="shared" si="1"/>
        <v>-2.540331606</v>
      </c>
      <c r="N21" s="38">
        <v>0.003854687</v>
      </c>
      <c r="O21" s="38">
        <v>-2.528860807</v>
      </c>
      <c r="P21" s="38">
        <v>0.002675768</v>
      </c>
      <c r="Q21" s="40">
        <f t="shared" si="2"/>
        <v>-0.004515473173</v>
      </c>
      <c r="R21" s="41">
        <f t="shared" si="3"/>
        <v>2.444563537</v>
      </c>
      <c r="S21" s="37"/>
      <c r="T21" s="42">
        <f t="shared" si="4"/>
        <v>2.257034303</v>
      </c>
      <c r="U21" s="42">
        <f t="shared" si="11"/>
        <v>1</v>
      </c>
      <c r="V21" s="38">
        <f t="shared" si="6"/>
        <v>1.004535955</v>
      </c>
      <c r="W21" s="37">
        <f t="shared" si="7"/>
        <v>1</v>
      </c>
      <c r="X21" s="37">
        <f t="shared" si="8"/>
        <v>16</v>
      </c>
      <c r="Y21" s="81"/>
      <c r="Z21" s="69">
        <f t="shared" si="9"/>
        <v>-0.002540331606</v>
      </c>
      <c r="AA21" s="126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2.0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-1.83146E-5</v>
      </c>
      <c r="L22" s="39">
        <v>2.67945494231173E-7</v>
      </c>
      <c r="M22" s="38">
        <f t="shared" si="1"/>
        <v>-18.3146</v>
      </c>
      <c r="N22" s="38">
        <v>0.02699851</v>
      </c>
      <c r="O22" s="38">
        <v>-18.155874252</v>
      </c>
      <c r="P22" s="38">
        <v>0.020121883</v>
      </c>
      <c r="Q22" s="40">
        <f t="shared" si="2"/>
        <v>-0.008666623786</v>
      </c>
      <c r="R22" s="41">
        <f t="shared" si="3"/>
        <v>4.713866674</v>
      </c>
      <c r="S22" s="37"/>
      <c r="T22" s="42">
        <f t="shared" si="4"/>
        <v>16.27215925</v>
      </c>
      <c r="U22" s="42">
        <f t="shared" si="11"/>
        <v>7.20953121</v>
      </c>
      <c r="V22" s="38">
        <f t="shared" si="6"/>
        <v>1.008742391</v>
      </c>
      <c r="W22" s="37">
        <f t="shared" si="7"/>
        <v>1</v>
      </c>
      <c r="X22" s="37">
        <f t="shared" si="8"/>
        <v>17</v>
      </c>
      <c r="Y22" s="81"/>
      <c r="Z22" s="70">
        <f t="shared" si="9"/>
        <v>-0.0183146</v>
      </c>
      <c r="AA22" s="126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2.0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-4.83832999999999E-5</v>
      </c>
      <c r="L23" s="39">
        <v>7.70266981132011E-7</v>
      </c>
      <c r="M23" s="38">
        <f t="shared" si="1"/>
        <v>-48.3833</v>
      </c>
      <c r="N23" s="38">
        <v>0.071532053</v>
      </c>
      <c r="O23" s="38">
        <v>-48.411556244</v>
      </c>
      <c r="P23" s="38">
        <v>0.054348517</v>
      </c>
      <c r="Q23" s="40">
        <f t="shared" si="2"/>
        <v>0.0005840082012</v>
      </c>
      <c r="R23" s="41">
        <f t="shared" si="3"/>
        <v>-0.3145296783</v>
      </c>
      <c r="S23" s="37"/>
      <c r="T23" s="42">
        <f t="shared" si="4"/>
        <v>42.98760348</v>
      </c>
      <c r="U23" s="42">
        <f t="shared" si="11"/>
        <v>19.04605678</v>
      </c>
      <c r="V23" s="38">
        <f t="shared" si="6"/>
        <v>0.9994163327</v>
      </c>
      <c r="W23" s="37">
        <f t="shared" si="7"/>
        <v>1</v>
      </c>
      <c r="X23" s="37">
        <f t="shared" si="8"/>
        <v>18</v>
      </c>
      <c r="Y23" s="81"/>
      <c r="Z23" s="70">
        <f t="shared" si="9"/>
        <v>-0.0483833</v>
      </c>
      <c r="AA23" s="126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2.0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-9.22539E-5</v>
      </c>
      <c r="L24" s="39">
        <v>1.40944425970384E-6</v>
      </c>
      <c r="M24" s="38">
        <f t="shared" si="1"/>
        <v>-92.2539</v>
      </c>
      <c r="N24" s="38">
        <v>0.136967266</v>
      </c>
      <c r="O24" s="38">
        <v>-92.983528137</v>
      </c>
      <c r="P24" s="38">
        <v>0.105307785</v>
      </c>
      <c r="Q24" s="40">
        <f t="shared" si="2"/>
        <v>0.007908913737</v>
      </c>
      <c r="R24" s="41">
        <f t="shared" si="3"/>
        <v>-4.223097814</v>
      </c>
      <c r="S24" s="37"/>
      <c r="T24" s="42">
        <f t="shared" si="4"/>
        <v>81.96576242</v>
      </c>
      <c r="U24" s="42">
        <f t="shared" si="11"/>
        <v>36.31569193</v>
      </c>
      <c r="V24" s="38">
        <f t="shared" si="6"/>
        <v>0.9921531464</v>
      </c>
      <c r="W24" s="37">
        <f t="shared" si="7"/>
        <v>1</v>
      </c>
      <c r="X24" s="37">
        <f t="shared" si="8"/>
        <v>19</v>
      </c>
      <c r="Y24" s="81"/>
      <c r="Z24" s="70">
        <f t="shared" si="9"/>
        <v>-0.0922539</v>
      </c>
      <c r="AA24" s="126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2.0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-1.54326E-4</v>
      </c>
      <c r="L25" s="39">
        <v>2.26522324807873E-6</v>
      </c>
      <c r="M25" s="38">
        <f t="shared" si="1"/>
        <v>-154.326</v>
      </c>
      <c r="N25" s="38">
        <v>0.22867969</v>
      </c>
      <c r="O25" s="38">
        <v>-151.586547852</v>
      </c>
      <c r="P25" s="38">
        <v>0.172996285</v>
      </c>
      <c r="Q25" s="40">
        <f t="shared" si="2"/>
        <v>-0.01775107336</v>
      </c>
      <c r="R25" s="41">
        <f t="shared" si="3"/>
        <v>9.553651525</v>
      </c>
      <c r="S25" s="37"/>
      <c r="T25" s="42">
        <f t="shared" si="4"/>
        <v>137.1155935</v>
      </c>
      <c r="U25" s="42">
        <f t="shared" si="11"/>
        <v>60.75033654</v>
      </c>
      <c r="V25" s="38">
        <f t="shared" si="6"/>
        <v>1.018071868</v>
      </c>
      <c r="W25" s="37">
        <f t="shared" si="7"/>
        <v>1</v>
      </c>
      <c r="X25" s="37">
        <f t="shared" si="8"/>
        <v>20</v>
      </c>
      <c r="Y25" s="81"/>
      <c r="Z25" s="79">
        <f t="shared" si="9"/>
        <v>-0.154326</v>
      </c>
      <c r="AA25" s="37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2.0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-2.28913E-4</v>
      </c>
      <c r="L26" s="39">
        <v>3.19170816493316E-6</v>
      </c>
      <c r="M26" s="38">
        <f t="shared" si="1"/>
        <v>-228.913</v>
      </c>
      <c r="N26" s="38">
        <v>0.341135742</v>
      </c>
      <c r="O26" s="38">
        <v>-224.709793091</v>
      </c>
      <c r="P26" s="38">
        <v>0.257413281</v>
      </c>
      <c r="Q26" s="40">
        <f t="shared" si="2"/>
        <v>-0.01836159112</v>
      </c>
      <c r="R26" s="41">
        <f t="shared" si="3"/>
        <v>9.835320958</v>
      </c>
      <c r="S26" s="37"/>
      <c r="T26" s="42">
        <f t="shared" si="4"/>
        <v>203.3846653</v>
      </c>
      <c r="U26" s="42">
        <f t="shared" si="11"/>
        <v>90.11146397</v>
      </c>
      <c r="V26" s="38">
        <f t="shared" si="6"/>
        <v>1.018705046</v>
      </c>
      <c r="W26" s="37">
        <f t="shared" si="7"/>
        <v>1</v>
      </c>
      <c r="X26" s="37">
        <f t="shared" si="8"/>
        <v>21</v>
      </c>
      <c r="Y26" s="81"/>
      <c r="Z26" s="79">
        <f t="shared" si="9"/>
        <v>-0.228913</v>
      </c>
      <c r="AA26" s="37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2.0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-2.26084787472035E-7</v>
      </c>
      <c r="L27" s="46">
        <v>1.77359972275743E-8</v>
      </c>
      <c r="M27" s="45">
        <f t="shared" si="1"/>
        <v>-0.2260847875</v>
      </c>
      <c r="N27" s="45">
        <v>9.15049E-4</v>
      </c>
      <c r="O27" s="45">
        <v>-0.219795972</v>
      </c>
      <c r="P27" s="45">
        <v>0.001016808</v>
      </c>
      <c r="Q27" s="47">
        <f t="shared" si="2"/>
        <v>-0.02781618145</v>
      </c>
      <c r="R27" s="48">
        <f t="shared" si="3"/>
        <v>4.59734629</v>
      </c>
      <c r="S27" s="44"/>
      <c r="T27" s="49">
        <f t="shared" si="4"/>
        <v>0.2008718545</v>
      </c>
      <c r="U27" s="49">
        <f t="shared" ref="U27:U33" si="12">K27/$K$28</f>
        <v>0.05028768476</v>
      </c>
      <c r="V27" s="45">
        <f t="shared" si="6"/>
        <v>1.02861206</v>
      </c>
      <c r="W27" s="44">
        <f t="shared" si="7"/>
        <v>1</v>
      </c>
      <c r="X27" s="44">
        <f t="shared" si="8"/>
        <v>22</v>
      </c>
      <c r="Y27" s="85"/>
      <c r="Z27" s="68">
        <f t="shared" si="9"/>
        <v>-0.0002260847875</v>
      </c>
      <c r="AA27" s="138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2.0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-4.495828125E-6</v>
      </c>
      <c r="L28" s="46">
        <v>9.89333513060911E-8</v>
      </c>
      <c r="M28" s="45">
        <f t="shared" si="1"/>
        <v>-4.495828125</v>
      </c>
      <c r="N28" s="45">
        <v>0.006852699</v>
      </c>
      <c r="O28" s="45">
        <v>-4.501683235</v>
      </c>
      <c r="P28" s="45">
        <v>0.004756922</v>
      </c>
      <c r="Q28" s="47">
        <f t="shared" si="2"/>
        <v>0.001302342936</v>
      </c>
      <c r="R28" s="48">
        <f t="shared" si="3"/>
        <v>-0.7018891595</v>
      </c>
      <c r="S28" s="44"/>
      <c r="T28" s="49">
        <f t="shared" si="4"/>
        <v>3.994454218</v>
      </c>
      <c r="U28" s="49">
        <f t="shared" si="12"/>
        <v>1</v>
      </c>
      <c r="V28" s="45">
        <f t="shared" si="6"/>
        <v>0.998699351</v>
      </c>
      <c r="W28" s="44">
        <f t="shared" si="7"/>
        <v>1</v>
      </c>
      <c r="X28" s="44">
        <f t="shared" si="8"/>
        <v>23</v>
      </c>
      <c r="Y28" s="85"/>
      <c r="Z28" s="69">
        <f t="shared" si="9"/>
        <v>-0.004495828125</v>
      </c>
      <c r="AA28" s="138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2.0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-3.23475999999999E-5</v>
      </c>
      <c r="L29" s="46">
        <v>4.98594225819154E-7</v>
      </c>
      <c r="M29" s="45">
        <f t="shared" si="1"/>
        <v>-32.3476</v>
      </c>
      <c r="N29" s="45">
        <v>0.047734609</v>
      </c>
      <c r="O29" s="45">
        <v>-32.351051331</v>
      </c>
      <c r="P29" s="45">
        <v>0.035772237</v>
      </c>
      <c r="Q29" s="47">
        <f t="shared" si="2"/>
        <v>0.000106695118</v>
      </c>
      <c r="R29" s="48">
        <f t="shared" si="3"/>
        <v>-0.05785869546</v>
      </c>
      <c r="S29" s="44"/>
      <c r="T29" s="49">
        <f t="shared" si="4"/>
        <v>28.74020173</v>
      </c>
      <c r="U29" s="49">
        <f t="shared" si="12"/>
        <v>7.195025944</v>
      </c>
      <c r="V29" s="45">
        <f t="shared" si="6"/>
        <v>0.9998933163</v>
      </c>
      <c r="W29" s="44">
        <f t="shared" si="7"/>
        <v>1</v>
      </c>
      <c r="X29" s="44">
        <f t="shared" si="8"/>
        <v>24</v>
      </c>
      <c r="Y29" s="85"/>
      <c r="Z29" s="70">
        <f t="shared" si="9"/>
        <v>-0.0323476</v>
      </c>
      <c r="AA29" s="138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2.0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-8.67084999999999E-5</v>
      </c>
      <c r="L30" s="46">
        <v>1.19856932813393E-6</v>
      </c>
      <c r="M30" s="45">
        <f t="shared" si="1"/>
        <v>-86.7085</v>
      </c>
      <c r="N30" s="45">
        <v>0.128242771</v>
      </c>
      <c r="O30" s="45">
        <v>-85.638839722</v>
      </c>
      <c r="P30" s="45">
        <v>0.096619586</v>
      </c>
      <c r="Q30" s="47">
        <f t="shared" si="2"/>
        <v>-0.01233627935</v>
      </c>
      <c r="R30" s="48">
        <f t="shared" si="3"/>
        <v>6.661796066</v>
      </c>
      <c r="S30" s="44"/>
      <c r="T30" s="49">
        <f t="shared" si="4"/>
        <v>77.03878438</v>
      </c>
      <c r="U30" s="49">
        <f t="shared" si="12"/>
        <v>19.28643569</v>
      </c>
      <c r="V30" s="45">
        <f t="shared" si="6"/>
        <v>1.012490364</v>
      </c>
      <c r="W30" s="44">
        <f t="shared" si="7"/>
        <v>1</v>
      </c>
      <c r="X30" s="44">
        <f t="shared" si="8"/>
        <v>25</v>
      </c>
      <c r="Y30" s="85"/>
      <c r="Z30" s="70">
        <f t="shared" si="9"/>
        <v>-0.0867085</v>
      </c>
      <c r="AA30" s="138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2.0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-1.67377999999999E-4</v>
      </c>
      <c r="L31" s="46">
        <v>2.3813492483095E-6</v>
      </c>
      <c r="M31" s="45">
        <f t="shared" si="1"/>
        <v>-167.378</v>
      </c>
      <c r="N31" s="45">
        <v>0.248632534</v>
      </c>
      <c r="O31" s="45">
        <v>-165.422241211</v>
      </c>
      <c r="P31" s="45">
        <v>0.187213841</v>
      </c>
      <c r="Q31" s="47">
        <f t="shared" si="2"/>
        <v>-0.01168468251</v>
      </c>
      <c r="R31" s="48">
        <f t="shared" si="3"/>
        <v>6.283867352</v>
      </c>
      <c r="S31" s="44"/>
      <c r="T31" s="49">
        <f t="shared" si="4"/>
        <v>148.7120369</v>
      </c>
      <c r="U31" s="49">
        <f t="shared" si="12"/>
        <v>37.22962608</v>
      </c>
      <c r="V31" s="45">
        <f t="shared" si="6"/>
        <v>1.011822829</v>
      </c>
      <c r="W31" s="44">
        <f t="shared" si="7"/>
        <v>1</v>
      </c>
      <c r="X31" s="44">
        <f t="shared" si="8"/>
        <v>26</v>
      </c>
      <c r="Y31" s="85"/>
      <c r="Z31" s="79">
        <f t="shared" si="9"/>
        <v>-0.167378</v>
      </c>
      <c r="AA31" s="44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2.0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-2.7356E-4</v>
      </c>
      <c r="L32" s="46">
        <v>4.17319488588246E-6</v>
      </c>
      <c r="M32" s="45">
        <f t="shared" si="1"/>
        <v>-273.56</v>
      </c>
      <c r="N32" s="45">
        <v>0.408989836</v>
      </c>
      <c r="O32" s="45">
        <v>-270.824005127</v>
      </c>
      <c r="P32" s="45">
        <v>0.30754895</v>
      </c>
      <c r="Q32" s="47">
        <f t="shared" si="2"/>
        <v>-0.01000144346</v>
      </c>
      <c r="R32" s="48">
        <f t="shared" si="3"/>
        <v>5.346646749</v>
      </c>
      <c r="S32" s="44"/>
      <c r="T32" s="49">
        <f t="shared" si="4"/>
        <v>243.0526402</v>
      </c>
      <c r="U32" s="49">
        <f t="shared" si="12"/>
        <v>60.84752183</v>
      </c>
      <c r="V32" s="45">
        <f t="shared" si="6"/>
        <v>1.010102483</v>
      </c>
      <c r="W32" s="44">
        <f t="shared" si="7"/>
        <v>1</v>
      </c>
      <c r="X32" s="44">
        <f t="shared" si="8"/>
        <v>27</v>
      </c>
      <c r="Y32" s="85"/>
      <c r="Z32" s="79">
        <f t="shared" si="9"/>
        <v>-0.27356</v>
      </c>
      <c r="AA32" s="44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2.0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-4.03824E-4</v>
      </c>
      <c r="L33" s="46">
        <v>5.87451472313443E-6</v>
      </c>
      <c r="M33" s="45">
        <f t="shared" si="1"/>
        <v>-403.824</v>
      </c>
      <c r="N33" s="45">
        <v>0.611798259</v>
      </c>
      <c r="O33" s="45">
        <v>-398.985656738</v>
      </c>
      <c r="P33" s="45">
        <v>0.457623611</v>
      </c>
      <c r="Q33" s="47">
        <f t="shared" si="2"/>
        <v>-0.01198131677</v>
      </c>
      <c r="R33" s="48">
        <f t="shared" si="3"/>
        <v>6.332798936</v>
      </c>
      <c r="S33" s="44"/>
      <c r="T33" s="49">
        <f t="shared" si="4"/>
        <v>358.7896234</v>
      </c>
      <c r="U33" s="49">
        <f t="shared" si="12"/>
        <v>89.82193909</v>
      </c>
      <c r="V33" s="45">
        <f t="shared" si="6"/>
        <v>1.01212661</v>
      </c>
      <c r="W33" s="44">
        <f t="shared" si="7"/>
        <v>1</v>
      </c>
      <c r="X33" s="44">
        <f t="shared" si="8"/>
        <v>28</v>
      </c>
      <c r="Y33" s="85"/>
      <c r="Z33" s="79">
        <f t="shared" si="9"/>
        <v>-0.403824</v>
      </c>
      <c r="AA33" s="44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2.0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-3.42497767857143E-7</v>
      </c>
      <c r="L34" s="53">
        <v>2.7917681717879E-8</v>
      </c>
      <c r="M34" s="52">
        <f t="shared" si="1"/>
        <v>-0.3424977679</v>
      </c>
      <c r="N34" s="52">
        <v>0.001420494</v>
      </c>
      <c r="O34" s="52">
        <v>-0.343346596</v>
      </c>
      <c r="P34" s="52">
        <v>0.001588762</v>
      </c>
      <c r="Q34" s="54">
        <f t="shared" si="2"/>
        <v>0.002478346496</v>
      </c>
      <c r="R34" s="55">
        <f t="shared" si="3"/>
        <v>-0.3982884753</v>
      </c>
      <c r="S34" s="51"/>
      <c r="T34" s="56">
        <f t="shared" si="4"/>
        <v>0.3043024812</v>
      </c>
      <c r="U34" s="56">
        <f t="shared" ref="U34:U40" si="13">K34/$K$35</f>
        <v>0.04916810968</v>
      </c>
      <c r="V34" s="52">
        <f t="shared" si="6"/>
        <v>0.9975277805</v>
      </c>
      <c r="W34" s="51">
        <f t="shared" si="7"/>
        <v>1</v>
      </c>
      <c r="X34" s="51">
        <f t="shared" si="8"/>
        <v>29</v>
      </c>
      <c r="Y34" s="87"/>
      <c r="Z34" s="68">
        <f t="shared" si="9"/>
        <v>-0.0003424977679</v>
      </c>
      <c r="AA34" s="143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2.0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-6.96585185185184E-6</v>
      </c>
      <c r="L35" s="53">
        <v>1.55150233505008E-7</v>
      </c>
      <c r="M35" s="52">
        <f t="shared" si="1"/>
        <v>-6.965851852</v>
      </c>
      <c r="N35" s="52">
        <v>0.010742755</v>
      </c>
      <c r="O35" s="52">
        <v>-7.036262035</v>
      </c>
      <c r="P35" s="52">
        <v>0.00743269</v>
      </c>
      <c r="Q35" s="54">
        <f t="shared" si="2"/>
        <v>0.01010790707</v>
      </c>
      <c r="R35" s="55">
        <f t="shared" si="3"/>
        <v>-5.389893801</v>
      </c>
      <c r="S35" s="51"/>
      <c r="T35" s="56">
        <f t="shared" si="4"/>
        <v>6.189021363</v>
      </c>
      <c r="U35" s="56">
        <f t="shared" si="13"/>
        <v>1</v>
      </c>
      <c r="V35" s="52">
        <f t="shared" si="6"/>
        <v>0.9899932403</v>
      </c>
      <c r="W35" s="51">
        <f t="shared" si="7"/>
        <v>1</v>
      </c>
      <c r="X35" s="51">
        <f t="shared" si="8"/>
        <v>30</v>
      </c>
      <c r="Y35" s="87"/>
      <c r="Z35" s="69">
        <f t="shared" si="9"/>
        <v>-0.006965851852</v>
      </c>
      <c r="AA35" s="143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2.0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-5.08347E-5</v>
      </c>
      <c r="L36" s="53">
        <v>7.80828949568885E-7</v>
      </c>
      <c r="M36" s="52">
        <f t="shared" si="1"/>
        <v>-50.8347</v>
      </c>
      <c r="N36" s="52">
        <v>0.075169702</v>
      </c>
      <c r="O36" s="52">
        <v>-50.518108368</v>
      </c>
      <c r="P36" s="52">
        <v>0.055894121</v>
      </c>
      <c r="Q36" s="54">
        <f t="shared" si="2"/>
        <v>-0.006227864667</v>
      </c>
      <c r="R36" s="55">
        <f t="shared" si="3"/>
        <v>3.37975217</v>
      </c>
      <c r="S36" s="51"/>
      <c r="T36" s="56">
        <f t="shared" si="4"/>
        <v>45.16562381</v>
      </c>
      <c r="U36" s="56">
        <f t="shared" si="13"/>
        <v>7.297700422</v>
      </c>
      <c r="V36" s="52">
        <f t="shared" si="6"/>
        <v>1.006266894</v>
      </c>
      <c r="W36" s="51">
        <f t="shared" si="7"/>
        <v>1</v>
      </c>
      <c r="X36" s="51">
        <f t="shared" si="8"/>
        <v>31</v>
      </c>
      <c r="Y36" s="87"/>
      <c r="Z36" s="70">
        <f t="shared" si="9"/>
        <v>-0.0508347</v>
      </c>
      <c r="AA36" s="143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2.0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-1.35716E-4</v>
      </c>
      <c r="L37" s="53">
        <v>1.8522015292755E-6</v>
      </c>
      <c r="M37" s="52">
        <f t="shared" si="1"/>
        <v>-135.716</v>
      </c>
      <c r="N37" s="52">
        <v>0.201718441</v>
      </c>
      <c r="O37" s="52">
        <v>-133.586914062</v>
      </c>
      <c r="P37" s="52">
        <v>0.150968103</v>
      </c>
      <c r="Q37" s="54">
        <f t="shared" si="2"/>
        <v>-0.01568780349</v>
      </c>
      <c r="R37" s="55">
        <f t="shared" si="3"/>
        <v>8.450237703</v>
      </c>
      <c r="S37" s="51"/>
      <c r="T37" s="56">
        <f t="shared" si="4"/>
        <v>120.5809772</v>
      </c>
      <c r="U37" s="56">
        <f t="shared" si="13"/>
        <v>19.48304427</v>
      </c>
      <c r="V37" s="52">
        <f t="shared" si="6"/>
        <v>1.015937833</v>
      </c>
      <c r="W37" s="51">
        <f t="shared" si="7"/>
        <v>1</v>
      </c>
      <c r="X37" s="51">
        <f t="shared" si="8"/>
        <v>32</v>
      </c>
      <c r="Y37" s="87"/>
      <c r="Z37" s="79">
        <f t="shared" si="9"/>
        <v>-0.135716</v>
      </c>
      <c r="AA37" s="51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2.0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-2.60506999999999E-4</v>
      </c>
      <c r="L38" s="53">
        <v>3.13736861369234E-6</v>
      </c>
      <c r="M38" s="52">
        <f t="shared" si="1"/>
        <v>-260.507</v>
      </c>
      <c r="N38" s="52">
        <v>0.390643001</v>
      </c>
      <c r="O38" s="52">
        <v>-256.704040527</v>
      </c>
      <c r="P38" s="52">
        <v>0.292521626</v>
      </c>
      <c r="Q38" s="54">
        <f t="shared" si="2"/>
        <v>-0.01459830052</v>
      </c>
      <c r="R38" s="55">
        <f t="shared" si="3"/>
        <v>7.792510365</v>
      </c>
      <c r="S38" s="51"/>
      <c r="T38" s="56">
        <f t="shared" si="4"/>
        <v>231.4553083</v>
      </c>
      <c r="U38" s="56">
        <f t="shared" si="13"/>
        <v>37.39772329</v>
      </c>
      <c r="V38" s="52">
        <f t="shared" si="6"/>
        <v>1.014814568</v>
      </c>
      <c r="W38" s="51">
        <f t="shared" si="7"/>
        <v>1</v>
      </c>
      <c r="X38" s="51">
        <f t="shared" si="8"/>
        <v>33</v>
      </c>
      <c r="Y38" s="87"/>
      <c r="Z38" s="79">
        <f t="shared" si="9"/>
        <v>-0.260507</v>
      </c>
      <c r="AA38" s="51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2.0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-4.24199999999999E-4</v>
      </c>
      <c r="L39" s="53">
        <v>6.01430953575879E-6</v>
      </c>
      <c r="M39" s="52">
        <f t="shared" si="1"/>
        <v>-424.2</v>
      </c>
      <c r="N39" s="52">
        <v>0.645038818</v>
      </c>
      <c r="O39" s="52">
        <v>-422.507446289</v>
      </c>
      <c r="P39" s="52">
        <v>0.480545235</v>
      </c>
      <c r="Q39" s="54">
        <f t="shared" si="2"/>
        <v>-0.003989989889</v>
      </c>
      <c r="R39" s="55">
        <f t="shared" si="3"/>
        <v>2.104217954</v>
      </c>
      <c r="S39" s="51"/>
      <c r="T39" s="56">
        <f t="shared" si="4"/>
        <v>376.8932958</v>
      </c>
      <c r="U39" s="56">
        <f t="shared" si="13"/>
        <v>60.89707462</v>
      </c>
      <c r="V39" s="52">
        <f t="shared" si="6"/>
        <v>1.004005974</v>
      </c>
      <c r="W39" s="51">
        <f t="shared" si="7"/>
        <v>1</v>
      </c>
      <c r="X39" s="51">
        <f t="shared" si="8"/>
        <v>34</v>
      </c>
      <c r="Y39" s="87"/>
      <c r="Z39" s="79">
        <f t="shared" si="9"/>
        <v>-0.4242</v>
      </c>
      <c r="AA39" s="51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2.0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-6.25367999999999E-4</v>
      </c>
      <c r="L40" s="53">
        <v>9.69470208334679E-6</v>
      </c>
      <c r="M40" s="52">
        <f t="shared" si="1"/>
        <v>-625.368</v>
      </c>
      <c r="N40" s="52">
        <v>0.965189103</v>
      </c>
      <c r="O40" s="52">
        <v>-625.724487305</v>
      </c>
      <c r="P40" s="52">
        <v>0.715036892</v>
      </c>
      <c r="Q40" s="54">
        <f t="shared" si="2"/>
        <v>0.0005700440461</v>
      </c>
      <c r="R40" s="55">
        <f t="shared" si="3"/>
        <v>-0.2967773849</v>
      </c>
      <c r="S40" s="51"/>
      <c r="T40" s="56">
        <f t="shared" si="4"/>
        <v>555.6270782</v>
      </c>
      <c r="U40" s="56">
        <f t="shared" si="13"/>
        <v>89.77624177</v>
      </c>
      <c r="V40" s="52">
        <f t="shared" si="6"/>
        <v>0.9994302807</v>
      </c>
      <c r="W40" s="51">
        <f t="shared" si="7"/>
        <v>1</v>
      </c>
      <c r="X40" s="51">
        <f t="shared" si="8"/>
        <v>35</v>
      </c>
      <c r="Y40" s="87"/>
      <c r="Z40" s="79">
        <f t="shared" si="9"/>
        <v>-0.625368</v>
      </c>
      <c r="AA40" s="51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2.0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-4.85448558758315E-7</v>
      </c>
      <c r="L41" s="60">
        <v>3.86004290869413E-8</v>
      </c>
      <c r="M41" s="59">
        <f t="shared" si="1"/>
        <v>-0.4854485588</v>
      </c>
      <c r="N41" s="59">
        <v>0.002046679</v>
      </c>
      <c r="O41" s="59">
        <v>-0.494569719</v>
      </c>
      <c r="P41" s="59">
        <v>0.002287817</v>
      </c>
      <c r="Q41" s="61">
        <f t="shared" si="2"/>
        <v>0.01878913858</v>
      </c>
      <c r="R41" s="62">
        <f t="shared" si="3"/>
        <v>-2.971361242</v>
      </c>
      <c r="S41" s="58"/>
      <c r="T41" s="63">
        <f t="shared" si="4"/>
        <v>0.4313114268</v>
      </c>
      <c r="U41" s="63">
        <f t="shared" ref="U41:U47" si="14">K41/$K$42</f>
        <v>0.04812937327</v>
      </c>
      <c r="V41" s="59">
        <f t="shared" si="6"/>
        <v>0.9815573823</v>
      </c>
      <c r="W41" s="58">
        <f t="shared" si="7"/>
        <v>1</v>
      </c>
      <c r="X41" s="58">
        <f t="shared" si="8"/>
        <v>36</v>
      </c>
      <c r="Y41" s="89"/>
      <c r="Z41" s="68">
        <f t="shared" si="9"/>
        <v>-0.0004854485588</v>
      </c>
      <c r="AA41" s="147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2.0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-1.00863262032085E-5</v>
      </c>
      <c r="L42" s="60">
        <v>2.09327123498798E-7</v>
      </c>
      <c r="M42" s="59">
        <f t="shared" si="1"/>
        <v>-10.0863262</v>
      </c>
      <c r="N42" s="59">
        <v>0.015678377</v>
      </c>
      <c r="O42" s="59">
        <v>-10.11544323</v>
      </c>
      <c r="P42" s="59">
        <v>0.010703074</v>
      </c>
      <c r="Q42" s="61">
        <f t="shared" si="2"/>
        <v>0.002886782185</v>
      </c>
      <c r="R42" s="62">
        <f t="shared" si="3"/>
        <v>-1.533819798</v>
      </c>
      <c r="S42" s="58"/>
      <c r="T42" s="63">
        <f t="shared" si="4"/>
        <v>8.961501001</v>
      </c>
      <c r="U42" s="63">
        <f t="shared" si="14"/>
        <v>1</v>
      </c>
      <c r="V42" s="59">
        <f t="shared" si="6"/>
        <v>0.9971215273</v>
      </c>
      <c r="W42" s="58">
        <f t="shared" si="7"/>
        <v>1</v>
      </c>
      <c r="X42" s="58">
        <f t="shared" si="8"/>
        <v>37</v>
      </c>
      <c r="Y42" s="89"/>
      <c r="Z42" s="70">
        <f t="shared" si="9"/>
        <v>-0.0100863262</v>
      </c>
      <c r="AA42" s="147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2.0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-7.32543999999999E-5</v>
      </c>
      <c r="L43" s="60">
        <v>1.11350599278117E-6</v>
      </c>
      <c r="M43" s="59">
        <f t="shared" si="1"/>
        <v>-73.2544</v>
      </c>
      <c r="N43" s="59">
        <v>0.108726172</v>
      </c>
      <c r="O43" s="59">
        <v>-72.623497009</v>
      </c>
      <c r="P43" s="59">
        <v>0.080487534</v>
      </c>
      <c r="Q43" s="61">
        <f t="shared" si="2"/>
        <v>-0.008612492779</v>
      </c>
      <c r="R43" s="62">
        <f t="shared" si="3"/>
        <v>4.663817071</v>
      </c>
      <c r="S43" s="58"/>
      <c r="T43" s="63">
        <f t="shared" si="4"/>
        <v>65.08508308</v>
      </c>
      <c r="U43" s="63">
        <f t="shared" si="14"/>
        <v>7.262743493</v>
      </c>
      <c r="V43" s="59">
        <f t="shared" si="6"/>
        <v>1.008687312</v>
      </c>
      <c r="W43" s="58">
        <f t="shared" si="7"/>
        <v>1</v>
      </c>
      <c r="X43" s="58">
        <f t="shared" si="8"/>
        <v>38</v>
      </c>
      <c r="Y43" s="89"/>
      <c r="Z43" s="70">
        <f t="shared" si="9"/>
        <v>-0.0732544</v>
      </c>
      <c r="AA43" s="147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2.0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-1.94724999999999E-4</v>
      </c>
      <c r="L44" s="60">
        <v>2.47396034688913E-6</v>
      </c>
      <c r="M44" s="59">
        <f t="shared" si="1"/>
        <v>-194.725</v>
      </c>
      <c r="N44" s="59">
        <v>0.291881332</v>
      </c>
      <c r="O44" s="59">
        <v>-193.646224976</v>
      </c>
      <c r="P44" s="59">
        <v>0.217394068</v>
      </c>
      <c r="Q44" s="61">
        <f t="shared" si="2"/>
        <v>-0.00553999242</v>
      </c>
      <c r="R44" s="62">
        <f t="shared" si="3"/>
        <v>2.964127498</v>
      </c>
      <c r="S44" s="58"/>
      <c r="T44" s="63">
        <f t="shared" si="4"/>
        <v>173.0093046</v>
      </c>
      <c r="U44" s="63">
        <f t="shared" si="14"/>
        <v>19.30584001</v>
      </c>
      <c r="V44" s="59">
        <f t="shared" si="6"/>
        <v>1.005570855</v>
      </c>
      <c r="W44" s="58">
        <f t="shared" si="7"/>
        <v>1</v>
      </c>
      <c r="X44" s="58">
        <f t="shared" si="8"/>
        <v>39</v>
      </c>
      <c r="Y44" s="89"/>
      <c r="Z44" s="79">
        <f t="shared" si="9"/>
        <v>-0.194725</v>
      </c>
      <c r="AA44" s="58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2.0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-3.7319E-4</v>
      </c>
      <c r="L45" s="60">
        <v>4.94818607719489E-6</v>
      </c>
      <c r="M45" s="59">
        <f t="shared" si="1"/>
        <v>-373.19</v>
      </c>
      <c r="N45" s="59">
        <v>0.566365679</v>
      </c>
      <c r="O45" s="59">
        <v>-371.934112549</v>
      </c>
      <c r="P45" s="59">
        <v>0.421231142</v>
      </c>
      <c r="Q45" s="61">
        <f t="shared" si="2"/>
        <v>-0.003365276269</v>
      </c>
      <c r="R45" s="62">
        <f t="shared" si="3"/>
        <v>1.77928841</v>
      </c>
      <c r="S45" s="58"/>
      <c r="T45" s="63">
        <f t="shared" si="4"/>
        <v>331.5719214</v>
      </c>
      <c r="U45" s="63">
        <f t="shared" si="14"/>
        <v>36.99959653</v>
      </c>
      <c r="V45" s="59">
        <f t="shared" si="6"/>
        <v>1.00337664</v>
      </c>
      <c r="W45" s="58">
        <f t="shared" si="7"/>
        <v>1</v>
      </c>
      <c r="X45" s="58">
        <f t="shared" si="8"/>
        <v>40</v>
      </c>
      <c r="Y45" s="89"/>
      <c r="Z45" s="79">
        <f t="shared" si="9"/>
        <v>-0.37319</v>
      </c>
      <c r="AA45" s="58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2.0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-6.05668E-4</v>
      </c>
      <c r="L46" s="60">
        <v>7.98166940336709E-6</v>
      </c>
      <c r="M46" s="59">
        <f t="shared" si="1"/>
        <v>-605.668</v>
      </c>
      <c r="N46" s="59">
        <v>0.936413266</v>
      </c>
      <c r="O46" s="59">
        <v>-606.346191406</v>
      </c>
      <c r="P46" s="59">
        <v>0.691985138</v>
      </c>
      <c r="Q46" s="61">
        <f t="shared" si="2"/>
        <v>0.001119741188</v>
      </c>
      <c r="R46" s="62">
        <f t="shared" si="3"/>
        <v>-0.5824630286</v>
      </c>
      <c r="S46" s="58"/>
      <c r="T46" s="63">
        <f t="shared" si="4"/>
        <v>538.1240185</v>
      </c>
      <c r="U46" s="63">
        <f t="shared" si="14"/>
        <v>60.04842475</v>
      </c>
      <c r="V46" s="59">
        <f t="shared" si="6"/>
        <v>0.9988815112</v>
      </c>
      <c r="W46" s="58">
        <f t="shared" si="7"/>
        <v>1</v>
      </c>
      <c r="X46" s="58">
        <f t="shared" si="8"/>
        <v>41</v>
      </c>
      <c r="Y46" s="89"/>
      <c r="Z46" s="79">
        <f t="shared" si="9"/>
        <v>-0.605668</v>
      </c>
      <c r="AA46" s="58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2.0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-8.91162E-4</v>
      </c>
      <c r="L47" s="60">
        <v>1.25493915503034E-5</v>
      </c>
      <c r="M47" s="59">
        <f t="shared" si="1"/>
        <v>-891.162</v>
      </c>
      <c r="N47" s="59">
        <v>1.401900229</v>
      </c>
      <c r="O47" s="59">
        <v>-898.839172363</v>
      </c>
      <c r="P47" s="59">
        <v>1.029653125</v>
      </c>
      <c r="Q47" s="61">
        <f t="shared" si="2"/>
        <v>0.00861478874</v>
      </c>
      <c r="R47" s="62">
        <f t="shared" si="3"/>
        <v>-4.413691847</v>
      </c>
      <c r="S47" s="58"/>
      <c r="T47" s="63">
        <f t="shared" si="4"/>
        <v>791.7797813</v>
      </c>
      <c r="U47" s="63">
        <f t="shared" si="14"/>
        <v>88.35347797</v>
      </c>
      <c r="V47" s="59">
        <f t="shared" si="6"/>
        <v>0.991458792</v>
      </c>
      <c r="W47" s="58">
        <f t="shared" si="7"/>
        <v>1</v>
      </c>
      <c r="X47" s="58">
        <f t="shared" si="8"/>
        <v>42</v>
      </c>
      <c r="Y47" s="89"/>
      <c r="Z47" s="79">
        <f t="shared" si="9"/>
        <v>-0.891162</v>
      </c>
      <c r="AA47" s="58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2.0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-7.86185842696629E-7</v>
      </c>
      <c r="L48" s="96">
        <v>7.18073207140355E-8</v>
      </c>
      <c r="M48" s="95">
        <f t="shared" si="1"/>
        <v>-0.7861858427</v>
      </c>
      <c r="N48" s="95">
        <v>0.003585164</v>
      </c>
      <c r="O48" s="95">
        <v>-0.879183888</v>
      </c>
      <c r="P48" s="95">
        <v>0.004067231</v>
      </c>
      <c r="Q48" s="97">
        <f t="shared" si="2"/>
        <v>0.1182901551</v>
      </c>
      <c r="R48" s="98">
        <f t="shared" si="3"/>
        <v>-17.15265719</v>
      </c>
      <c r="S48" s="94"/>
      <c r="T48" s="99">
        <f t="shared" si="4"/>
        <v>0.6985105453</v>
      </c>
      <c r="U48" s="99">
        <f t="shared" ref="U48:U54" si="15">K48/$K$49</f>
        <v>0.04404912122</v>
      </c>
      <c r="V48" s="95">
        <f t="shared" si="6"/>
        <v>0.8942223048</v>
      </c>
      <c r="W48" s="94">
        <f t="shared" si="7"/>
        <v>0</v>
      </c>
      <c r="X48" s="94">
        <f t="shared" si="8"/>
        <v>43</v>
      </c>
      <c r="Y48" s="100"/>
      <c r="Z48" s="68">
        <f t="shared" si="9"/>
        <v>-0.0007861858427</v>
      </c>
      <c r="AA48" s="149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2.0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-1.78479347826086E-5</v>
      </c>
      <c r="L49" s="96">
        <v>3.64156448824838E-7</v>
      </c>
      <c r="M49" s="95">
        <f t="shared" si="1"/>
        <v>-17.84793478</v>
      </c>
      <c r="N49" s="95">
        <v>0.02818965</v>
      </c>
      <c r="O49" s="95">
        <v>-18.006732941</v>
      </c>
      <c r="P49" s="95">
        <v>0.019027687</v>
      </c>
      <c r="Q49" s="97">
        <f t="shared" si="2"/>
        <v>0.008897284774</v>
      </c>
      <c r="R49" s="98">
        <f t="shared" si="3"/>
        <v>-4.669101975</v>
      </c>
      <c r="S49" s="94"/>
      <c r="T49" s="99">
        <f t="shared" si="4"/>
        <v>15.85753645</v>
      </c>
      <c r="U49" s="99">
        <f t="shared" si="15"/>
        <v>1</v>
      </c>
      <c r="V49" s="95">
        <f t="shared" si="6"/>
        <v>0.9911811788</v>
      </c>
      <c r="W49" s="94">
        <f t="shared" si="7"/>
        <v>1</v>
      </c>
      <c r="X49" s="94">
        <f t="shared" si="8"/>
        <v>44</v>
      </c>
      <c r="Y49" s="100"/>
      <c r="Z49" s="70">
        <f t="shared" si="9"/>
        <v>-0.01784793478</v>
      </c>
      <c r="AA49" s="149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2.0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-1.29669E-4</v>
      </c>
      <c r="L50" s="96">
        <v>1.73750634037067E-6</v>
      </c>
      <c r="M50" s="95">
        <f t="shared" si="1"/>
        <v>-129.669</v>
      </c>
      <c r="N50" s="95">
        <v>0.195208926</v>
      </c>
      <c r="O50" s="95">
        <v>-129.404205322</v>
      </c>
      <c r="P50" s="95">
        <v>0.143088949</v>
      </c>
      <c r="Q50" s="97">
        <f t="shared" si="2"/>
        <v>-0.002042081592</v>
      </c>
      <c r="R50" s="98">
        <f t="shared" si="3"/>
        <v>1.094034368</v>
      </c>
      <c r="S50" s="94"/>
      <c r="T50" s="99">
        <f t="shared" si="4"/>
        <v>115.2083375</v>
      </c>
      <c r="U50" s="99">
        <f t="shared" si="15"/>
        <v>7.265210321</v>
      </c>
      <c r="V50" s="95">
        <f t="shared" si="6"/>
        <v>1.00204626</v>
      </c>
      <c r="W50" s="94">
        <f t="shared" si="7"/>
        <v>1</v>
      </c>
      <c r="X50" s="94">
        <f t="shared" si="8"/>
        <v>45</v>
      </c>
      <c r="Y50" s="100"/>
      <c r="Z50" s="79">
        <f t="shared" si="9"/>
        <v>-0.129669</v>
      </c>
      <c r="AA50" s="94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2.0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-3.43390999999999E-4</v>
      </c>
      <c r="L51" s="96">
        <v>5.08410267402223E-6</v>
      </c>
      <c r="M51" s="95">
        <f t="shared" si="1"/>
        <v>-343.391</v>
      </c>
      <c r="N51" s="95">
        <v>0.526355547</v>
      </c>
      <c r="O51" s="95">
        <v>-342.555358887</v>
      </c>
      <c r="P51" s="95">
        <v>0.386478343</v>
      </c>
      <c r="Q51" s="97">
        <f t="shared" si="2"/>
        <v>-0.002433497421</v>
      </c>
      <c r="R51" s="98">
        <f t="shared" si="3"/>
        <v>1.279685415</v>
      </c>
      <c r="S51" s="94"/>
      <c r="T51" s="99">
        <f t="shared" si="4"/>
        <v>305.0961002</v>
      </c>
      <c r="U51" s="99">
        <f t="shared" si="15"/>
        <v>19.23981705</v>
      </c>
      <c r="V51" s="95">
        <f t="shared" si="6"/>
        <v>1.002439434</v>
      </c>
      <c r="W51" s="94">
        <f t="shared" si="7"/>
        <v>1</v>
      </c>
      <c r="X51" s="94">
        <f t="shared" si="8"/>
        <v>46</v>
      </c>
      <c r="Y51" s="100"/>
      <c r="Z51" s="79">
        <f t="shared" si="9"/>
        <v>-0.343391</v>
      </c>
      <c r="AA51" s="94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2.0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-6.53262E-4</v>
      </c>
      <c r="L52" s="96">
        <v>8.73671898288245E-6</v>
      </c>
      <c r="M52" s="95">
        <f t="shared" si="1"/>
        <v>-653.262</v>
      </c>
      <c r="N52" s="95">
        <v>1.022030351</v>
      </c>
      <c r="O52" s="95">
        <v>-661.688964844</v>
      </c>
      <c r="P52" s="95">
        <v>0.748855363</v>
      </c>
      <c r="Q52" s="97">
        <f t="shared" si="2"/>
        <v>0.01289982403</v>
      </c>
      <c r="R52" s="98">
        <f t="shared" si="3"/>
        <v>-6.651030939</v>
      </c>
      <c r="S52" s="94"/>
      <c r="T52" s="99">
        <f t="shared" si="4"/>
        <v>580.4103446</v>
      </c>
      <c r="U52" s="99">
        <f t="shared" si="15"/>
        <v>36.60154567</v>
      </c>
      <c r="V52" s="95">
        <f t="shared" si="6"/>
        <v>0.9872644622</v>
      </c>
      <c r="W52" s="94">
        <f t="shared" si="7"/>
        <v>1</v>
      </c>
      <c r="X52" s="94">
        <f t="shared" si="8"/>
        <v>47</v>
      </c>
      <c r="Y52" s="100"/>
      <c r="Z52" s="79">
        <f t="shared" si="9"/>
        <v>-0.653262</v>
      </c>
      <c r="AA52" s="94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2.0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-0.00105343</v>
      </c>
      <c r="L53" s="96">
        <v>1.64840020393205E-5</v>
      </c>
      <c r="M53" s="95">
        <f t="shared" si="1"/>
        <v>-1053.43</v>
      </c>
      <c r="N53" s="95">
        <v>1.689033454</v>
      </c>
      <c r="O53" s="95">
        <v>-1083.296020508</v>
      </c>
      <c r="P53" s="95">
        <v>1.230195801</v>
      </c>
      <c r="Q53" s="97">
        <f t="shared" si="2"/>
        <v>0.02835121509</v>
      </c>
      <c r="R53" s="98">
        <f t="shared" si="3"/>
        <v>-14.29304512</v>
      </c>
      <c r="S53" s="94"/>
      <c r="T53" s="99">
        <f t="shared" si="4"/>
        <v>935.9516844</v>
      </c>
      <c r="U53" s="99">
        <f t="shared" si="15"/>
        <v>59.02251509</v>
      </c>
      <c r="V53" s="95">
        <f t="shared" si="6"/>
        <v>0.9724304161</v>
      </c>
      <c r="W53" s="94">
        <f t="shared" si="7"/>
        <v>1</v>
      </c>
      <c r="X53" s="94">
        <f t="shared" si="8"/>
        <v>48</v>
      </c>
      <c r="Y53" s="100"/>
      <c r="Z53" s="14">
        <f t="shared" si="9"/>
        <v>-1.05343</v>
      </c>
      <c r="AA53" s="94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2.0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-0.00154199</v>
      </c>
      <c r="L54" s="96">
        <v>2.52644578070226E-5</v>
      </c>
      <c r="M54" s="95">
        <f t="shared" si="1"/>
        <v>-1541.99</v>
      </c>
      <c r="N54" s="95">
        <v>2.507604668</v>
      </c>
      <c r="O54" s="95">
        <v>-1595.942626953</v>
      </c>
      <c r="P54" s="95">
        <v>1.830494444</v>
      </c>
      <c r="Q54" s="97">
        <f t="shared" si="2"/>
        <v>0.03498896034</v>
      </c>
      <c r="R54" s="98">
        <f t="shared" si="3"/>
        <v>-17.37806078</v>
      </c>
      <c r="S54" s="94"/>
      <c r="T54" s="99">
        <f t="shared" si="4"/>
        <v>1370.027565</v>
      </c>
      <c r="U54" s="99">
        <f t="shared" si="15"/>
        <v>86.39599028</v>
      </c>
      <c r="V54" s="95">
        <f t="shared" si="6"/>
        <v>0.9661938806</v>
      </c>
      <c r="W54" s="94">
        <f t="shared" si="7"/>
        <v>1</v>
      </c>
      <c r="X54" s="94">
        <f t="shared" si="8"/>
        <v>49</v>
      </c>
      <c r="Y54" s="100"/>
      <c r="Z54" s="14">
        <f t="shared" si="9"/>
        <v>-1.54199</v>
      </c>
      <c r="AA54" s="94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2.0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-1.09531575342465E-6</v>
      </c>
      <c r="L55" s="103">
        <v>1.08107786933482E-7</v>
      </c>
      <c r="M55" s="102">
        <f t="shared" si="1"/>
        <v>-1.095315753</v>
      </c>
      <c r="N55" s="102">
        <v>0.005449832</v>
      </c>
      <c r="O55" s="102">
        <v>-1.373386383</v>
      </c>
      <c r="P55" s="102">
        <v>0.006355049</v>
      </c>
      <c r="Q55" s="104">
        <f t="shared" si="2"/>
        <v>0.2538725739</v>
      </c>
      <c r="R55" s="106">
        <f t="shared" si="3"/>
        <v>-33.21508772</v>
      </c>
      <c r="S55" s="101"/>
      <c r="T55" s="108">
        <f t="shared" si="4"/>
        <v>0.9731663465</v>
      </c>
      <c r="U55" s="108">
        <f t="shared" ref="U55:U61" si="16">K55/$K$56</f>
        <v>0.03978329433</v>
      </c>
      <c r="V55" s="102">
        <f t="shared" si="6"/>
        <v>0.7975292074</v>
      </c>
      <c r="W55" s="101">
        <f t="shared" si="7"/>
        <v>0</v>
      </c>
      <c r="X55" s="101">
        <f t="shared" si="8"/>
        <v>50</v>
      </c>
      <c r="Y55" s="110"/>
      <c r="Z55" s="69">
        <f t="shared" si="9"/>
        <v>-0.001095315753</v>
      </c>
      <c r="AA55" s="157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2.0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-2.75320526315789E-5</v>
      </c>
      <c r="L56" s="103">
        <v>6.88804268255201E-7</v>
      </c>
      <c r="M56" s="102">
        <f t="shared" si="1"/>
        <v>-27.53205263</v>
      </c>
      <c r="N56" s="102">
        <v>0.043437818</v>
      </c>
      <c r="O56" s="102">
        <v>-28.145048141</v>
      </c>
      <c r="P56" s="102">
        <v>0.02973076</v>
      </c>
      <c r="Q56" s="104">
        <f t="shared" si="2"/>
        <v>0.02226479506</v>
      </c>
      <c r="R56" s="106">
        <f t="shared" si="3"/>
        <v>-11.64548746</v>
      </c>
      <c r="S56" s="101"/>
      <c r="T56" s="108">
        <f t="shared" si="4"/>
        <v>24.4616833</v>
      </c>
      <c r="U56" s="108">
        <f t="shared" si="16"/>
        <v>1</v>
      </c>
      <c r="V56" s="102">
        <f t="shared" si="6"/>
        <v>0.9782201293</v>
      </c>
      <c r="W56" s="101">
        <f t="shared" si="7"/>
        <v>1</v>
      </c>
      <c r="X56" s="101">
        <f t="shared" si="8"/>
        <v>51</v>
      </c>
      <c r="Y56" s="110"/>
      <c r="Z56" s="70">
        <f t="shared" si="9"/>
        <v>-0.02753205263</v>
      </c>
      <c r="AA56" s="157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2.0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-2.01037E-4</v>
      </c>
      <c r="L57" s="103">
        <v>2.92580490522426E-6</v>
      </c>
      <c r="M57" s="102">
        <f t="shared" si="1"/>
        <v>-201.037</v>
      </c>
      <c r="N57" s="102">
        <v>0.308341866</v>
      </c>
      <c r="O57" s="102">
        <v>-202.072433472</v>
      </c>
      <c r="P57" s="102">
        <v>0.223576482</v>
      </c>
      <c r="Q57" s="104">
        <f t="shared" si="2"/>
        <v>0.005150462213</v>
      </c>
      <c r="R57" s="106">
        <f t="shared" si="3"/>
        <v>-2.718608326</v>
      </c>
      <c r="S57" s="101"/>
      <c r="T57" s="108">
        <f t="shared" si="4"/>
        <v>178.6173916</v>
      </c>
      <c r="U57" s="108">
        <f t="shared" si="16"/>
        <v>7.301925603</v>
      </c>
      <c r="V57" s="102">
        <f t="shared" si="6"/>
        <v>0.9948759291</v>
      </c>
      <c r="W57" s="101">
        <f t="shared" si="7"/>
        <v>1</v>
      </c>
      <c r="X57" s="101">
        <f t="shared" si="8"/>
        <v>52</v>
      </c>
      <c r="Y57" s="110"/>
      <c r="Z57" s="79">
        <f t="shared" si="9"/>
        <v>-0.201037</v>
      </c>
      <c r="AA57" s="101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2.0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-5.2738E-4</v>
      </c>
      <c r="L58" s="103">
        <v>8.61443467956457E-6</v>
      </c>
      <c r="M58" s="102">
        <f t="shared" si="1"/>
        <v>-527.38</v>
      </c>
      <c r="N58" s="102">
        <v>0.828125082</v>
      </c>
      <c r="O58" s="102">
        <v>-534.34765625</v>
      </c>
      <c r="P58" s="102">
        <v>0.603872411</v>
      </c>
      <c r="Q58" s="104">
        <f t="shared" si="2"/>
        <v>0.01321183255</v>
      </c>
      <c r="R58" s="106">
        <f t="shared" si="3"/>
        <v>-6.798269787</v>
      </c>
      <c r="S58" s="101"/>
      <c r="T58" s="108">
        <f t="shared" si="4"/>
        <v>468.5666815</v>
      </c>
      <c r="U58" s="108">
        <f t="shared" si="16"/>
        <v>19.15512828</v>
      </c>
      <c r="V58" s="102">
        <f t="shared" si="6"/>
        <v>0.9869604439</v>
      </c>
      <c r="W58" s="101">
        <f t="shared" si="7"/>
        <v>1</v>
      </c>
      <c r="X58" s="101">
        <f t="shared" si="8"/>
        <v>53</v>
      </c>
      <c r="Y58" s="110"/>
      <c r="Z58" s="79">
        <f t="shared" si="9"/>
        <v>-0.52738</v>
      </c>
      <c r="AA58" s="101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2.0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-0.001001988</v>
      </c>
      <c r="L59" s="103">
        <v>1.3766577004624E-5</v>
      </c>
      <c r="M59" s="102">
        <f t="shared" si="1"/>
        <v>-1001.988</v>
      </c>
      <c r="N59" s="102">
        <v>1.609557624</v>
      </c>
      <c r="O59" s="102">
        <v>-1026.816162109</v>
      </c>
      <c r="P59" s="102">
        <v>1.170086505</v>
      </c>
      <c r="Q59" s="104">
        <f t="shared" si="2"/>
        <v>0.02477890165</v>
      </c>
      <c r="R59" s="106">
        <f t="shared" si="3"/>
        <v>-12.47697037</v>
      </c>
      <c r="S59" s="101"/>
      <c r="T59" s="108">
        <f t="shared" si="4"/>
        <v>890.2464866</v>
      </c>
      <c r="U59" s="108">
        <f t="shared" si="16"/>
        <v>36.39350881</v>
      </c>
      <c r="V59" s="102">
        <f t="shared" si="6"/>
        <v>0.9758202461</v>
      </c>
      <c r="W59" s="101">
        <f t="shared" si="7"/>
        <v>1</v>
      </c>
      <c r="X59" s="101">
        <f t="shared" si="8"/>
        <v>54</v>
      </c>
      <c r="Y59" s="110"/>
      <c r="Z59" s="14">
        <f t="shared" si="9"/>
        <v>-1.001988</v>
      </c>
      <c r="AA59" s="101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2.0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-0.00161734999999999</v>
      </c>
      <c r="L60" s="103">
        <v>2.48251969587434E-5</v>
      </c>
      <c r="M60" s="102">
        <f t="shared" si="1"/>
        <v>-1617.35</v>
      </c>
      <c r="N60" s="102">
        <v>2.639569017</v>
      </c>
      <c r="O60" s="102">
        <v>-1690.029785156</v>
      </c>
      <c r="P60" s="102">
        <v>1.922180939</v>
      </c>
      <c r="Q60" s="104">
        <f t="shared" si="2"/>
        <v>0.04493757391</v>
      </c>
      <c r="R60" s="106">
        <f t="shared" si="3"/>
        <v>-22.25830937</v>
      </c>
      <c r="S60" s="101"/>
      <c r="T60" s="108">
        <f t="shared" si="4"/>
        <v>1436.983432</v>
      </c>
      <c r="U60" s="108">
        <f t="shared" si="16"/>
        <v>58.74425789</v>
      </c>
      <c r="V60" s="102">
        <f t="shared" si="6"/>
        <v>0.9569949679</v>
      </c>
      <c r="W60" s="101">
        <f t="shared" si="7"/>
        <v>1</v>
      </c>
      <c r="X60" s="101">
        <f t="shared" si="8"/>
        <v>55</v>
      </c>
      <c r="Y60" s="110"/>
      <c r="Z60" s="14">
        <f t="shared" si="9"/>
        <v>-1.61735</v>
      </c>
      <c r="AA60" s="101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2.0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-0.00237345999999999</v>
      </c>
      <c r="L61" s="103">
        <v>3.9338063403315E-5</v>
      </c>
      <c r="M61" s="102">
        <f t="shared" si="1"/>
        <v>-2373.46</v>
      </c>
      <c r="N61" s="102">
        <v>3.903815912</v>
      </c>
      <c r="O61" s="102">
        <v>-2502.897949219</v>
      </c>
      <c r="P61" s="102">
        <v>2.860147569</v>
      </c>
      <c r="Q61" s="104">
        <f t="shared" si="2"/>
        <v>0.05453555114</v>
      </c>
      <c r="R61" s="106">
        <f t="shared" si="3"/>
        <v>-26.74644786</v>
      </c>
      <c r="S61" s="101"/>
      <c r="T61" s="108">
        <f t="shared" si="4"/>
        <v>2108.772187</v>
      </c>
      <c r="U61" s="108">
        <f t="shared" si="16"/>
        <v>86.20715759</v>
      </c>
      <c r="V61" s="102">
        <f t="shared" si="6"/>
        <v>0.9482847676</v>
      </c>
      <c r="W61" s="101">
        <f t="shared" si="7"/>
        <v>1</v>
      </c>
      <c r="X61" s="101">
        <f t="shared" si="8"/>
        <v>56</v>
      </c>
      <c r="Y61" s="110"/>
      <c r="Z61" s="14">
        <f t="shared" si="9"/>
        <v>-2.37346</v>
      </c>
      <c r="AA61" s="101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2.0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-1.1284375E-6</v>
      </c>
      <c r="L62" s="117">
        <v>2.33086786973822E-8</v>
      </c>
      <c r="M62" s="116">
        <f t="shared" si="1"/>
        <v>-1.1284375</v>
      </c>
      <c r="N62" s="116">
        <v>0.001716877</v>
      </c>
      <c r="O62" s="116">
        <v>-1.125420809</v>
      </c>
      <c r="P62" s="116">
        <v>0.00118923</v>
      </c>
      <c r="Q62" s="118">
        <f t="shared" si="2"/>
        <v>-0.002673334589</v>
      </c>
      <c r="R62" s="119">
        <f t="shared" si="3"/>
        <v>1.444412544</v>
      </c>
      <c r="T62" s="120">
        <f t="shared" si="4"/>
        <v>1.002594362</v>
      </c>
      <c r="V62" s="1">
        <f t="shared" si="6"/>
        <v>1.0026805</v>
      </c>
      <c r="W62" s="121">
        <f t="shared" si="7"/>
        <v>1</v>
      </c>
      <c r="X62" s="121">
        <f t="shared" si="8"/>
        <v>57</v>
      </c>
      <c r="Z62" s="69">
        <f t="shared" si="9"/>
        <v>-0.0011284375</v>
      </c>
      <c r="AA62" s="159"/>
    </row>
    <row r="63">
      <c r="A63" s="4" t="s">
        <v>45</v>
      </c>
      <c r="B63" s="4">
        <v>58.0</v>
      </c>
      <c r="C63" s="44">
        <v>2.0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-1.1284375E-6</v>
      </c>
      <c r="L63" s="117">
        <v>2.33086786973822E-8</v>
      </c>
      <c r="M63" s="116">
        <f t="shared" si="1"/>
        <v>-1.1284375</v>
      </c>
      <c r="N63" s="116">
        <v>0.001716877</v>
      </c>
      <c r="O63" s="116">
        <v>-1.125420809</v>
      </c>
      <c r="P63" s="116">
        <v>0.00118923</v>
      </c>
      <c r="Q63" s="118">
        <f t="shared" si="2"/>
        <v>-0.002673334589</v>
      </c>
      <c r="R63" s="119">
        <f t="shared" si="3"/>
        <v>1.444412544</v>
      </c>
      <c r="T63" s="120">
        <f t="shared" si="4"/>
        <v>1.002594362</v>
      </c>
      <c r="V63" s="1">
        <f t="shared" si="6"/>
        <v>1.0026805</v>
      </c>
      <c r="W63" s="121">
        <f t="shared" si="7"/>
        <v>1</v>
      </c>
      <c r="X63" s="121">
        <f t="shared" si="8"/>
        <v>58</v>
      </c>
      <c r="Z63" s="69">
        <f t="shared" si="9"/>
        <v>-0.0011284375</v>
      </c>
      <c r="AA63" s="159"/>
    </row>
    <row r="64">
      <c r="A64" s="4"/>
      <c r="B64" s="4">
        <v>59.0</v>
      </c>
      <c r="C64" s="44">
        <v>2.0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-2.02406E-5</v>
      </c>
      <c r="L64" s="117">
        <v>3.48485380763756E-7</v>
      </c>
      <c r="M64" s="116">
        <f t="shared" si="1"/>
        <v>-20.2406</v>
      </c>
      <c r="N64" s="116">
        <v>0.030047869</v>
      </c>
      <c r="O64" s="116">
        <v>-20.128147125</v>
      </c>
      <c r="P64" s="116">
        <v>0.023233379</v>
      </c>
      <c r="Q64" s="118">
        <f t="shared" si="2"/>
        <v>-0.005555807387</v>
      </c>
      <c r="R64" s="119">
        <f t="shared" si="3"/>
        <v>2.960655772</v>
      </c>
      <c r="T64" s="120">
        <f t="shared" si="4"/>
        <v>17.98337209</v>
      </c>
      <c r="V64" s="1">
        <f t="shared" si="6"/>
        <v>1.005586847</v>
      </c>
      <c r="W64" s="121">
        <f t="shared" si="7"/>
        <v>1</v>
      </c>
      <c r="X64" s="121">
        <f t="shared" si="8"/>
        <v>59</v>
      </c>
      <c r="Z64" s="70">
        <f t="shared" si="9"/>
        <v>-0.0202406</v>
      </c>
      <c r="AA64" s="159"/>
    </row>
    <row r="65">
      <c r="A65" s="4"/>
      <c r="B65" s="4">
        <v>60.0</v>
      </c>
      <c r="C65" s="44">
        <v>2.0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-1.12677202072538E-6</v>
      </c>
      <c r="L65" s="117">
        <v>2.23445986332916E-8</v>
      </c>
      <c r="M65" s="116">
        <f t="shared" si="1"/>
        <v>-1.126772021</v>
      </c>
      <c r="N65" s="116">
        <v>0.001709185</v>
      </c>
      <c r="O65" s="116">
        <v>-1.126720905</v>
      </c>
      <c r="P65" s="116">
        <v>0.001753748</v>
      </c>
      <c r="Q65" s="118">
        <f t="shared" si="2"/>
        <v>-0.00004536474499</v>
      </c>
      <c r="R65" s="119">
        <f t="shared" si="3"/>
        <v>0.02087322144</v>
      </c>
      <c r="T65" s="120">
        <f t="shared" si="4"/>
        <v>1.001114617</v>
      </c>
      <c r="V65" s="1">
        <f t="shared" si="6"/>
        <v>1.000045367</v>
      </c>
      <c r="W65" s="121">
        <f t="shared" si="7"/>
        <v>1</v>
      </c>
      <c r="X65" s="121">
        <f t="shared" si="8"/>
        <v>60</v>
      </c>
      <c r="Z65" s="69">
        <f t="shared" si="9"/>
        <v>-0.001126772021</v>
      </c>
      <c r="AA65" s="159"/>
    </row>
    <row r="66">
      <c r="A66" s="4"/>
      <c r="B66" s="4">
        <v>61.0</v>
      </c>
      <c r="C66" s="44">
        <v>2.0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-1.12830569948186E-6</v>
      </c>
      <c r="L66" s="117">
        <v>2.30595880874612E-8</v>
      </c>
      <c r="M66" s="116">
        <f t="shared" si="1"/>
        <v>-1.128305699</v>
      </c>
      <c r="N66" s="116">
        <v>0.001710295</v>
      </c>
      <c r="O66" s="116">
        <v>-1.12674439</v>
      </c>
      <c r="P66" s="116">
        <v>0.001763293</v>
      </c>
      <c r="Q66" s="118">
        <f t="shared" si="2"/>
        <v>-0.001383764597</v>
      </c>
      <c r="R66" s="119">
        <f t="shared" si="3"/>
        <v>0.6355872047</v>
      </c>
      <c r="T66" s="120">
        <f t="shared" si="4"/>
        <v>1.00247726</v>
      </c>
      <c r="V66" s="1">
        <f t="shared" si="6"/>
        <v>1.001385682</v>
      </c>
      <c r="W66" s="121">
        <f t="shared" si="7"/>
        <v>1</v>
      </c>
      <c r="X66" s="121">
        <f t="shared" si="8"/>
        <v>61</v>
      </c>
      <c r="Z66" s="69">
        <f t="shared" si="9"/>
        <v>-0.001128305699</v>
      </c>
      <c r="AA66" s="159"/>
    </row>
    <row r="67">
      <c r="K67" s="1"/>
      <c r="L67" s="2"/>
      <c r="M67" s="1"/>
      <c r="N67" s="1"/>
      <c r="O67" s="1"/>
      <c r="W67" s="121">
        <f>(SUM(W6:W61)-1)/55</f>
        <v>0.9636363636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47</v>
      </c>
      <c r="W5" s="4">
        <v>0.1</v>
      </c>
      <c r="X5" s="4" t="s">
        <v>2</v>
      </c>
    </row>
    <row r="6">
      <c r="A6" s="8"/>
      <c r="B6" s="8">
        <v>1.0</v>
      </c>
      <c r="C6" s="8">
        <v>2.5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-9.42469944751381E-9</v>
      </c>
      <c r="L6" s="11">
        <v>7.00137254440159E-10</v>
      </c>
      <c r="M6" s="10">
        <f t="shared" ref="M6:M66" si="1">K6*1000000</f>
        <v>-0.009424699448</v>
      </c>
      <c r="N6" s="10">
        <v>2.5775E-5</v>
      </c>
      <c r="O6" s="10">
        <v>-0.008890123</v>
      </c>
      <c r="P6" s="10">
        <v>4.0591E-5</v>
      </c>
      <c r="Q6" s="12">
        <f t="shared" ref="Q6:Q66" si="2">(O6-M6)/M6</f>
        <v>-0.05672079523</v>
      </c>
      <c r="R6" s="13">
        <f t="shared" ref="R6:R66" si="3">(O6-M6)/sqrt(N6*N6+P6*P6)</f>
        <v>11.11777276</v>
      </c>
      <c r="S6" s="8"/>
      <c r="T6" s="14">
        <f t="shared" ref="T6:T66" si="4">K6/$K$14</f>
        <v>0.01294554449</v>
      </c>
      <c r="U6" s="14">
        <f t="shared" ref="U6:U12" si="5">K6/$K$7</f>
        <v>0.05182558981</v>
      </c>
      <c r="V6" s="10">
        <f t="shared" ref="V6:V66" si="6">M6/O6</f>
        <v>1.060131502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67">
        <f t="shared" ref="Z6:Z66" si="9">M6*0.001</f>
        <v>-0.000009424699448</v>
      </c>
      <c r="AA6" s="86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2.5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-1.81854166666666E-7</v>
      </c>
      <c r="L7" s="11">
        <v>4.00730186450263E-9</v>
      </c>
      <c r="M7" s="10">
        <f t="shared" si="1"/>
        <v>-0.1818541667</v>
      </c>
      <c r="N7" s="10">
        <v>1.95436E-4</v>
      </c>
      <c r="O7" s="10">
        <v>-0.182831675</v>
      </c>
      <c r="P7" s="10">
        <v>1.91668E-4</v>
      </c>
      <c r="Q7" s="12">
        <f t="shared" si="2"/>
        <v>0.005375231985</v>
      </c>
      <c r="R7" s="13">
        <f t="shared" si="3"/>
        <v>-3.57097849</v>
      </c>
      <c r="S7" s="8"/>
      <c r="T7" s="14">
        <f t="shared" si="4"/>
        <v>0.2497905868</v>
      </c>
      <c r="U7" s="14">
        <f t="shared" si="5"/>
        <v>1</v>
      </c>
      <c r="V7" s="10">
        <f t="shared" si="6"/>
        <v>0.9946535067</v>
      </c>
      <c r="W7" s="8">
        <f t="shared" si="7"/>
        <v>1</v>
      </c>
      <c r="X7" s="8">
        <f t="shared" si="8"/>
        <v>2</v>
      </c>
      <c r="Y7" s="15"/>
      <c r="Z7" s="68">
        <f t="shared" si="9"/>
        <v>-0.0001818541667</v>
      </c>
      <c r="AA7" s="86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2.5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-1.31392E-6</v>
      </c>
      <c r="L8" s="11">
        <v>1.88568689749302E-8</v>
      </c>
      <c r="M8" s="10">
        <f t="shared" si="1"/>
        <v>-1.31392</v>
      </c>
      <c r="N8" s="10">
        <v>0.001367432</v>
      </c>
      <c r="O8" s="10">
        <v>-1.312292099</v>
      </c>
      <c r="P8" s="10">
        <v>0.001441385</v>
      </c>
      <c r="Q8" s="12">
        <f t="shared" si="2"/>
        <v>-0.001238965082</v>
      </c>
      <c r="R8" s="13">
        <f t="shared" si="3"/>
        <v>0.819349261</v>
      </c>
      <c r="S8" s="8"/>
      <c r="T8" s="14">
        <f t="shared" si="4"/>
        <v>1.804769469</v>
      </c>
      <c r="U8" s="14">
        <f t="shared" si="5"/>
        <v>7.225130026</v>
      </c>
      <c r="V8" s="10">
        <f t="shared" si="6"/>
        <v>1.001240502</v>
      </c>
      <c r="W8" s="8">
        <f t="shared" si="7"/>
        <v>1</v>
      </c>
      <c r="X8" s="8">
        <f t="shared" si="8"/>
        <v>3</v>
      </c>
      <c r="Y8" s="15"/>
      <c r="Z8" s="69">
        <f t="shared" si="9"/>
        <v>-0.00131392</v>
      </c>
      <c r="AA8" s="86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2.5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-3.48150999999999E-6</v>
      </c>
      <c r="L9" s="11">
        <v>5.2938761435375E-8</v>
      </c>
      <c r="M9" s="10">
        <f t="shared" si="1"/>
        <v>-3.48151</v>
      </c>
      <c r="N9" s="10">
        <v>0.003637273</v>
      </c>
      <c r="O9" s="10">
        <v>-3.48163414</v>
      </c>
      <c r="P9" s="10">
        <v>0.003893105</v>
      </c>
      <c r="Q9" s="12">
        <f t="shared" si="2"/>
        <v>0.00003565694196</v>
      </c>
      <c r="R9" s="13">
        <f t="shared" si="3"/>
        <v>-0.02330019083</v>
      </c>
      <c r="S9" s="8"/>
      <c r="T9" s="14">
        <f t="shared" si="4"/>
        <v>4.782119882</v>
      </c>
      <c r="U9" s="14">
        <f t="shared" si="5"/>
        <v>19.14451598</v>
      </c>
      <c r="V9" s="10">
        <f t="shared" si="6"/>
        <v>0.9999643443</v>
      </c>
      <c r="W9" s="8">
        <f t="shared" si="7"/>
        <v>1</v>
      </c>
      <c r="X9" s="8">
        <f t="shared" si="8"/>
        <v>4</v>
      </c>
      <c r="Y9" s="15"/>
      <c r="Z9" s="69">
        <f t="shared" si="9"/>
        <v>-0.00348151</v>
      </c>
      <c r="AA9" s="86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2.5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-6.695445E-6</v>
      </c>
      <c r="L10" s="11">
        <v>9.18247017652187E-8</v>
      </c>
      <c r="M10" s="10">
        <f t="shared" si="1"/>
        <v>-6.695445</v>
      </c>
      <c r="N10" s="10">
        <v>0.007004337</v>
      </c>
      <c r="O10" s="10">
        <v>-6.680931091</v>
      </c>
      <c r="P10" s="10">
        <v>0.007543421</v>
      </c>
      <c r="Q10" s="12">
        <f t="shared" si="2"/>
        <v>-0.002167728807</v>
      </c>
      <c r="R10" s="13">
        <f t="shared" si="3"/>
        <v>1.409955326</v>
      </c>
      <c r="S10" s="8"/>
      <c r="T10" s="14">
        <f t="shared" si="4"/>
        <v>9.196705065</v>
      </c>
      <c r="U10" s="14">
        <f t="shared" si="5"/>
        <v>36.81766067</v>
      </c>
      <c r="V10" s="10">
        <f t="shared" si="6"/>
        <v>1.002172438</v>
      </c>
      <c r="W10" s="8">
        <f t="shared" si="7"/>
        <v>1</v>
      </c>
      <c r="X10" s="8">
        <f t="shared" si="8"/>
        <v>5</v>
      </c>
      <c r="Y10" s="15"/>
      <c r="Z10" s="69">
        <f t="shared" si="9"/>
        <v>-0.006695445</v>
      </c>
      <c r="AA10" s="86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2.5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-1.09516499999999E-5</v>
      </c>
      <c r="L11" s="11">
        <v>1.64098810470977E-7</v>
      </c>
      <c r="M11" s="10">
        <f t="shared" si="1"/>
        <v>-10.95165</v>
      </c>
      <c r="N11" s="10">
        <v>0.011456977</v>
      </c>
      <c r="O11" s="10">
        <v>-10.855225563</v>
      </c>
      <c r="P11" s="10">
        <v>0.012392089</v>
      </c>
      <c r="Q11" s="12">
        <f t="shared" si="2"/>
        <v>-0.008804557943</v>
      </c>
      <c r="R11" s="13">
        <f t="shared" si="3"/>
        <v>5.713433149</v>
      </c>
      <c r="S11" s="8"/>
      <c r="T11" s="14">
        <f t="shared" si="4"/>
        <v>15.0429277</v>
      </c>
      <c r="U11" s="14">
        <f t="shared" si="5"/>
        <v>60.22215603</v>
      </c>
      <c r="V11" s="10">
        <f t="shared" si="6"/>
        <v>1.008882767</v>
      </c>
      <c r="W11" s="8">
        <f t="shared" si="7"/>
        <v>1</v>
      </c>
      <c r="X11" s="8">
        <f t="shared" si="8"/>
        <v>6</v>
      </c>
      <c r="Y11" s="15"/>
      <c r="Z11" s="70">
        <f t="shared" si="9"/>
        <v>-0.01095165</v>
      </c>
      <c r="AA11" s="86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2.5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-1.62276E-5</v>
      </c>
      <c r="L12" s="11">
        <v>2.5900319161418E-7</v>
      </c>
      <c r="M12" s="10">
        <f t="shared" si="1"/>
        <v>-16.2276</v>
      </c>
      <c r="N12" s="10">
        <v>0.016987569</v>
      </c>
      <c r="O12" s="10">
        <v>-16.11917305</v>
      </c>
      <c r="P12" s="10">
        <v>0.018439054</v>
      </c>
      <c r="Q12" s="12">
        <f t="shared" si="2"/>
        <v>-0.006681638073</v>
      </c>
      <c r="R12" s="13">
        <f t="shared" si="3"/>
        <v>4.324722745</v>
      </c>
      <c r="S12" s="8"/>
      <c r="T12" s="14">
        <f t="shared" si="4"/>
        <v>22.28984797</v>
      </c>
      <c r="U12" s="14">
        <f t="shared" si="5"/>
        <v>89.23413908</v>
      </c>
      <c r="V12" s="10">
        <f t="shared" si="6"/>
        <v>1.006726583</v>
      </c>
      <c r="W12" s="8">
        <f t="shared" si="7"/>
        <v>1</v>
      </c>
      <c r="X12" s="8">
        <f t="shared" si="8"/>
        <v>7</v>
      </c>
      <c r="Y12" s="15"/>
      <c r="Z12" s="70">
        <f t="shared" si="9"/>
        <v>-0.0162276</v>
      </c>
      <c r="AA12" s="86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2.5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-3.71401315789474E-8</v>
      </c>
      <c r="L13" s="24">
        <v>2.8743811407072E-9</v>
      </c>
      <c r="M13" s="23">
        <f t="shared" si="1"/>
        <v>-0.03714013158</v>
      </c>
      <c r="N13" s="23">
        <v>1.02815E-4</v>
      </c>
      <c r="O13" s="23">
        <v>-0.035560492</v>
      </c>
      <c r="P13" s="23">
        <v>1.62366E-4</v>
      </c>
      <c r="Q13" s="26">
        <f t="shared" si="2"/>
        <v>-0.04253187891</v>
      </c>
      <c r="R13" s="27">
        <f t="shared" si="3"/>
        <v>8.219529113</v>
      </c>
      <c r="S13" s="22"/>
      <c r="T13" s="28">
        <f t="shared" si="4"/>
        <v>0.05101480726</v>
      </c>
      <c r="U13" s="28">
        <f t="shared" ref="U13:U19" si="10">K13/$K$14</f>
        <v>0.05101480726</v>
      </c>
      <c r="V13" s="23">
        <f t="shared" si="6"/>
        <v>1.044421196</v>
      </c>
      <c r="W13" s="22">
        <f t="shared" si="7"/>
        <v>1</v>
      </c>
      <c r="X13" s="22">
        <f t="shared" si="8"/>
        <v>8</v>
      </c>
      <c r="Y13" s="71"/>
      <c r="Z13" s="67">
        <f t="shared" si="9"/>
        <v>-0.00003714013158</v>
      </c>
      <c r="AA13" s="11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2.5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-7.28026499999999E-7</v>
      </c>
      <c r="L14" s="31">
        <v>1.4938158158653E-8</v>
      </c>
      <c r="M14" s="30">
        <f t="shared" si="1"/>
        <v>-0.7280265</v>
      </c>
      <c r="N14" s="30">
        <v>7.6667E-4</v>
      </c>
      <c r="O14" s="30">
        <v>-0.731326699</v>
      </c>
      <c r="P14" s="30">
        <v>7.6667E-4</v>
      </c>
      <c r="Q14" s="32">
        <f t="shared" si="2"/>
        <v>0.004533075376</v>
      </c>
      <c r="R14" s="34">
        <f t="shared" si="3"/>
        <v>-3.043803843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0.9954873807</v>
      </c>
      <c r="W14" s="29">
        <f t="shared" si="7"/>
        <v>1</v>
      </c>
      <c r="X14" s="29">
        <f t="shared" si="8"/>
        <v>9</v>
      </c>
      <c r="Y14" s="72"/>
      <c r="Z14" s="68">
        <f t="shared" si="9"/>
        <v>-0.0007280265</v>
      </c>
      <c r="AA14" s="131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2.5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-5.252485E-6</v>
      </c>
      <c r="L15" s="24">
        <v>7.68767843687181E-8</v>
      </c>
      <c r="M15" s="23">
        <f t="shared" si="1"/>
        <v>-5.252485</v>
      </c>
      <c r="N15" s="23">
        <v>0.005471436</v>
      </c>
      <c r="O15" s="23">
        <v>-5.249168396</v>
      </c>
      <c r="P15" s="23">
        <v>0.005765538</v>
      </c>
      <c r="Q15" s="26">
        <f t="shared" si="2"/>
        <v>-0.0006314352159</v>
      </c>
      <c r="R15" s="27">
        <f t="shared" si="3"/>
        <v>0.4172636424</v>
      </c>
      <c r="S15" s="22"/>
      <c r="T15" s="28">
        <f t="shared" si="4"/>
        <v>7.2146893</v>
      </c>
      <c r="U15" s="28">
        <f t="shared" si="10"/>
        <v>7.2146893</v>
      </c>
      <c r="V15" s="23">
        <f t="shared" si="6"/>
        <v>1.000631834</v>
      </c>
      <c r="W15" s="22">
        <f t="shared" si="7"/>
        <v>1</v>
      </c>
      <c r="X15" s="22">
        <f t="shared" si="8"/>
        <v>10</v>
      </c>
      <c r="Y15" s="71"/>
      <c r="Z15" s="69">
        <f t="shared" si="9"/>
        <v>-0.005252485</v>
      </c>
      <c r="AA15" s="11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2.5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-1.39486999999999E-5</v>
      </c>
      <c r="L16" s="24">
        <v>1.97309312563093E-7</v>
      </c>
      <c r="M16" s="23">
        <f t="shared" si="1"/>
        <v>-13.9487</v>
      </c>
      <c r="N16" s="23">
        <v>0.014567475</v>
      </c>
      <c r="O16" s="23">
        <v>-13.92653656</v>
      </c>
      <c r="P16" s="23">
        <v>0.015572418</v>
      </c>
      <c r="Q16" s="26">
        <f t="shared" si="2"/>
        <v>-0.001588925133</v>
      </c>
      <c r="R16" s="27">
        <f t="shared" si="3"/>
        <v>1.039367625</v>
      </c>
      <c r="S16" s="22"/>
      <c r="T16" s="28">
        <f t="shared" si="4"/>
        <v>19.15960477</v>
      </c>
      <c r="U16" s="28">
        <f t="shared" si="10"/>
        <v>19.15960477</v>
      </c>
      <c r="V16" s="23">
        <f t="shared" si="6"/>
        <v>1.001591454</v>
      </c>
      <c r="W16" s="22">
        <f t="shared" si="7"/>
        <v>1</v>
      </c>
      <c r="X16" s="22">
        <f t="shared" si="8"/>
        <v>11</v>
      </c>
      <c r="Y16" s="71"/>
      <c r="Z16" s="70">
        <f t="shared" si="9"/>
        <v>-0.0139487</v>
      </c>
      <c r="AA16" s="11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2.5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-2.67789999999999E-5</v>
      </c>
      <c r="L17" s="24">
        <v>4.14251155822771E-7</v>
      </c>
      <c r="M17" s="23">
        <f t="shared" si="1"/>
        <v>-26.779</v>
      </c>
      <c r="N17" s="23">
        <v>0.028033226</v>
      </c>
      <c r="O17" s="23">
        <v>-26.723724365</v>
      </c>
      <c r="P17" s="23">
        <v>0.030173684</v>
      </c>
      <c r="Q17" s="26">
        <f t="shared" si="2"/>
        <v>-0.002064141118</v>
      </c>
      <c r="R17" s="27">
        <f t="shared" si="3"/>
        <v>1.342087247</v>
      </c>
      <c r="S17" s="22"/>
      <c r="T17" s="28">
        <f t="shared" si="4"/>
        <v>36.78300172</v>
      </c>
      <c r="U17" s="28">
        <f t="shared" si="10"/>
        <v>36.78300172</v>
      </c>
      <c r="V17" s="23">
        <f t="shared" si="6"/>
        <v>1.002068411</v>
      </c>
      <c r="W17" s="22">
        <f t="shared" si="7"/>
        <v>1</v>
      </c>
      <c r="X17" s="22">
        <f t="shared" si="8"/>
        <v>12</v>
      </c>
      <c r="Y17" s="71"/>
      <c r="Z17" s="70">
        <f t="shared" si="9"/>
        <v>-0.026779</v>
      </c>
      <c r="AA17" s="11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2.5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-4.37601E-5</v>
      </c>
      <c r="L18" s="24">
        <v>7.00100488121052E-7</v>
      </c>
      <c r="M18" s="23">
        <f t="shared" si="1"/>
        <v>-43.7601</v>
      </c>
      <c r="N18" s="23">
        <v>0.045810477</v>
      </c>
      <c r="O18" s="23">
        <v>-43.420902252</v>
      </c>
      <c r="P18" s="23">
        <v>0.049568354</v>
      </c>
      <c r="Q18" s="26">
        <f t="shared" si="2"/>
        <v>-0.007751301939</v>
      </c>
      <c r="R18" s="27">
        <f t="shared" si="3"/>
        <v>5.025498437</v>
      </c>
      <c r="S18" s="22"/>
      <c r="T18" s="28">
        <f t="shared" si="4"/>
        <v>60.10783948</v>
      </c>
      <c r="U18" s="28">
        <f t="shared" si="10"/>
        <v>60.10783948</v>
      </c>
      <c r="V18" s="23">
        <f t="shared" si="6"/>
        <v>1.007811854</v>
      </c>
      <c r="W18" s="22">
        <f t="shared" si="7"/>
        <v>1</v>
      </c>
      <c r="X18" s="22">
        <f t="shared" si="8"/>
        <v>13</v>
      </c>
      <c r="Y18" s="71"/>
      <c r="Z18" s="70">
        <f t="shared" si="9"/>
        <v>-0.0437601</v>
      </c>
      <c r="AA18" s="11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2.5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-6.446E-5</v>
      </c>
      <c r="L19" s="24">
        <v>9.76753930734876E-7</v>
      </c>
      <c r="M19" s="23">
        <f t="shared" si="1"/>
        <v>-64.46</v>
      </c>
      <c r="N19" s="23">
        <v>0.067718892</v>
      </c>
      <c r="O19" s="23">
        <v>-64.4766922</v>
      </c>
      <c r="P19" s="23">
        <v>0.073756216</v>
      </c>
      <c r="Q19" s="26">
        <f t="shared" si="2"/>
        <v>0.0002589543903</v>
      </c>
      <c r="R19" s="27">
        <f t="shared" si="3"/>
        <v>-0.1667068558</v>
      </c>
      <c r="S19" s="22"/>
      <c r="T19" s="28">
        <f t="shared" si="4"/>
        <v>88.54073306</v>
      </c>
      <c r="U19" s="28">
        <f t="shared" si="10"/>
        <v>88.54073306</v>
      </c>
      <c r="V19" s="23">
        <f t="shared" si="6"/>
        <v>0.9997411126</v>
      </c>
      <c r="W19" s="22">
        <f t="shared" si="7"/>
        <v>1</v>
      </c>
      <c r="X19" s="22">
        <f t="shared" si="8"/>
        <v>14</v>
      </c>
      <c r="Y19" s="71"/>
      <c r="Z19" s="70">
        <f t="shared" si="9"/>
        <v>-0.06446</v>
      </c>
      <c r="AA19" s="11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2.5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-8.29298501070664E-8</v>
      </c>
      <c r="L20" s="39">
        <v>6.49110879011616E-9</v>
      </c>
      <c r="M20" s="38">
        <f t="shared" si="1"/>
        <v>-0.08292985011</v>
      </c>
      <c r="N20" s="38">
        <v>3.22681E-4</v>
      </c>
      <c r="O20" s="38">
        <v>-0.080011465</v>
      </c>
      <c r="P20" s="38">
        <v>3.65323E-4</v>
      </c>
      <c r="Q20" s="40">
        <f t="shared" si="2"/>
        <v>-0.03519100907</v>
      </c>
      <c r="R20" s="41">
        <f t="shared" si="3"/>
        <v>5.987342147</v>
      </c>
      <c r="S20" s="37"/>
      <c r="T20" s="42">
        <f t="shared" si="4"/>
        <v>0.1139104828</v>
      </c>
      <c r="U20" s="42">
        <f t="shared" ref="U20:U26" si="11">K20/$K$21</f>
        <v>0.0508171415</v>
      </c>
      <c r="V20" s="38">
        <f t="shared" si="6"/>
        <v>1.036474587</v>
      </c>
      <c r="W20" s="37">
        <f t="shared" si="7"/>
        <v>1</v>
      </c>
      <c r="X20" s="37">
        <f t="shared" si="8"/>
        <v>15</v>
      </c>
      <c r="Y20" s="81"/>
      <c r="Z20" s="67">
        <f t="shared" si="9"/>
        <v>-0.00008292985011</v>
      </c>
      <c r="AA20" s="126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2.5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-1.63192670157067E-6</v>
      </c>
      <c r="L21" s="39">
        <v>3.49788638302128E-8</v>
      </c>
      <c r="M21" s="38">
        <f t="shared" si="1"/>
        <v>-1.631926702</v>
      </c>
      <c r="N21" s="38">
        <v>0.002491055</v>
      </c>
      <c r="O21" s="38">
        <v>-1.64127934</v>
      </c>
      <c r="P21" s="38">
        <v>0.001725008</v>
      </c>
      <c r="Q21" s="40">
        <f t="shared" si="2"/>
        <v>0.005731040751</v>
      </c>
      <c r="R21" s="41">
        <f t="shared" si="3"/>
        <v>-3.08666126</v>
      </c>
      <c r="S21" s="37"/>
      <c r="T21" s="42">
        <f t="shared" si="4"/>
        <v>2.241575961</v>
      </c>
      <c r="U21" s="42">
        <f t="shared" si="11"/>
        <v>1</v>
      </c>
      <c r="V21" s="38">
        <f t="shared" si="6"/>
        <v>0.9943016169</v>
      </c>
      <c r="W21" s="37">
        <f t="shared" si="7"/>
        <v>1</v>
      </c>
      <c r="X21" s="37">
        <f t="shared" si="8"/>
        <v>16</v>
      </c>
      <c r="Y21" s="81"/>
      <c r="Z21" s="69">
        <f t="shared" si="9"/>
        <v>-0.001631926702</v>
      </c>
      <c r="AA21" s="126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2.5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-1.18191E-5</v>
      </c>
      <c r="L22" s="39">
        <v>1.69354657449979E-7</v>
      </c>
      <c r="M22" s="38">
        <f t="shared" si="1"/>
        <v>-11.8191</v>
      </c>
      <c r="N22" s="38">
        <v>0.017408816</v>
      </c>
      <c r="O22" s="38">
        <v>-11.734610558</v>
      </c>
      <c r="P22" s="38">
        <v>0.012972461</v>
      </c>
      <c r="Q22" s="40">
        <f t="shared" si="2"/>
        <v>-0.007148551243</v>
      </c>
      <c r="R22" s="41">
        <f t="shared" si="3"/>
        <v>3.891615642</v>
      </c>
      <c r="S22" s="37"/>
      <c r="T22" s="42">
        <f t="shared" si="4"/>
        <v>16.23443652</v>
      </c>
      <c r="U22" s="42">
        <f t="shared" si="11"/>
        <v>7.242420869</v>
      </c>
      <c r="V22" s="38">
        <f t="shared" si="6"/>
        <v>1.007200021</v>
      </c>
      <c r="W22" s="37">
        <f t="shared" si="7"/>
        <v>1</v>
      </c>
      <c r="X22" s="37">
        <f t="shared" si="8"/>
        <v>17</v>
      </c>
      <c r="Y22" s="81"/>
      <c r="Z22" s="70">
        <f t="shared" si="9"/>
        <v>-0.0118191</v>
      </c>
      <c r="AA22" s="126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2.5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-3.12466E-5</v>
      </c>
      <c r="L23" s="39">
        <v>4.69240133652592E-7</v>
      </c>
      <c r="M23" s="38">
        <f t="shared" si="1"/>
        <v>-31.2466</v>
      </c>
      <c r="N23" s="38">
        <v>0.046205502</v>
      </c>
      <c r="O23" s="38">
        <v>-31.341142654</v>
      </c>
      <c r="P23" s="38">
        <v>0.035037942</v>
      </c>
      <c r="Q23" s="40">
        <f t="shared" si="2"/>
        <v>0.003025694124</v>
      </c>
      <c r="R23" s="41">
        <f t="shared" si="3"/>
        <v>-1.630383649</v>
      </c>
      <c r="S23" s="37"/>
      <c r="T23" s="42">
        <f t="shared" si="4"/>
        <v>42.91959153</v>
      </c>
      <c r="U23" s="42">
        <f t="shared" si="11"/>
        <v>19.14706094</v>
      </c>
      <c r="V23" s="38">
        <f t="shared" si="6"/>
        <v>0.9969834331</v>
      </c>
      <c r="W23" s="37">
        <f t="shared" si="7"/>
        <v>1</v>
      </c>
      <c r="X23" s="37">
        <f t="shared" si="8"/>
        <v>18</v>
      </c>
      <c r="Y23" s="81"/>
      <c r="Z23" s="70">
        <f t="shared" si="9"/>
        <v>-0.0312466</v>
      </c>
      <c r="AA23" s="126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2.5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-5.9787E-5</v>
      </c>
      <c r="L24" s="39">
        <v>8.77000742890394E-7</v>
      </c>
      <c r="M24" s="38">
        <f t="shared" si="1"/>
        <v>-59.787</v>
      </c>
      <c r="N24" s="38">
        <v>0.088737034</v>
      </c>
      <c r="O24" s="38">
        <v>-59.996860504</v>
      </c>
      <c r="P24" s="38">
        <v>0.06789079</v>
      </c>
      <c r="Q24" s="40">
        <f t="shared" si="2"/>
        <v>0.00351013605</v>
      </c>
      <c r="R24" s="41">
        <f t="shared" si="3"/>
        <v>-1.878295467</v>
      </c>
      <c r="S24" s="37"/>
      <c r="T24" s="42">
        <f t="shared" si="4"/>
        <v>82.12201067</v>
      </c>
      <c r="U24" s="42">
        <f t="shared" si="11"/>
        <v>36.63583661</v>
      </c>
      <c r="V24" s="38">
        <f t="shared" si="6"/>
        <v>0.9965021419</v>
      </c>
      <c r="W24" s="37">
        <f t="shared" si="7"/>
        <v>1</v>
      </c>
      <c r="X24" s="37">
        <f t="shared" si="8"/>
        <v>19</v>
      </c>
      <c r="Y24" s="81"/>
      <c r="Z24" s="70">
        <f t="shared" si="9"/>
        <v>-0.059787</v>
      </c>
      <c r="AA24" s="126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2.5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-9.88984E-5</v>
      </c>
      <c r="L25" s="39">
        <v>1.39132936939511E-6</v>
      </c>
      <c r="M25" s="38">
        <f t="shared" si="1"/>
        <v>-98.8984</v>
      </c>
      <c r="N25" s="38">
        <v>0.14680088</v>
      </c>
      <c r="O25" s="38">
        <v>-98.275901794</v>
      </c>
      <c r="P25" s="38">
        <v>0.111528797</v>
      </c>
      <c r="Q25" s="40">
        <f t="shared" si="2"/>
        <v>-0.006294320292</v>
      </c>
      <c r="R25" s="41">
        <f t="shared" si="3"/>
        <v>3.376508276</v>
      </c>
      <c r="S25" s="37"/>
      <c r="T25" s="42">
        <f t="shared" si="4"/>
        <v>135.8445057</v>
      </c>
      <c r="U25" s="42">
        <f t="shared" si="11"/>
        <v>60.60223165</v>
      </c>
      <c r="V25" s="38">
        <f t="shared" si="6"/>
        <v>1.00633419</v>
      </c>
      <c r="W25" s="37">
        <f t="shared" si="7"/>
        <v>1</v>
      </c>
      <c r="X25" s="37">
        <f t="shared" si="8"/>
        <v>20</v>
      </c>
      <c r="Y25" s="81"/>
      <c r="Z25" s="70">
        <f t="shared" si="9"/>
        <v>-0.0988984</v>
      </c>
      <c r="AA25" s="126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2.5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-1.47242999999999E-4</v>
      </c>
      <c r="L26" s="39">
        <v>2.15965087900612E-6</v>
      </c>
      <c r="M26" s="38">
        <f t="shared" si="1"/>
        <v>-147.243</v>
      </c>
      <c r="N26" s="38">
        <v>0.219300314</v>
      </c>
      <c r="O26" s="38">
        <v>-145.017044067</v>
      </c>
      <c r="P26" s="38">
        <v>0.165951486</v>
      </c>
      <c r="Q26" s="40">
        <f t="shared" si="2"/>
        <v>-0.0151175671</v>
      </c>
      <c r="R26" s="41">
        <f t="shared" si="3"/>
        <v>8.093982613</v>
      </c>
      <c r="S26" s="37"/>
      <c r="T26" s="42">
        <f t="shared" si="4"/>
        <v>202.249506</v>
      </c>
      <c r="U26" s="42">
        <f t="shared" si="11"/>
        <v>90.22647884</v>
      </c>
      <c r="V26" s="38">
        <f t="shared" si="6"/>
        <v>1.015349616</v>
      </c>
      <c r="W26" s="37">
        <f t="shared" si="7"/>
        <v>1</v>
      </c>
      <c r="X26" s="37">
        <f t="shared" si="8"/>
        <v>21</v>
      </c>
      <c r="Y26" s="81"/>
      <c r="Z26" s="79">
        <f t="shared" si="9"/>
        <v>-0.147243</v>
      </c>
      <c r="AA26" s="37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2.5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-1.45760043668122E-7</v>
      </c>
      <c r="L27" s="46">
        <v>1.19707282298352E-8</v>
      </c>
      <c r="M27" s="45">
        <f t="shared" si="1"/>
        <v>-0.1457600437</v>
      </c>
      <c r="N27" s="45">
        <v>5.79087E-4</v>
      </c>
      <c r="O27" s="45">
        <v>-0.14224197</v>
      </c>
      <c r="P27" s="45">
        <v>6.49463E-4</v>
      </c>
      <c r="Q27" s="47">
        <f t="shared" si="2"/>
        <v>-0.02413606349</v>
      </c>
      <c r="R27" s="48">
        <f t="shared" si="3"/>
        <v>4.043111361</v>
      </c>
      <c r="S27" s="44"/>
      <c r="T27" s="49">
        <f t="shared" si="4"/>
        <v>0.2002125522</v>
      </c>
      <c r="U27" s="49">
        <f t="shared" ref="U27:U33" si="12">K27/$K$28</f>
        <v>0.05021764441</v>
      </c>
      <c r="V27" s="45">
        <f t="shared" si="6"/>
        <v>1.024733021</v>
      </c>
      <c r="W27" s="44">
        <f t="shared" si="7"/>
        <v>1</v>
      </c>
      <c r="X27" s="44">
        <f t="shared" si="8"/>
        <v>22</v>
      </c>
      <c r="Y27" s="85"/>
      <c r="Z27" s="68">
        <f t="shared" si="9"/>
        <v>-0.0001457600437</v>
      </c>
      <c r="AA27" s="138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2.5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-2.90256632653061E-6</v>
      </c>
      <c r="L28" s="46">
        <v>6.23586869220443E-8</v>
      </c>
      <c r="M28" s="45">
        <f t="shared" si="1"/>
        <v>-2.902566327</v>
      </c>
      <c r="N28" s="45">
        <v>0.004375558</v>
      </c>
      <c r="O28" s="45">
        <v>-2.925306797</v>
      </c>
      <c r="P28" s="45">
        <v>0.003066681</v>
      </c>
      <c r="Q28" s="47">
        <f t="shared" si="2"/>
        <v>0.007834608381</v>
      </c>
      <c r="R28" s="48">
        <f t="shared" si="3"/>
        <v>-4.255945752</v>
      </c>
      <c r="S28" s="44"/>
      <c r="T28" s="49">
        <f t="shared" si="4"/>
        <v>3.98689653</v>
      </c>
      <c r="U28" s="49">
        <f t="shared" si="12"/>
        <v>1</v>
      </c>
      <c r="V28" s="45">
        <f t="shared" si="6"/>
        <v>0.9922262955</v>
      </c>
      <c r="W28" s="44">
        <f t="shared" si="7"/>
        <v>1</v>
      </c>
      <c r="X28" s="44">
        <f t="shared" si="8"/>
        <v>23</v>
      </c>
      <c r="Y28" s="85"/>
      <c r="Z28" s="69">
        <f t="shared" si="9"/>
        <v>-0.002902566327</v>
      </c>
      <c r="AA28" s="138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2.5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-2.08613E-5</v>
      </c>
      <c r="L29" s="46">
        <v>2.87875025493755E-7</v>
      </c>
      <c r="M29" s="45">
        <f t="shared" si="1"/>
        <v>-20.8613</v>
      </c>
      <c r="N29" s="45">
        <v>0.030852343</v>
      </c>
      <c r="O29" s="45">
        <v>-20.996673584</v>
      </c>
      <c r="P29" s="45">
        <v>0.023062153</v>
      </c>
      <c r="Q29" s="47">
        <f t="shared" si="2"/>
        <v>0.006489220902</v>
      </c>
      <c r="R29" s="48">
        <f t="shared" si="3"/>
        <v>-3.514442907</v>
      </c>
      <c r="S29" s="44"/>
      <c r="T29" s="49">
        <f t="shared" si="4"/>
        <v>28.65458881</v>
      </c>
      <c r="U29" s="49">
        <f t="shared" si="12"/>
        <v>7.18719149</v>
      </c>
      <c r="V29" s="45">
        <f t="shared" si="6"/>
        <v>0.9935526176</v>
      </c>
      <c r="W29" s="44">
        <f t="shared" si="7"/>
        <v>1</v>
      </c>
      <c r="X29" s="44">
        <f t="shared" si="8"/>
        <v>24</v>
      </c>
      <c r="Y29" s="85"/>
      <c r="Z29" s="70">
        <f t="shared" si="9"/>
        <v>-0.0208613</v>
      </c>
      <c r="AA29" s="138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2.5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-5.58621E-5</v>
      </c>
      <c r="L30" s="46">
        <v>7.1976468517162E-7</v>
      </c>
      <c r="M30" s="45">
        <f t="shared" si="1"/>
        <v>-55.8621</v>
      </c>
      <c r="N30" s="45">
        <v>0.082695877</v>
      </c>
      <c r="O30" s="45">
        <v>-55.70614624</v>
      </c>
      <c r="P30" s="45">
        <v>0.062289674</v>
      </c>
      <c r="Q30" s="47">
        <f t="shared" si="2"/>
        <v>-0.002791763289</v>
      </c>
      <c r="R30" s="48">
        <f t="shared" si="3"/>
        <v>1.5063524</v>
      </c>
      <c r="S30" s="44"/>
      <c r="T30" s="49">
        <f t="shared" si="4"/>
        <v>76.73086076</v>
      </c>
      <c r="U30" s="49">
        <f t="shared" si="12"/>
        <v>19.24576176</v>
      </c>
      <c r="V30" s="45">
        <f t="shared" si="6"/>
        <v>1.002799579</v>
      </c>
      <c r="W30" s="44">
        <f t="shared" si="7"/>
        <v>1</v>
      </c>
      <c r="X30" s="44">
        <f t="shared" si="8"/>
        <v>25</v>
      </c>
      <c r="Y30" s="85"/>
      <c r="Z30" s="70">
        <f t="shared" si="9"/>
        <v>-0.0558621</v>
      </c>
      <c r="AA30" s="138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2.5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-1.07696999999999E-4</v>
      </c>
      <c r="L31" s="46">
        <v>1.56698610540918E-6</v>
      </c>
      <c r="M31" s="45">
        <f t="shared" si="1"/>
        <v>-107.697</v>
      </c>
      <c r="N31" s="45">
        <v>0.160184731</v>
      </c>
      <c r="O31" s="45">
        <v>-106.894897461</v>
      </c>
      <c r="P31" s="45">
        <v>0.120694737</v>
      </c>
      <c r="Q31" s="47">
        <f t="shared" si="2"/>
        <v>-0.007447770495</v>
      </c>
      <c r="R31" s="48">
        <f t="shared" si="3"/>
        <v>3.999212509</v>
      </c>
      <c r="S31" s="44"/>
      <c r="T31" s="49">
        <f t="shared" si="4"/>
        <v>147.9300547</v>
      </c>
      <c r="U31" s="49">
        <f t="shared" si="12"/>
        <v>37.10406168</v>
      </c>
      <c r="V31" s="45">
        <f t="shared" si="6"/>
        <v>1.007503656</v>
      </c>
      <c r="W31" s="44">
        <f t="shared" si="7"/>
        <v>1</v>
      </c>
      <c r="X31" s="44">
        <f t="shared" si="8"/>
        <v>26</v>
      </c>
      <c r="Y31" s="85"/>
      <c r="Z31" s="79">
        <f t="shared" si="9"/>
        <v>-0.107697</v>
      </c>
      <c r="AA31" s="44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2.5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-1.75839E-4</v>
      </c>
      <c r="L32" s="46">
        <v>2.44572994206125E-6</v>
      </c>
      <c r="M32" s="45">
        <f t="shared" si="1"/>
        <v>-175.839</v>
      </c>
      <c r="N32" s="45">
        <v>0.263732485</v>
      </c>
      <c r="O32" s="45">
        <v>-173.683609009</v>
      </c>
      <c r="P32" s="45">
        <v>0.198273418</v>
      </c>
      <c r="Q32" s="47">
        <f t="shared" si="2"/>
        <v>-0.01225775278</v>
      </c>
      <c r="R32" s="48">
        <f t="shared" si="3"/>
        <v>6.532472538</v>
      </c>
      <c r="S32" s="44"/>
      <c r="T32" s="49">
        <f t="shared" si="4"/>
        <v>241.528296</v>
      </c>
      <c r="U32" s="49">
        <f t="shared" si="12"/>
        <v>60.58052779</v>
      </c>
      <c r="V32" s="45">
        <f t="shared" si="6"/>
        <v>1.01240987</v>
      </c>
      <c r="W32" s="44">
        <f t="shared" si="7"/>
        <v>1</v>
      </c>
      <c r="X32" s="44">
        <f t="shared" si="8"/>
        <v>27</v>
      </c>
      <c r="Y32" s="85"/>
      <c r="Z32" s="79">
        <f t="shared" si="9"/>
        <v>-0.175839</v>
      </c>
      <c r="AA32" s="44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2.5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-2.60119999999999E-4</v>
      </c>
      <c r="L33" s="46">
        <v>3.69498704908817E-6</v>
      </c>
      <c r="M33" s="45">
        <f t="shared" si="1"/>
        <v>-260.12</v>
      </c>
      <c r="N33" s="45">
        <v>0.394213482</v>
      </c>
      <c r="O33" s="45">
        <v>-257.906768799</v>
      </c>
      <c r="P33" s="45">
        <v>0.295024864</v>
      </c>
      <c r="Q33" s="47">
        <f t="shared" si="2"/>
        <v>-0.008508500696</v>
      </c>
      <c r="R33" s="48">
        <f t="shared" si="3"/>
        <v>4.494911213</v>
      </c>
      <c r="S33" s="44"/>
      <c r="T33" s="49">
        <f t="shared" si="4"/>
        <v>357.2946864</v>
      </c>
      <c r="U33" s="49">
        <f t="shared" si="12"/>
        <v>89.61724582</v>
      </c>
      <c r="V33" s="45">
        <f t="shared" si="6"/>
        <v>1.008581517</v>
      </c>
      <c r="W33" s="44">
        <f t="shared" si="7"/>
        <v>1</v>
      </c>
      <c r="X33" s="44">
        <f t="shared" si="8"/>
        <v>28</v>
      </c>
      <c r="Y33" s="85"/>
      <c r="Z33" s="79">
        <f t="shared" si="9"/>
        <v>-0.26012</v>
      </c>
      <c r="AA33" s="44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2.5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-2.19264782608695E-7</v>
      </c>
      <c r="L34" s="53">
        <v>1.86915071342698E-8</v>
      </c>
      <c r="M34" s="52">
        <f t="shared" si="1"/>
        <v>-0.2192647826</v>
      </c>
      <c r="N34" s="52">
        <v>8.98559E-4</v>
      </c>
      <c r="O34" s="52">
        <v>-0.22224839</v>
      </c>
      <c r="P34" s="52">
        <v>0.001014786</v>
      </c>
      <c r="Q34" s="54">
        <f t="shared" si="2"/>
        <v>0.01360732606</v>
      </c>
      <c r="R34" s="55">
        <f t="shared" si="3"/>
        <v>-2.201220687</v>
      </c>
      <c r="S34" s="51"/>
      <c r="T34" s="56">
        <f t="shared" si="4"/>
        <v>0.301176925</v>
      </c>
      <c r="U34" s="56">
        <f t="shared" ref="U34:U40" si="13">K34/$K$35</f>
        <v>0.04872299575</v>
      </c>
      <c r="V34" s="52">
        <f t="shared" si="6"/>
        <v>0.9865753476</v>
      </c>
      <c r="W34" s="51">
        <f t="shared" si="7"/>
        <v>1</v>
      </c>
      <c r="X34" s="51">
        <f t="shared" si="8"/>
        <v>29</v>
      </c>
      <c r="Y34" s="87"/>
      <c r="Z34" s="68">
        <f t="shared" si="9"/>
        <v>-0.0002192647826</v>
      </c>
      <c r="AA34" s="143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2.5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-4.50023195876288E-6</v>
      </c>
      <c r="L35" s="53">
        <v>9.52692546965908E-8</v>
      </c>
      <c r="M35" s="52">
        <f t="shared" si="1"/>
        <v>-4.500231959</v>
      </c>
      <c r="N35" s="52">
        <v>0.006852479</v>
      </c>
      <c r="O35" s="52">
        <v>-4.555380821</v>
      </c>
      <c r="P35" s="52">
        <v>0.00479169</v>
      </c>
      <c r="Q35" s="54">
        <f t="shared" si="2"/>
        <v>0.01225467104</v>
      </c>
      <c r="R35" s="55">
        <f t="shared" si="3"/>
        <v>-6.595472367</v>
      </c>
      <c r="S35" s="51"/>
      <c r="T35" s="56">
        <f t="shared" si="4"/>
        <v>6.181412296</v>
      </c>
      <c r="U35" s="56">
        <f t="shared" si="13"/>
        <v>1</v>
      </c>
      <c r="V35" s="52">
        <f t="shared" si="6"/>
        <v>0.9878936878</v>
      </c>
      <c r="W35" s="51">
        <f t="shared" si="7"/>
        <v>1</v>
      </c>
      <c r="X35" s="51">
        <f t="shared" si="8"/>
        <v>30</v>
      </c>
      <c r="Y35" s="87"/>
      <c r="Z35" s="69">
        <f t="shared" si="9"/>
        <v>-0.004500231959</v>
      </c>
      <c r="AA35" s="143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2.5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-3.28172999999999E-5</v>
      </c>
      <c r="L36" s="53">
        <v>4.63578210850939E-7</v>
      </c>
      <c r="M36" s="52">
        <f t="shared" si="1"/>
        <v>-32.8173</v>
      </c>
      <c r="N36" s="52">
        <v>0.048565076</v>
      </c>
      <c r="O36" s="52">
        <v>-32.681545258</v>
      </c>
      <c r="P36" s="52">
        <v>0.036034614</v>
      </c>
      <c r="Q36" s="54">
        <f t="shared" si="2"/>
        <v>-0.004136682238</v>
      </c>
      <c r="R36" s="55">
        <f t="shared" si="3"/>
        <v>2.244858468</v>
      </c>
      <c r="S36" s="51"/>
      <c r="T36" s="56">
        <f t="shared" si="4"/>
        <v>45.07706794</v>
      </c>
      <c r="U36" s="56">
        <f t="shared" si="13"/>
        <v>7.292357439</v>
      </c>
      <c r="V36" s="52">
        <f t="shared" si="6"/>
        <v>1.004153865</v>
      </c>
      <c r="W36" s="51">
        <f t="shared" si="7"/>
        <v>1</v>
      </c>
      <c r="X36" s="51">
        <f t="shared" si="8"/>
        <v>31</v>
      </c>
      <c r="Y36" s="87"/>
      <c r="Z36" s="70">
        <f t="shared" si="9"/>
        <v>-0.0328173</v>
      </c>
      <c r="AA36" s="143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2.5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-8.73703E-5</v>
      </c>
      <c r="L37" s="53">
        <v>1.19848764547809E-6</v>
      </c>
      <c r="M37" s="52">
        <f t="shared" si="1"/>
        <v>-87.3703</v>
      </c>
      <c r="N37" s="52">
        <v>0.129872218</v>
      </c>
      <c r="O37" s="52">
        <v>-86.473594666</v>
      </c>
      <c r="P37" s="52">
        <v>0.097327615</v>
      </c>
      <c r="Q37" s="54">
        <f t="shared" si="2"/>
        <v>-0.01026327406</v>
      </c>
      <c r="R37" s="55">
        <f t="shared" si="3"/>
        <v>5.525178829</v>
      </c>
      <c r="S37" s="51"/>
      <c r="T37" s="56">
        <f t="shared" si="4"/>
        <v>120.0097799</v>
      </c>
      <c r="U37" s="56">
        <f t="shared" si="13"/>
        <v>19.41462147</v>
      </c>
      <c r="V37" s="52">
        <f t="shared" si="6"/>
        <v>1.010369701</v>
      </c>
      <c r="W37" s="51">
        <f t="shared" si="7"/>
        <v>1</v>
      </c>
      <c r="X37" s="51">
        <f t="shared" si="8"/>
        <v>32</v>
      </c>
      <c r="Y37" s="87"/>
      <c r="Z37" s="70">
        <f t="shared" si="9"/>
        <v>-0.0873703</v>
      </c>
      <c r="AA37" s="143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2.5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-1.676E-4</v>
      </c>
      <c r="L38" s="53">
        <v>2.48839731797822E-6</v>
      </c>
      <c r="M38" s="52">
        <f t="shared" si="1"/>
        <v>-167.6</v>
      </c>
      <c r="N38" s="52">
        <v>0.251875858</v>
      </c>
      <c r="O38" s="52">
        <v>-167.141311646</v>
      </c>
      <c r="P38" s="52">
        <v>0.188585526</v>
      </c>
      <c r="Q38" s="54">
        <f t="shared" si="2"/>
        <v>-0.002736804021</v>
      </c>
      <c r="R38" s="55">
        <f t="shared" si="3"/>
        <v>1.457763491</v>
      </c>
      <c r="S38" s="51"/>
      <c r="T38" s="56">
        <f t="shared" si="4"/>
        <v>230.2114003</v>
      </c>
      <c r="U38" s="56">
        <f t="shared" si="13"/>
        <v>37.24252473</v>
      </c>
      <c r="V38" s="52">
        <f t="shared" si="6"/>
        <v>1.002744315</v>
      </c>
      <c r="W38" s="51">
        <f t="shared" si="7"/>
        <v>1</v>
      </c>
      <c r="X38" s="51">
        <f t="shared" si="8"/>
        <v>33</v>
      </c>
      <c r="Y38" s="87"/>
      <c r="Z38" s="79">
        <f t="shared" si="9"/>
        <v>-0.1676</v>
      </c>
      <c r="AA38" s="51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2.5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-2.73222E-4</v>
      </c>
      <c r="L39" s="53">
        <v>4.2365313618334E-6</v>
      </c>
      <c r="M39" s="52">
        <f t="shared" si="1"/>
        <v>-273.222</v>
      </c>
      <c r="N39" s="52">
        <v>0.41571553</v>
      </c>
      <c r="O39" s="52">
        <v>-273.600952148</v>
      </c>
      <c r="P39" s="52">
        <v>0.309802215</v>
      </c>
      <c r="Q39" s="54">
        <f t="shared" si="2"/>
        <v>0.001386975236</v>
      </c>
      <c r="R39" s="55">
        <f t="shared" si="3"/>
        <v>-0.7309241552</v>
      </c>
      <c r="S39" s="51"/>
      <c r="T39" s="56">
        <f t="shared" si="4"/>
        <v>375.291284</v>
      </c>
      <c r="U39" s="56">
        <f t="shared" si="13"/>
        <v>60.71287047</v>
      </c>
      <c r="V39" s="52">
        <f t="shared" si="6"/>
        <v>0.9986149458</v>
      </c>
      <c r="W39" s="51">
        <f t="shared" si="7"/>
        <v>1</v>
      </c>
      <c r="X39" s="51">
        <f t="shared" si="8"/>
        <v>34</v>
      </c>
      <c r="Y39" s="87"/>
      <c r="Z39" s="79">
        <f t="shared" si="9"/>
        <v>-0.273222</v>
      </c>
      <c r="AA39" s="51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2.5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-4.0282E-4</v>
      </c>
      <c r="L40" s="53">
        <v>6.77492405563309E-6</v>
      </c>
      <c r="M40" s="52">
        <f t="shared" si="1"/>
        <v>-402.82</v>
      </c>
      <c r="N40" s="52">
        <v>0.622418537</v>
      </c>
      <c r="O40" s="52">
        <v>-402.650299072</v>
      </c>
      <c r="P40" s="52">
        <v>0.460976349</v>
      </c>
      <c r="Q40" s="54">
        <f t="shared" si="2"/>
        <v>-0.0004212822799</v>
      </c>
      <c r="R40" s="55">
        <f t="shared" si="3"/>
        <v>0.2191004793</v>
      </c>
      <c r="S40" s="51"/>
      <c r="T40" s="56">
        <f t="shared" si="4"/>
        <v>553.3040349</v>
      </c>
      <c r="U40" s="56">
        <f t="shared" si="13"/>
        <v>89.51094159</v>
      </c>
      <c r="V40" s="52">
        <f t="shared" si="6"/>
        <v>1.00042146</v>
      </c>
      <c r="W40" s="51">
        <f t="shared" si="7"/>
        <v>1</v>
      </c>
      <c r="X40" s="51">
        <f t="shared" si="8"/>
        <v>35</v>
      </c>
      <c r="Y40" s="87"/>
      <c r="Z40" s="79">
        <f t="shared" si="9"/>
        <v>-0.40282</v>
      </c>
      <c r="AA40" s="51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2.5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-3.0903048245614E-7</v>
      </c>
      <c r="L41" s="60">
        <v>2.78492103896531E-8</v>
      </c>
      <c r="M41" s="59">
        <f t="shared" si="1"/>
        <v>-0.3090304825</v>
      </c>
      <c r="N41" s="59">
        <v>0.001297628</v>
      </c>
      <c r="O41" s="59">
        <v>-0.320045859</v>
      </c>
      <c r="P41" s="59">
        <v>0.001461292</v>
      </c>
      <c r="Q41" s="61">
        <f t="shared" si="2"/>
        <v>0.03564495145</v>
      </c>
      <c r="R41" s="62">
        <f t="shared" si="3"/>
        <v>-5.636537783</v>
      </c>
      <c r="S41" s="58"/>
      <c r="T41" s="63">
        <f t="shared" si="4"/>
        <v>0.4244769695</v>
      </c>
      <c r="U41" s="63">
        <f t="shared" ref="U41:U47" si="14">K41/$K$42</f>
        <v>0.0474590895</v>
      </c>
      <c r="V41" s="59">
        <f t="shared" si="6"/>
        <v>0.9655818807</v>
      </c>
      <c r="W41" s="58">
        <f t="shared" si="7"/>
        <v>1</v>
      </c>
      <c r="X41" s="58">
        <f t="shared" si="8"/>
        <v>36</v>
      </c>
      <c r="Y41" s="89"/>
      <c r="Z41" s="68">
        <f t="shared" si="9"/>
        <v>-0.0003090304825</v>
      </c>
      <c r="AA41" s="147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2.5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-6.51151308900523E-6</v>
      </c>
      <c r="L42" s="60">
        <v>1.44840596905656E-7</v>
      </c>
      <c r="M42" s="59">
        <f t="shared" si="1"/>
        <v>-6.511513089</v>
      </c>
      <c r="N42" s="59">
        <v>0.0100002</v>
      </c>
      <c r="O42" s="59">
        <v>-6.565117359</v>
      </c>
      <c r="P42" s="59">
        <v>0.006900033</v>
      </c>
      <c r="Q42" s="61">
        <f t="shared" si="2"/>
        <v>0.008232229478</v>
      </c>
      <c r="R42" s="62">
        <f t="shared" si="3"/>
        <v>-4.411994289</v>
      </c>
      <c r="S42" s="58"/>
      <c r="T42" s="63">
        <f t="shared" si="4"/>
        <v>8.944060538</v>
      </c>
      <c r="U42" s="63">
        <f t="shared" si="14"/>
        <v>1</v>
      </c>
      <c r="V42" s="59">
        <f t="shared" si="6"/>
        <v>0.9918349868</v>
      </c>
      <c r="W42" s="58">
        <f t="shared" si="7"/>
        <v>1</v>
      </c>
      <c r="X42" s="58">
        <f t="shared" si="8"/>
        <v>37</v>
      </c>
      <c r="Y42" s="89"/>
      <c r="Z42" s="69">
        <f t="shared" si="9"/>
        <v>-0.006511513089</v>
      </c>
      <c r="AA42" s="147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2.5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-4.70732999999999E-5</v>
      </c>
      <c r="L43" s="60">
        <v>7.00052025483705E-7</v>
      </c>
      <c r="M43" s="59">
        <f t="shared" si="1"/>
        <v>-47.0733</v>
      </c>
      <c r="N43" s="59">
        <v>0.070083994</v>
      </c>
      <c r="O43" s="59">
        <v>-46.93844986</v>
      </c>
      <c r="P43" s="59">
        <v>0.051889844</v>
      </c>
      <c r="Q43" s="61">
        <f t="shared" si="2"/>
        <v>-0.002864684227</v>
      </c>
      <c r="R43" s="62">
        <f t="shared" si="3"/>
        <v>1.546397535</v>
      </c>
      <c r="S43" s="58"/>
      <c r="T43" s="63">
        <f t="shared" si="4"/>
        <v>64.65877272</v>
      </c>
      <c r="U43" s="63">
        <f t="shared" si="14"/>
        <v>7.2292414</v>
      </c>
      <c r="V43" s="59">
        <f t="shared" si="6"/>
        <v>1.002872914</v>
      </c>
      <c r="W43" s="58">
        <f t="shared" si="7"/>
        <v>1</v>
      </c>
      <c r="X43" s="58">
        <f t="shared" si="8"/>
        <v>38</v>
      </c>
      <c r="Y43" s="89"/>
      <c r="Z43" s="70">
        <f t="shared" si="9"/>
        <v>-0.0470733</v>
      </c>
      <c r="AA43" s="147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2.5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-1.25110999999999E-4</v>
      </c>
      <c r="L44" s="60">
        <v>1.73600580690738E-6</v>
      </c>
      <c r="M44" s="59">
        <f t="shared" si="1"/>
        <v>-125.111</v>
      </c>
      <c r="N44" s="59">
        <v>0.187718518</v>
      </c>
      <c r="O44" s="59">
        <v>-125.364570618</v>
      </c>
      <c r="P44" s="59">
        <v>0.140151766</v>
      </c>
      <c r="Q44" s="61">
        <f t="shared" si="2"/>
        <v>0.002026765177</v>
      </c>
      <c r="R44" s="62">
        <f t="shared" si="3"/>
        <v>-1.082402714</v>
      </c>
      <c r="S44" s="58"/>
      <c r="T44" s="63">
        <f t="shared" si="4"/>
        <v>171.8495137</v>
      </c>
      <c r="U44" s="63">
        <f t="shared" si="14"/>
        <v>19.21381379</v>
      </c>
      <c r="V44" s="59">
        <f t="shared" si="6"/>
        <v>0.9979773343</v>
      </c>
      <c r="W44" s="58">
        <f t="shared" si="7"/>
        <v>1</v>
      </c>
      <c r="X44" s="58">
        <f t="shared" si="8"/>
        <v>39</v>
      </c>
      <c r="Y44" s="89"/>
      <c r="Z44" s="79">
        <f t="shared" si="9"/>
        <v>-0.125111</v>
      </c>
      <c r="AA44" s="58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2.5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-2.40439E-4</v>
      </c>
      <c r="L45" s="60">
        <v>3.27348993638843E-6</v>
      </c>
      <c r="M45" s="59">
        <f t="shared" si="1"/>
        <v>-240.439</v>
      </c>
      <c r="N45" s="59">
        <v>0.365970204</v>
      </c>
      <c r="O45" s="59">
        <v>-239.987442017</v>
      </c>
      <c r="P45" s="59">
        <v>0.271563158</v>
      </c>
      <c r="Q45" s="61">
        <f t="shared" si="2"/>
        <v>-0.001878056318</v>
      </c>
      <c r="R45" s="62">
        <f t="shared" si="3"/>
        <v>0.9908671127</v>
      </c>
      <c r="S45" s="58"/>
      <c r="T45" s="63">
        <f t="shared" si="4"/>
        <v>330.2613298</v>
      </c>
      <c r="U45" s="63">
        <f t="shared" si="14"/>
        <v>36.92521181</v>
      </c>
      <c r="V45" s="59">
        <f t="shared" si="6"/>
        <v>1.00188159</v>
      </c>
      <c r="W45" s="58">
        <f t="shared" si="7"/>
        <v>1</v>
      </c>
      <c r="X45" s="58">
        <f t="shared" si="8"/>
        <v>40</v>
      </c>
      <c r="Y45" s="89"/>
      <c r="Z45" s="79">
        <f t="shared" si="9"/>
        <v>-0.240439</v>
      </c>
      <c r="AA45" s="58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2.5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-3.90119E-4</v>
      </c>
      <c r="L46" s="60">
        <v>6.11394655065305E-6</v>
      </c>
      <c r="M46" s="59">
        <f t="shared" si="1"/>
        <v>-390.119</v>
      </c>
      <c r="N46" s="59">
        <v>0.604518218</v>
      </c>
      <c r="O46" s="59">
        <v>-393.103607178</v>
      </c>
      <c r="P46" s="59">
        <v>0.44611519</v>
      </c>
      <c r="Q46" s="61">
        <f t="shared" si="2"/>
        <v>0.007650504533</v>
      </c>
      <c r="R46" s="62">
        <f t="shared" si="3"/>
        <v>-3.972557517</v>
      </c>
      <c r="S46" s="58"/>
      <c r="T46" s="63">
        <f t="shared" si="4"/>
        <v>535.8582414</v>
      </c>
      <c r="U46" s="63">
        <f t="shared" si="14"/>
        <v>59.91218856</v>
      </c>
      <c r="V46" s="59">
        <f t="shared" si="6"/>
        <v>0.9924075813</v>
      </c>
      <c r="W46" s="58">
        <f t="shared" si="7"/>
        <v>1</v>
      </c>
      <c r="X46" s="58">
        <f t="shared" si="8"/>
        <v>41</v>
      </c>
      <c r="Y46" s="89"/>
      <c r="Z46" s="79">
        <f t="shared" si="9"/>
        <v>-0.390119</v>
      </c>
      <c r="AA46" s="58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2.5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-5.7206E-4</v>
      </c>
      <c r="L47" s="60">
        <v>9.73341635498009E-6</v>
      </c>
      <c r="M47" s="59">
        <f t="shared" si="1"/>
        <v>-572.06</v>
      </c>
      <c r="N47" s="59">
        <v>0.903678615</v>
      </c>
      <c r="O47" s="59">
        <v>-580.06817627</v>
      </c>
      <c r="P47" s="59">
        <v>0.663805943</v>
      </c>
      <c r="Q47" s="61">
        <f t="shared" si="2"/>
        <v>0.01399883975</v>
      </c>
      <c r="R47" s="62">
        <f t="shared" si="3"/>
        <v>-7.141982235</v>
      </c>
      <c r="S47" s="58"/>
      <c r="T47" s="63">
        <f t="shared" si="4"/>
        <v>785.7681005</v>
      </c>
      <c r="U47" s="63">
        <f t="shared" si="14"/>
        <v>87.85362053</v>
      </c>
      <c r="V47" s="59">
        <f t="shared" si="6"/>
        <v>0.9861944223</v>
      </c>
      <c r="W47" s="58">
        <f t="shared" si="7"/>
        <v>1</v>
      </c>
      <c r="X47" s="58">
        <f t="shared" si="8"/>
        <v>42</v>
      </c>
      <c r="Y47" s="89"/>
      <c r="Z47" s="79">
        <f t="shared" si="9"/>
        <v>-0.57206</v>
      </c>
      <c r="AA47" s="58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2.5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-5.05571590909091E-7</v>
      </c>
      <c r="L48" s="96">
        <v>4.60345159919305E-8</v>
      </c>
      <c r="M48" s="95">
        <f t="shared" si="1"/>
        <v>-0.5055715909</v>
      </c>
      <c r="N48" s="95">
        <v>0.002307905</v>
      </c>
      <c r="O48" s="95">
        <v>-0.568967879</v>
      </c>
      <c r="P48" s="95">
        <v>0.002597852</v>
      </c>
      <c r="Q48" s="97">
        <f t="shared" si="2"/>
        <v>0.1253952738</v>
      </c>
      <c r="R48" s="98">
        <f t="shared" si="3"/>
        <v>-18.24381148</v>
      </c>
      <c r="S48" s="94"/>
      <c r="T48" s="99">
        <f t="shared" si="4"/>
        <v>0.6944411926</v>
      </c>
      <c r="U48" s="99">
        <f t="shared" ref="U48:U54" si="15">K48/$K$49</f>
        <v>0.04399703315</v>
      </c>
      <c r="V48" s="95">
        <f t="shared" si="6"/>
        <v>0.8885766834</v>
      </c>
      <c r="W48" s="94">
        <f t="shared" si="7"/>
        <v>0</v>
      </c>
      <c r="X48" s="94">
        <f t="shared" si="8"/>
        <v>43</v>
      </c>
      <c r="Y48" s="100"/>
      <c r="Z48" s="68">
        <f t="shared" si="9"/>
        <v>-0.0005055715909</v>
      </c>
      <c r="AA48" s="149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2.5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-1.14910382513661E-5</v>
      </c>
      <c r="L49" s="96">
        <v>2.62968083262033E-7</v>
      </c>
      <c r="M49" s="95">
        <f t="shared" si="1"/>
        <v>-11.49103825</v>
      </c>
      <c r="N49" s="95">
        <v>0.018210684</v>
      </c>
      <c r="O49" s="95">
        <v>-11.701227188</v>
      </c>
      <c r="P49" s="95">
        <v>0.012266725</v>
      </c>
      <c r="Q49" s="97">
        <f t="shared" si="2"/>
        <v>0.01829155312</v>
      </c>
      <c r="R49" s="98">
        <f t="shared" si="3"/>
        <v>-9.572835309</v>
      </c>
      <c r="S49" s="94"/>
      <c r="T49" s="99">
        <f t="shared" si="4"/>
        <v>15.78381865</v>
      </c>
      <c r="U49" s="99">
        <f t="shared" si="15"/>
        <v>1</v>
      </c>
      <c r="V49" s="95">
        <f t="shared" si="6"/>
        <v>0.9820370177</v>
      </c>
      <c r="W49" s="94">
        <f t="shared" si="7"/>
        <v>1</v>
      </c>
      <c r="X49" s="94">
        <f t="shared" si="8"/>
        <v>44</v>
      </c>
      <c r="Y49" s="100"/>
      <c r="Z49" s="70">
        <f t="shared" si="9"/>
        <v>-0.01149103825</v>
      </c>
      <c r="AA49" s="149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2.5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-8.34051999999999E-5</v>
      </c>
      <c r="L50" s="96">
        <v>1.15640900107953E-6</v>
      </c>
      <c r="M50" s="95">
        <f t="shared" si="1"/>
        <v>-83.4052</v>
      </c>
      <c r="N50" s="95">
        <v>0.125588123</v>
      </c>
      <c r="O50" s="95">
        <v>-83.986694336</v>
      </c>
      <c r="P50" s="95">
        <v>0.092248612</v>
      </c>
      <c r="Q50" s="97">
        <f t="shared" si="2"/>
        <v>0.006971919449</v>
      </c>
      <c r="R50" s="98">
        <f t="shared" si="3"/>
        <v>-3.731656195</v>
      </c>
      <c r="S50" s="94"/>
      <c r="T50" s="99">
        <f t="shared" si="4"/>
        <v>114.5634122</v>
      </c>
      <c r="U50" s="99">
        <f t="shared" si="15"/>
        <v>7.258282339</v>
      </c>
      <c r="V50" s="95">
        <f t="shared" si="6"/>
        <v>0.9930763517</v>
      </c>
      <c r="W50" s="94">
        <f t="shared" si="7"/>
        <v>1</v>
      </c>
      <c r="X50" s="94">
        <f t="shared" si="8"/>
        <v>45</v>
      </c>
      <c r="Y50" s="100"/>
      <c r="Z50" s="70">
        <f t="shared" si="9"/>
        <v>-0.0834052</v>
      </c>
      <c r="AA50" s="149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2.5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-2.20742E-4</v>
      </c>
      <c r="L51" s="96">
        <v>3.38490947016491E-6</v>
      </c>
      <c r="M51" s="95">
        <f t="shared" si="1"/>
        <v>-220.742</v>
      </c>
      <c r="N51" s="95">
        <v>0.338229918</v>
      </c>
      <c r="O51" s="95">
        <v>-222.824584961</v>
      </c>
      <c r="P51" s="95">
        <v>0.249158696</v>
      </c>
      <c r="Q51" s="97">
        <f t="shared" si="2"/>
        <v>0.009434475365</v>
      </c>
      <c r="R51" s="98">
        <f t="shared" si="3"/>
        <v>-4.957418175</v>
      </c>
      <c r="S51" s="94"/>
      <c r="T51" s="99">
        <f t="shared" si="4"/>
        <v>303.2059959</v>
      </c>
      <c r="U51" s="99">
        <f t="shared" si="15"/>
        <v>19.20992648</v>
      </c>
      <c r="V51" s="95">
        <f t="shared" si="6"/>
        <v>0.9906537021</v>
      </c>
      <c r="W51" s="94">
        <f t="shared" si="7"/>
        <v>1</v>
      </c>
      <c r="X51" s="94">
        <f t="shared" si="8"/>
        <v>46</v>
      </c>
      <c r="Y51" s="100"/>
      <c r="Z51" s="79">
        <f t="shared" si="9"/>
        <v>-0.220742</v>
      </c>
      <c r="AA51" s="94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2.5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-4.20814E-4</v>
      </c>
      <c r="L52" s="96">
        <v>5.89672088297531E-6</v>
      </c>
      <c r="M52" s="95">
        <f t="shared" si="1"/>
        <v>-420.814</v>
      </c>
      <c r="N52" s="95">
        <v>0.658461866</v>
      </c>
      <c r="O52" s="95">
        <v>-427.579589844</v>
      </c>
      <c r="P52" s="95">
        <v>0.482778948</v>
      </c>
      <c r="Q52" s="97">
        <f t="shared" si="2"/>
        <v>0.01607738774</v>
      </c>
      <c r="R52" s="98">
        <f t="shared" si="3"/>
        <v>-8.28624032</v>
      </c>
      <c r="S52" s="94"/>
      <c r="T52" s="99">
        <f t="shared" si="4"/>
        <v>578.0201682</v>
      </c>
      <c r="U52" s="99">
        <f t="shared" si="15"/>
        <v>36.62105989</v>
      </c>
      <c r="V52" s="95">
        <f t="shared" si="6"/>
        <v>0.9841770047</v>
      </c>
      <c r="W52" s="94">
        <f t="shared" si="7"/>
        <v>1</v>
      </c>
      <c r="X52" s="94">
        <f t="shared" si="8"/>
        <v>47</v>
      </c>
      <c r="Y52" s="100"/>
      <c r="Z52" s="79">
        <f t="shared" si="9"/>
        <v>-0.420814</v>
      </c>
      <c r="AA52" s="94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2.5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-6.79726E-4</v>
      </c>
      <c r="L53" s="96">
        <v>1.06130910205321E-5</v>
      </c>
      <c r="M53" s="95">
        <f t="shared" si="1"/>
        <v>-679.726</v>
      </c>
      <c r="N53" s="95">
        <v>1.087312671</v>
      </c>
      <c r="O53" s="95">
        <v>-694.734436035</v>
      </c>
      <c r="P53" s="95">
        <v>0.79309367</v>
      </c>
      <c r="Q53" s="97">
        <f t="shared" si="2"/>
        <v>0.02208012646</v>
      </c>
      <c r="R53" s="98">
        <f t="shared" si="3"/>
        <v>-11.15184358</v>
      </c>
      <c r="S53" s="94"/>
      <c r="T53" s="99">
        <f t="shared" si="4"/>
        <v>933.6555744</v>
      </c>
      <c r="U53" s="99">
        <f t="shared" si="15"/>
        <v>59.15270536</v>
      </c>
      <c r="V53" s="95">
        <f t="shared" si="6"/>
        <v>0.9783968733</v>
      </c>
      <c r="W53" s="94">
        <f t="shared" si="7"/>
        <v>1</v>
      </c>
      <c r="X53" s="94">
        <f t="shared" si="8"/>
        <v>48</v>
      </c>
      <c r="Y53" s="100"/>
      <c r="Z53" s="79">
        <f t="shared" si="9"/>
        <v>-0.679726</v>
      </c>
      <c r="AA53" s="94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2.5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-9.94940999999999E-4</v>
      </c>
      <c r="L54" s="96">
        <v>1.83406712312314E-5</v>
      </c>
      <c r="M54" s="95">
        <f t="shared" si="1"/>
        <v>-994.941</v>
      </c>
      <c r="N54" s="95">
        <v>1.621006481</v>
      </c>
      <c r="O54" s="95">
        <v>-1031.627075195</v>
      </c>
      <c r="P54" s="95">
        <v>1.180099454</v>
      </c>
      <c r="Q54" s="97">
        <f t="shared" si="2"/>
        <v>0.03687261375</v>
      </c>
      <c r="R54" s="98">
        <f t="shared" si="3"/>
        <v>-18.29667599</v>
      </c>
      <c r="S54" s="94"/>
      <c r="T54" s="99">
        <f t="shared" si="4"/>
        <v>1366.627451</v>
      </c>
      <c r="U54" s="99">
        <f t="shared" si="15"/>
        <v>86.58408215</v>
      </c>
      <c r="V54" s="95">
        <f t="shared" si="6"/>
        <v>0.964438627</v>
      </c>
      <c r="W54" s="94">
        <f t="shared" si="7"/>
        <v>1</v>
      </c>
      <c r="X54" s="94">
        <f t="shared" si="8"/>
        <v>49</v>
      </c>
      <c r="Y54" s="100"/>
      <c r="Z54" s="79">
        <f t="shared" si="9"/>
        <v>-0.994941</v>
      </c>
      <c r="AA54" s="94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2.5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-6.95646403712296E-7</v>
      </c>
      <c r="L55" s="103">
        <v>6.97540231718898E-8</v>
      </c>
      <c r="M55" s="102">
        <f t="shared" si="1"/>
        <v>-0.6956464037</v>
      </c>
      <c r="N55" s="102">
        <v>0.003520166</v>
      </c>
      <c r="O55" s="102">
        <v>-0.888993561</v>
      </c>
      <c r="P55" s="102">
        <v>0.004059143</v>
      </c>
      <c r="Q55" s="104">
        <f t="shared" si="2"/>
        <v>0.277938844</v>
      </c>
      <c r="R55" s="106">
        <f t="shared" si="3"/>
        <v>-35.98552632</v>
      </c>
      <c r="S55" s="101"/>
      <c r="T55" s="108">
        <f t="shared" si="4"/>
        <v>0.9555234648</v>
      </c>
      <c r="U55" s="108">
        <f t="shared" ref="U55:U61" si="16">K55/$K$56</f>
        <v>0.03927506971</v>
      </c>
      <c r="V55" s="102">
        <f t="shared" si="6"/>
        <v>0.7825100588</v>
      </c>
      <c r="W55" s="101">
        <f t="shared" si="7"/>
        <v>0</v>
      </c>
      <c r="X55" s="101">
        <f t="shared" si="8"/>
        <v>50</v>
      </c>
      <c r="Y55" s="110"/>
      <c r="Z55" s="68">
        <f t="shared" si="9"/>
        <v>-0.0006956464037</v>
      </c>
      <c r="AA55" s="157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2.5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-1.77121621621621E-5</v>
      </c>
      <c r="L56" s="103">
        <v>3.59514581665448E-7</v>
      </c>
      <c r="M56" s="102">
        <f t="shared" si="1"/>
        <v>-17.71216216</v>
      </c>
      <c r="N56" s="102">
        <v>0.028380411</v>
      </c>
      <c r="O56" s="102">
        <v>-18.221523285</v>
      </c>
      <c r="P56" s="102">
        <v>0.019166758</v>
      </c>
      <c r="Q56" s="104">
        <f t="shared" si="2"/>
        <v>0.02875770435</v>
      </c>
      <c r="R56" s="106">
        <f t="shared" si="3"/>
        <v>-14.87344359</v>
      </c>
      <c r="S56" s="101"/>
      <c r="T56" s="108">
        <f t="shared" si="4"/>
        <v>24.32900748</v>
      </c>
      <c r="U56" s="108">
        <f t="shared" si="16"/>
        <v>1</v>
      </c>
      <c r="V56" s="102">
        <f t="shared" si="6"/>
        <v>0.9720461832</v>
      </c>
      <c r="W56" s="101">
        <f t="shared" si="7"/>
        <v>1</v>
      </c>
      <c r="X56" s="101">
        <f t="shared" si="8"/>
        <v>51</v>
      </c>
      <c r="Y56" s="110"/>
      <c r="Z56" s="70">
        <f t="shared" si="9"/>
        <v>-0.01771216216</v>
      </c>
      <c r="AA56" s="157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2.5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-1.29310999999999E-4</v>
      </c>
      <c r="L57" s="103">
        <v>1.78120915689485E-6</v>
      </c>
      <c r="M57" s="102">
        <f t="shared" si="1"/>
        <v>-129.311</v>
      </c>
      <c r="N57" s="102">
        <v>0.198420916</v>
      </c>
      <c r="O57" s="102">
        <v>-130.72618103</v>
      </c>
      <c r="P57" s="102">
        <v>0.144138457</v>
      </c>
      <c r="Q57" s="104">
        <f t="shared" si="2"/>
        <v>0.01094401118</v>
      </c>
      <c r="R57" s="106">
        <f t="shared" si="3"/>
        <v>-5.770399728</v>
      </c>
      <c r="S57" s="101"/>
      <c r="T57" s="108">
        <f t="shared" si="4"/>
        <v>177.6185345</v>
      </c>
      <c r="U57" s="108">
        <f t="shared" si="16"/>
        <v>7.300689708</v>
      </c>
      <c r="V57" s="102">
        <f t="shared" si="6"/>
        <v>0.9891744636</v>
      </c>
      <c r="W57" s="101">
        <f t="shared" si="7"/>
        <v>1</v>
      </c>
      <c r="X57" s="101">
        <f t="shared" si="8"/>
        <v>52</v>
      </c>
      <c r="Y57" s="110"/>
      <c r="Z57" s="79">
        <f t="shared" si="9"/>
        <v>-0.129311</v>
      </c>
      <c r="AA57" s="101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2.5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-3.40395999999999E-4</v>
      </c>
      <c r="L58" s="103">
        <v>4.07695965150502E-6</v>
      </c>
      <c r="M58" s="102">
        <f t="shared" si="1"/>
        <v>-340.396</v>
      </c>
      <c r="N58" s="102">
        <v>0.534943334</v>
      </c>
      <c r="O58" s="102">
        <v>-345.894378662</v>
      </c>
      <c r="P58" s="102">
        <v>0.389310462</v>
      </c>
      <c r="Q58" s="104">
        <f t="shared" si="2"/>
        <v>0.01615288858</v>
      </c>
      <c r="R58" s="106">
        <f t="shared" si="3"/>
        <v>-8.310611382</v>
      </c>
      <c r="S58" s="101"/>
      <c r="T58" s="108">
        <f t="shared" si="4"/>
        <v>467.5599034</v>
      </c>
      <c r="U58" s="108">
        <f t="shared" si="16"/>
        <v>19.21820706</v>
      </c>
      <c r="V58" s="102">
        <f t="shared" si="6"/>
        <v>0.9841038797</v>
      </c>
      <c r="W58" s="101">
        <f t="shared" si="7"/>
        <v>1</v>
      </c>
      <c r="X58" s="101">
        <f t="shared" si="8"/>
        <v>53</v>
      </c>
      <c r="Y58" s="110"/>
      <c r="Z58" s="79">
        <f t="shared" si="9"/>
        <v>-0.340396</v>
      </c>
      <c r="AA58" s="101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2.5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-6.43986E-4</v>
      </c>
      <c r="L59" s="103">
        <v>1.11782709492184E-5</v>
      </c>
      <c r="M59" s="102">
        <f t="shared" si="1"/>
        <v>-643.986</v>
      </c>
      <c r="N59" s="102">
        <v>1.036393588</v>
      </c>
      <c r="O59" s="102">
        <v>-668.565246582</v>
      </c>
      <c r="P59" s="102">
        <v>0.754342106</v>
      </c>
      <c r="Q59" s="104">
        <f t="shared" si="2"/>
        <v>0.03816736168</v>
      </c>
      <c r="R59" s="106">
        <f t="shared" si="3"/>
        <v>-19.17479793</v>
      </c>
      <c r="S59" s="101"/>
      <c r="T59" s="108">
        <f t="shared" si="4"/>
        <v>884.5639547</v>
      </c>
      <c r="U59" s="108">
        <f t="shared" si="16"/>
        <v>36.35840696</v>
      </c>
      <c r="V59" s="102">
        <f t="shared" si="6"/>
        <v>0.9632358297</v>
      </c>
      <c r="W59" s="101">
        <f t="shared" si="7"/>
        <v>1</v>
      </c>
      <c r="X59" s="101">
        <f t="shared" si="8"/>
        <v>54</v>
      </c>
      <c r="Y59" s="110"/>
      <c r="Z59" s="79">
        <f t="shared" si="9"/>
        <v>-0.643986</v>
      </c>
      <c r="AA59" s="101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2.5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-0.00103951999999999</v>
      </c>
      <c r="L60" s="103">
        <v>1.58314863356527E-5</v>
      </c>
      <c r="M60" s="102">
        <f t="shared" si="1"/>
        <v>-1039.52</v>
      </c>
      <c r="N60" s="102">
        <v>1.705716705</v>
      </c>
      <c r="O60" s="102">
        <v>-1094.403808594</v>
      </c>
      <c r="P60" s="102">
        <v>1.23920886</v>
      </c>
      <c r="Q60" s="104">
        <f t="shared" si="2"/>
        <v>0.05279726085</v>
      </c>
      <c r="R60" s="106">
        <f t="shared" si="3"/>
        <v>-26.03173285</v>
      </c>
      <c r="S60" s="101"/>
      <c r="T60" s="108">
        <f t="shared" si="4"/>
        <v>1427.860112</v>
      </c>
      <c r="U60" s="108">
        <f t="shared" si="16"/>
        <v>58.68961624</v>
      </c>
      <c r="V60" s="102">
        <f t="shared" si="6"/>
        <v>0.9498504956</v>
      </c>
      <c r="W60" s="101">
        <f t="shared" si="7"/>
        <v>1</v>
      </c>
      <c r="X60" s="101">
        <f t="shared" si="8"/>
        <v>55</v>
      </c>
      <c r="Y60" s="110"/>
      <c r="Z60" s="14">
        <f t="shared" si="9"/>
        <v>-1.03952</v>
      </c>
      <c r="AA60" s="101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2.5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-0.0015295</v>
      </c>
      <c r="L61" s="103">
        <v>2.71313676601661E-5</v>
      </c>
      <c r="M61" s="102">
        <f t="shared" si="1"/>
        <v>-1529.5</v>
      </c>
      <c r="N61" s="102">
        <v>2.529767517</v>
      </c>
      <c r="O61" s="102">
        <v>-1610.601318359</v>
      </c>
      <c r="P61" s="102">
        <v>1.843905397</v>
      </c>
      <c r="Q61" s="104">
        <f t="shared" si="2"/>
        <v>0.05302472596</v>
      </c>
      <c r="R61" s="106">
        <f t="shared" si="3"/>
        <v>-25.90724811</v>
      </c>
      <c r="S61" s="101"/>
      <c r="T61" s="108">
        <f t="shared" si="4"/>
        <v>2100.885064</v>
      </c>
      <c r="U61" s="108">
        <f t="shared" si="16"/>
        <v>86.35309377</v>
      </c>
      <c r="V61" s="102">
        <f t="shared" si="6"/>
        <v>0.9496453173</v>
      </c>
      <c r="W61" s="101">
        <f t="shared" si="7"/>
        <v>1</v>
      </c>
      <c r="X61" s="101">
        <f t="shared" si="8"/>
        <v>56</v>
      </c>
      <c r="Y61" s="110"/>
      <c r="Z61" s="14">
        <f t="shared" si="9"/>
        <v>-1.5295</v>
      </c>
      <c r="AA61" s="101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2.5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-7.25893684210526E-7</v>
      </c>
      <c r="L62" s="117">
        <v>1.54743639202303E-8</v>
      </c>
      <c r="M62" s="116">
        <f t="shared" si="1"/>
        <v>-0.7258936842</v>
      </c>
      <c r="N62" s="116">
        <v>0.001109402</v>
      </c>
      <c r="O62" s="116">
        <v>-0.731326699</v>
      </c>
      <c r="P62" s="116">
        <v>7.6667E-4</v>
      </c>
      <c r="Q62" s="118">
        <f t="shared" si="2"/>
        <v>0.007484587492</v>
      </c>
      <c r="R62" s="119">
        <f t="shared" si="3"/>
        <v>-4.02881741</v>
      </c>
      <c r="T62" s="120">
        <f t="shared" si="4"/>
        <v>0.9970704146</v>
      </c>
      <c r="V62" s="1">
        <f t="shared" si="6"/>
        <v>0.9925710154</v>
      </c>
      <c r="W62" s="121">
        <f t="shared" si="7"/>
        <v>1</v>
      </c>
      <c r="X62" s="121">
        <f t="shared" si="8"/>
        <v>57</v>
      </c>
      <c r="Z62" s="68">
        <f t="shared" si="9"/>
        <v>-0.0007258936842</v>
      </c>
      <c r="AA62" s="159"/>
    </row>
    <row r="63">
      <c r="A63" s="4" t="s">
        <v>45</v>
      </c>
      <c r="B63" s="4">
        <v>58.0</v>
      </c>
      <c r="C63" s="44">
        <v>2.5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-7.25893684210526E-7</v>
      </c>
      <c r="L63" s="117">
        <v>1.54743639202303E-8</v>
      </c>
      <c r="M63" s="116">
        <f t="shared" si="1"/>
        <v>-0.7258936842</v>
      </c>
      <c r="N63" s="116">
        <v>0.001109402</v>
      </c>
      <c r="O63" s="116">
        <v>-0.731326699</v>
      </c>
      <c r="P63" s="116">
        <v>7.6667E-4</v>
      </c>
      <c r="Q63" s="118">
        <f t="shared" si="2"/>
        <v>0.007484587492</v>
      </c>
      <c r="R63" s="119">
        <f t="shared" si="3"/>
        <v>-4.02881741</v>
      </c>
      <c r="T63" s="120">
        <f t="shared" si="4"/>
        <v>0.9970704146</v>
      </c>
      <c r="V63" s="1">
        <f t="shared" si="6"/>
        <v>0.9925710154</v>
      </c>
      <c r="W63" s="121">
        <f t="shared" si="7"/>
        <v>1</v>
      </c>
      <c r="X63" s="121">
        <f t="shared" si="8"/>
        <v>58</v>
      </c>
      <c r="Z63" s="68">
        <f t="shared" si="9"/>
        <v>-0.0007258936842</v>
      </c>
      <c r="AA63" s="159"/>
    </row>
    <row r="64">
      <c r="A64" s="4"/>
      <c r="B64" s="4">
        <v>59.0</v>
      </c>
      <c r="C64" s="44">
        <v>2.5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-1.30274999999999E-5</v>
      </c>
      <c r="L64" s="117">
        <v>1.97209702263014E-7</v>
      </c>
      <c r="M64" s="116">
        <f t="shared" si="1"/>
        <v>-13.0275</v>
      </c>
      <c r="N64" s="116">
        <v>0.019368913</v>
      </c>
      <c r="O64" s="116">
        <v>-12.951325417</v>
      </c>
      <c r="P64" s="116">
        <v>0.014978296</v>
      </c>
      <c r="Q64" s="118">
        <f t="shared" si="2"/>
        <v>-0.005847214201</v>
      </c>
      <c r="R64" s="119">
        <f t="shared" si="3"/>
        <v>3.111100148</v>
      </c>
      <c r="T64" s="120">
        <f t="shared" si="4"/>
        <v>17.89426621</v>
      </c>
      <c r="V64" s="1">
        <f t="shared" si="6"/>
        <v>1.005881605</v>
      </c>
      <c r="W64" s="121">
        <f t="shared" si="7"/>
        <v>1</v>
      </c>
      <c r="X64" s="121">
        <f t="shared" si="8"/>
        <v>59</v>
      </c>
      <c r="Z64" s="70">
        <f t="shared" si="9"/>
        <v>-0.0130275</v>
      </c>
      <c r="AA64" s="159"/>
    </row>
    <row r="65">
      <c r="A65" s="4"/>
      <c r="B65" s="4">
        <v>60.0</v>
      </c>
      <c r="C65" s="44">
        <v>2.5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-7.25563917525773E-7</v>
      </c>
      <c r="L65" s="117">
        <v>1.62840822214907E-8</v>
      </c>
      <c r="M65" s="116">
        <f t="shared" si="1"/>
        <v>-0.7255639175</v>
      </c>
      <c r="N65" s="116">
        <v>0.001099077</v>
      </c>
      <c r="O65" s="116">
        <v>-0.731064796</v>
      </c>
      <c r="P65" s="116">
        <v>0.00102015</v>
      </c>
      <c r="Q65" s="118">
        <f t="shared" si="2"/>
        <v>0.007581521547</v>
      </c>
      <c r="R65" s="119">
        <f t="shared" si="3"/>
        <v>-3.668331556</v>
      </c>
      <c r="T65" s="120">
        <f t="shared" si="4"/>
        <v>0.9966174549</v>
      </c>
      <c r="V65" s="1">
        <f t="shared" si="6"/>
        <v>0.9924755254</v>
      </c>
      <c r="W65" s="121">
        <f t="shared" si="7"/>
        <v>1</v>
      </c>
      <c r="X65" s="121">
        <f t="shared" si="8"/>
        <v>60</v>
      </c>
      <c r="Z65" s="68">
        <f t="shared" si="9"/>
        <v>-0.0007255639175</v>
      </c>
      <c r="AA65" s="159"/>
    </row>
    <row r="66">
      <c r="A66" s="4"/>
      <c r="B66" s="4">
        <v>61.0</v>
      </c>
      <c r="C66" s="44">
        <v>2.5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-7.25896858638743E-7</v>
      </c>
      <c r="L66" s="117">
        <v>1.57413063918474E-8</v>
      </c>
      <c r="M66" s="116">
        <f t="shared" si="1"/>
        <v>-0.7258968586</v>
      </c>
      <c r="N66" s="116">
        <v>0.001105705</v>
      </c>
      <c r="O66" s="116">
        <v>-0.731066227</v>
      </c>
      <c r="P66" s="116">
        <v>0.001020152</v>
      </c>
      <c r="Q66" s="118">
        <f t="shared" si="2"/>
        <v>0.007121353812</v>
      </c>
      <c r="R66" s="119">
        <f t="shared" si="3"/>
        <v>-3.436109759</v>
      </c>
      <c r="T66" s="120">
        <f t="shared" si="4"/>
        <v>0.9970747749</v>
      </c>
      <c r="V66" s="1">
        <f t="shared" si="6"/>
        <v>0.9929290013</v>
      </c>
      <c r="W66" s="121">
        <f t="shared" si="7"/>
        <v>1</v>
      </c>
      <c r="X66" s="121">
        <f t="shared" si="8"/>
        <v>61</v>
      </c>
      <c r="Z66" s="68">
        <f t="shared" si="9"/>
        <v>-0.0007258968586</v>
      </c>
      <c r="AA66" s="159"/>
    </row>
    <row r="67">
      <c r="K67" s="1"/>
      <c r="L67" s="2"/>
      <c r="M67" s="1"/>
      <c r="N67" s="1"/>
      <c r="O67" s="1"/>
      <c r="W67" s="122">
        <f>(SUM(W6:W61)-1)/55</f>
        <v>0.9636363636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48</v>
      </c>
      <c r="W5" s="4">
        <v>0.1</v>
      </c>
      <c r="X5" s="4" t="s">
        <v>2</v>
      </c>
    </row>
    <row r="6">
      <c r="A6" s="8"/>
      <c r="B6" s="8">
        <v>1.0</v>
      </c>
      <c r="C6" s="8">
        <v>3.0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-6.54870231532524E-9</v>
      </c>
      <c r="L6" s="11">
        <v>5.08391678653371E-10</v>
      </c>
      <c r="M6" s="10">
        <f t="shared" ref="M6:M66" si="1">K6*1000000</f>
        <v>-0.006548702315</v>
      </c>
      <c r="N6" s="10">
        <v>1.7876E-5</v>
      </c>
      <c r="O6" s="10">
        <v>-0.006131177</v>
      </c>
      <c r="P6" s="10">
        <v>2.8223E-5</v>
      </c>
      <c r="Q6" s="12">
        <f t="shared" ref="Q6:Q66" si="2">(O6-M6)/M6</f>
        <v>-0.06375695447</v>
      </c>
      <c r="R6" s="13">
        <f t="shared" ref="R6:R66" si="3">(O6-M6)/sqrt(N6*N6+P6*P6)</f>
        <v>12.49779447</v>
      </c>
      <c r="S6" s="8"/>
      <c r="T6" s="14">
        <f t="shared" ref="T6:T66" si="4">K6/$K$14</f>
        <v>0.01293083607</v>
      </c>
      <c r="U6" s="14">
        <f t="shared" ref="U6:U12" si="5">K6/$K$7</f>
        <v>0.05166004786</v>
      </c>
      <c r="V6" s="10">
        <f t="shared" ref="V6:V66" si="6">M6/O6</f>
        <v>1.068098722</v>
      </c>
      <c r="W6" s="8">
        <f t="shared" ref="W6:W66" si="7">IF(abs(1/V6-1)&lt;$W$5, 1, 0)</f>
        <v>1</v>
      </c>
      <c r="X6" s="8">
        <v>1.0</v>
      </c>
      <c r="Y6" s="15"/>
      <c r="Z6" s="66">
        <f t="shared" ref="Z6:Z66" si="8">M6*0.001</f>
        <v>-0.000006548702315</v>
      </c>
      <c r="AA6" s="86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3.0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-1.26765316455696E-7</v>
      </c>
      <c r="L7" s="11">
        <v>2.88189466171579E-9</v>
      </c>
      <c r="M7" s="10">
        <f t="shared" si="1"/>
        <v>-0.1267653165</v>
      </c>
      <c r="N7" s="10">
        <v>1.3427E-4</v>
      </c>
      <c r="O7" s="10">
        <v>-0.12649402</v>
      </c>
      <c r="P7" s="10">
        <v>1.33344E-4</v>
      </c>
      <c r="Q7" s="12">
        <f t="shared" si="2"/>
        <v>-0.002140147347</v>
      </c>
      <c r="R7" s="13">
        <f t="shared" si="3"/>
        <v>1.433665018</v>
      </c>
      <c r="S7" s="8"/>
      <c r="T7" s="14">
        <f t="shared" si="4"/>
        <v>0.2503063122</v>
      </c>
      <c r="U7" s="14">
        <f t="shared" si="5"/>
        <v>1</v>
      </c>
      <c r="V7" s="10">
        <f t="shared" si="6"/>
        <v>1.002144737</v>
      </c>
      <c r="W7" s="8">
        <f t="shared" si="7"/>
        <v>1</v>
      </c>
      <c r="X7" s="8">
        <v>2.0</v>
      </c>
      <c r="Y7" s="15"/>
      <c r="Z7" s="68">
        <f t="shared" si="8"/>
        <v>-0.0001267653165</v>
      </c>
      <c r="AA7" s="86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3.0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-9.14637999999999E-7</v>
      </c>
      <c r="L8" s="11">
        <v>1.24883123651133E-8</v>
      </c>
      <c r="M8" s="10">
        <f t="shared" si="1"/>
        <v>-0.914638</v>
      </c>
      <c r="N8" s="10">
        <v>9.53453E-4</v>
      </c>
      <c r="O8" s="10">
        <v>-0.909074247</v>
      </c>
      <c r="P8" s="10">
        <v>0.001003268</v>
      </c>
      <c r="Q8" s="12">
        <f t="shared" si="2"/>
        <v>-0.006083010984</v>
      </c>
      <c r="R8" s="13">
        <f t="shared" si="3"/>
        <v>4.019881391</v>
      </c>
      <c r="S8" s="8"/>
      <c r="T8" s="14">
        <f t="shared" si="4"/>
        <v>1.806011858</v>
      </c>
      <c r="U8" s="14">
        <f t="shared" si="5"/>
        <v>7.215207011</v>
      </c>
      <c r="V8" s="10">
        <f t="shared" si="6"/>
        <v>1.00612024</v>
      </c>
      <c r="W8" s="8">
        <f t="shared" si="7"/>
        <v>1</v>
      </c>
      <c r="X8" s="8">
        <v>3.0</v>
      </c>
      <c r="Y8" s="15"/>
      <c r="Z8" s="68">
        <f t="shared" si="8"/>
        <v>-0.000914638</v>
      </c>
      <c r="AA8" s="86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3.0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-2.4352E-6</v>
      </c>
      <c r="L9" s="11">
        <v>3.62873789263806E-8</v>
      </c>
      <c r="M9" s="10">
        <f t="shared" si="1"/>
        <v>-2.4352</v>
      </c>
      <c r="N9" s="10">
        <v>0.002541961</v>
      </c>
      <c r="O9" s="10">
        <v>-2.408288479</v>
      </c>
      <c r="P9" s="10">
        <v>0.002710211</v>
      </c>
      <c r="Q9" s="12">
        <f t="shared" si="2"/>
        <v>-0.01105105166</v>
      </c>
      <c r="R9" s="13">
        <f t="shared" si="3"/>
        <v>7.242551291</v>
      </c>
      <c r="S9" s="8"/>
      <c r="T9" s="14">
        <f t="shared" si="4"/>
        <v>4.808459825</v>
      </c>
      <c r="U9" s="14">
        <f t="shared" si="5"/>
        <v>19.2103019</v>
      </c>
      <c r="V9" s="10">
        <f t="shared" si="6"/>
        <v>1.011174542</v>
      </c>
      <c r="W9" s="8">
        <f t="shared" si="7"/>
        <v>1</v>
      </c>
      <c r="X9" s="8">
        <v>4.0</v>
      </c>
      <c r="Y9" s="15"/>
      <c r="Z9" s="69">
        <f t="shared" si="8"/>
        <v>-0.0024352</v>
      </c>
      <c r="AA9" s="86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3.0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-4.68072999999999E-6</v>
      </c>
      <c r="L10" s="11">
        <v>7.27770540623206E-8</v>
      </c>
      <c r="M10" s="10">
        <f t="shared" si="1"/>
        <v>-4.68073</v>
      </c>
      <c r="N10" s="10">
        <v>0.004890605</v>
      </c>
      <c r="O10" s="10">
        <v>-4.636530876</v>
      </c>
      <c r="P10" s="10">
        <v>0.005251827</v>
      </c>
      <c r="Q10" s="12">
        <f t="shared" si="2"/>
        <v>-0.009442784352</v>
      </c>
      <c r="R10" s="13">
        <f t="shared" si="3"/>
        <v>6.159015472</v>
      </c>
      <c r="S10" s="8"/>
      <c r="T10" s="14">
        <f t="shared" si="4"/>
        <v>9.242403973</v>
      </c>
      <c r="U10" s="14">
        <f t="shared" si="5"/>
        <v>36.92437435</v>
      </c>
      <c r="V10" s="10">
        <f t="shared" si="6"/>
        <v>1.009532801</v>
      </c>
      <c r="W10" s="8">
        <f t="shared" si="7"/>
        <v>1</v>
      </c>
      <c r="X10" s="8">
        <v>5.0</v>
      </c>
      <c r="Y10" s="15"/>
      <c r="Z10" s="69">
        <f t="shared" si="8"/>
        <v>-0.00468073</v>
      </c>
      <c r="AA10" s="86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3.0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-7.63438E-6</v>
      </c>
      <c r="L11" s="11">
        <v>1.00350419197758E-7</v>
      </c>
      <c r="M11" s="10">
        <f t="shared" si="1"/>
        <v>-7.63438</v>
      </c>
      <c r="N11" s="10">
        <v>0.007987683</v>
      </c>
      <c r="O11" s="10">
        <v>-7.618957043</v>
      </c>
      <c r="P11" s="10">
        <v>0.008627947</v>
      </c>
      <c r="Q11" s="12">
        <f t="shared" si="2"/>
        <v>-0.002020197711</v>
      </c>
      <c r="R11" s="13">
        <f t="shared" si="3"/>
        <v>1.311727548</v>
      </c>
      <c r="S11" s="8"/>
      <c r="T11" s="14">
        <f t="shared" si="4"/>
        <v>15.07457684</v>
      </c>
      <c r="U11" s="14">
        <f t="shared" si="5"/>
        <v>60.22451735</v>
      </c>
      <c r="V11" s="10">
        <f t="shared" si="6"/>
        <v>1.002024287</v>
      </c>
      <c r="W11" s="8">
        <f t="shared" si="7"/>
        <v>1</v>
      </c>
      <c r="X11" s="8">
        <v>6.0</v>
      </c>
      <c r="Y11" s="15"/>
      <c r="Z11" s="69">
        <f t="shared" si="8"/>
        <v>-0.00763438</v>
      </c>
      <c r="AA11" s="86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3.0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-1.132445E-5</v>
      </c>
      <c r="L12" s="11">
        <v>1.56486862678484E-7</v>
      </c>
      <c r="M12" s="10">
        <f t="shared" si="1"/>
        <v>-11.32445</v>
      </c>
      <c r="N12" s="10">
        <v>0.011870435</v>
      </c>
      <c r="O12" s="10">
        <v>-11.224637985</v>
      </c>
      <c r="P12" s="10">
        <v>0.012838537</v>
      </c>
      <c r="Q12" s="12">
        <f t="shared" si="2"/>
        <v>-0.008813851004</v>
      </c>
      <c r="R12" s="13">
        <f t="shared" si="3"/>
        <v>5.708342982</v>
      </c>
      <c r="S12" s="8"/>
      <c r="T12" s="14">
        <f t="shared" si="4"/>
        <v>22.3608586</v>
      </c>
      <c r="U12" s="14">
        <f t="shared" si="5"/>
        <v>89.33397807</v>
      </c>
      <c r="V12" s="10">
        <f t="shared" si="6"/>
        <v>1.008892226</v>
      </c>
      <c r="W12" s="8">
        <f t="shared" si="7"/>
        <v>1</v>
      </c>
      <c r="X12" s="8">
        <v>7.0</v>
      </c>
      <c r="Y12" s="15"/>
      <c r="Z12" s="70">
        <f t="shared" si="8"/>
        <v>-0.01132445</v>
      </c>
      <c r="AA12" s="86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3.0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-2.59201302931596E-8</v>
      </c>
      <c r="L13" s="24">
        <v>1.97488072957551E-9</v>
      </c>
      <c r="M13" s="23">
        <f t="shared" si="1"/>
        <v>-0.02592013029</v>
      </c>
      <c r="N13" s="23">
        <v>7.097E-5</v>
      </c>
      <c r="O13" s="23">
        <v>-0.024524707</v>
      </c>
      <c r="P13" s="23">
        <v>1.12893E-4</v>
      </c>
      <c r="Q13" s="26">
        <f t="shared" si="2"/>
        <v>-0.05383550458</v>
      </c>
      <c r="R13" s="27">
        <f t="shared" si="3"/>
        <v>10.46455854</v>
      </c>
      <c r="S13" s="22"/>
      <c r="T13" s="28">
        <f t="shared" si="4"/>
        <v>0.05118097288</v>
      </c>
      <c r="U13" s="28">
        <f t="shared" ref="U13:U19" si="9">K13/$K$14</f>
        <v>0.05118097288</v>
      </c>
      <c r="V13" s="107">
        <f t="shared" si="6"/>
        <v>1.056898673</v>
      </c>
      <c r="W13" s="22">
        <f t="shared" si="7"/>
        <v>1</v>
      </c>
      <c r="X13" s="22">
        <v>8.0</v>
      </c>
      <c r="Y13" s="71"/>
      <c r="Z13" s="67">
        <f t="shared" si="8"/>
        <v>-0.00002592013029</v>
      </c>
      <c r="AA13" s="11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3.0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-5.06440749999999E-7</v>
      </c>
      <c r="L14" s="31">
        <v>1.09049005762981E-8</v>
      </c>
      <c r="M14" s="30">
        <f t="shared" si="1"/>
        <v>-0.50644075</v>
      </c>
      <c r="N14" s="30">
        <v>5.33376E-4</v>
      </c>
      <c r="O14" s="30">
        <v>-0.505976081</v>
      </c>
      <c r="P14" s="30">
        <v>5.33376E-4</v>
      </c>
      <c r="Q14" s="32">
        <f t="shared" si="2"/>
        <v>-0.0009175189793</v>
      </c>
      <c r="R14" s="34">
        <f t="shared" si="3"/>
        <v>0.6160205951</v>
      </c>
      <c r="S14" s="29"/>
      <c r="T14" s="35">
        <f t="shared" si="4"/>
        <v>1</v>
      </c>
      <c r="U14" s="35">
        <f t="shared" si="9"/>
        <v>1</v>
      </c>
      <c r="V14" s="30">
        <f t="shared" si="6"/>
        <v>1.000918362</v>
      </c>
      <c r="W14" s="29">
        <f t="shared" si="7"/>
        <v>1</v>
      </c>
      <c r="X14" s="29">
        <v>9.0</v>
      </c>
      <c r="Y14" s="72"/>
      <c r="Z14" s="68">
        <f t="shared" si="8"/>
        <v>-0.00050644075</v>
      </c>
      <c r="AA14" s="131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3.0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-3.662915E-6</v>
      </c>
      <c r="L15" s="24">
        <v>5.62040233095541E-8</v>
      </c>
      <c r="M15" s="23">
        <f t="shared" si="1"/>
        <v>-3.662915</v>
      </c>
      <c r="N15" s="23">
        <v>0.003814393</v>
      </c>
      <c r="O15" s="23">
        <v>-3.636296749</v>
      </c>
      <c r="P15" s="23">
        <v>0.004013073</v>
      </c>
      <c r="Q15" s="26">
        <f t="shared" si="2"/>
        <v>-0.00726695842</v>
      </c>
      <c r="R15" s="27">
        <f t="shared" si="3"/>
        <v>4.807656918</v>
      </c>
      <c r="S15" s="22"/>
      <c r="T15" s="28">
        <f t="shared" si="4"/>
        <v>7.232662459</v>
      </c>
      <c r="U15" s="28">
        <f t="shared" si="9"/>
        <v>7.232662459</v>
      </c>
      <c r="V15" s="107">
        <f t="shared" si="6"/>
        <v>1.007320154</v>
      </c>
      <c r="W15" s="22">
        <f t="shared" si="7"/>
        <v>1</v>
      </c>
      <c r="X15" s="22">
        <v>10.0</v>
      </c>
      <c r="Y15" s="71"/>
      <c r="Z15" s="69">
        <f t="shared" si="8"/>
        <v>-0.003662915</v>
      </c>
      <c r="AA15" s="11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3.0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-9.72469499999999E-6</v>
      </c>
      <c r="L16" s="24">
        <v>1.40603337326454E-7</v>
      </c>
      <c r="M16" s="23">
        <f t="shared" si="1"/>
        <v>-9.724695</v>
      </c>
      <c r="N16" s="23">
        <v>0.010153342</v>
      </c>
      <c r="O16" s="23">
        <v>-9.633153915</v>
      </c>
      <c r="P16" s="23">
        <v>0.010840844</v>
      </c>
      <c r="Q16" s="26">
        <f t="shared" si="2"/>
        <v>-0.009413260262</v>
      </c>
      <c r="R16" s="27">
        <f t="shared" si="3"/>
        <v>6.163100826</v>
      </c>
      <c r="S16" s="22"/>
      <c r="T16" s="28">
        <f t="shared" si="4"/>
        <v>19.20203894</v>
      </c>
      <c r="U16" s="28">
        <f t="shared" si="9"/>
        <v>19.20203894</v>
      </c>
      <c r="V16" s="107">
        <f t="shared" si="6"/>
        <v>1.009502712</v>
      </c>
      <c r="W16" s="22">
        <f t="shared" si="7"/>
        <v>1</v>
      </c>
      <c r="X16" s="22">
        <v>11.0</v>
      </c>
      <c r="Y16" s="71"/>
      <c r="Z16" s="69">
        <f t="shared" si="8"/>
        <v>-0.009724695</v>
      </c>
      <c r="AA16" s="11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3.0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-1.86664499999999E-5</v>
      </c>
      <c r="L17" s="24">
        <v>2.78773151234558E-7</v>
      </c>
      <c r="M17" s="23">
        <f t="shared" si="1"/>
        <v>-18.66645</v>
      </c>
      <c r="N17" s="23">
        <v>0.019557718</v>
      </c>
      <c r="O17" s="23">
        <v>-18.546123505</v>
      </c>
      <c r="P17" s="23">
        <v>0.021007307</v>
      </c>
      <c r="Q17" s="26">
        <f t="shared" si="2"/>
        <v>-0.006446137053</v>
      </c>
      <c r="R17" s="27">
        <f t="shared" si="3"/>
        <v>4.192252178</v>
      </c>
      <c r="S17" s="22"/>
      <c r="T17" s="28">
        <f t="shared" si="4"/>
        <v>36.85811223</v>
      </c>
      <c r="U17" s="28">
        <f t="shared" si="9"/>
        <v>36.85811223</v>
      </c>
      <c r="V17" s="107">
        <f t="shared" si="6"/>
        <v>1.006487959</v>
      </c>
      <c r="W17" s="22">
        <f t="shared" si="7"/>
        <v>1</v>
      </c>
      <c r="X17" s="22">
        <v>12.0</v>
      </c>
      <c r="Y17" s="71"/>
      <c r="Z17" s="70">
        <f t="shared" si="8"/>
        <v>-0.01866645</v>
      </c>
      <c r="AA17" s="11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3.0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-3.053515E-5</v>
      </c>
      <c r="L18" s="24">
        <v>4.41665392684866E-7</v>
      </c>
      <c r="M18" s="23">
        <f t="shared" si="1"/>
        <v>-30.53515</v>
      </c>
      <c r="N18" s="23">
        <v>0.031941797</v>
      </c>
      <c r="O18" s="23">
        <v>-30.475828171</v>
      </c>
      <c r="P18" s="23">
        <v>0.03451179</v>
      </c>
      <c r="Q18" s="26">
        <f t="shared" si="2"/>
        <v>-0.001942739073</v>
      </c>
      <c r="R18" s="27">
        <f t="shared" si="3"/>
        <v>1.261498014</v>
      </c>
      <c r="S18" s="22"/>
      <c r="T18" s="28">
        <f t="shared" si="4"/>
        <v>60.29362764</v>
      </c>
      <c r="U18" s="28">
        <f t="shared" si="9"/>
        <v>60.29362764</v>
      </c>
      <c r="V18" s="107">
        <f t="shared" si="6"/>
        <v>1.001946521</v>
      </c>
      <c r="W18" s="22">
        <f t="shared" si="7"/>
        <v>1</v>
      </c>
      <c r="X18" s="22">
        <v>13.0</v>
      </c>
      <c r="Y18" s="71"/>
      <c r="Z18" s="70">
        <f t="shared" si="8"/>
        <v>-0.03053515</v>
      </c>
      <c r="AA18" s="11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3.0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-4.51258E-5</v>
      </c>
      <c r="L19" s="24">
        <v>6.67117371936677E-7</v>
      </c>
      <c r="M19" s="23">
        <f t="shared" si="1"/>
        <v>-45.1258</v>
      </c>
      <c r="N19" s="23">
        <v>0.047380361</v>
      </c>
      <c r="O19" s="23">
        <v>-44.898548126</v>
      </c>
      <c r="P19" s="23">
        <v>0.051354147</v>
      </c>
      <c r="Q19" s="26">
        <f t="shared" si="2"/>
        <v>-0.005035963329</v>
      </c>
      <c r="R19" s="27">
        <f t="shared" si="3"/>
        <v>3.252385726</v>
      </c>
      <c r="S19" s="22"/>
      <c r="T19" s="28">
        <f t="shared" si="4"/>
        <v>89.10380928</v>
      </c>
      <c r="U19" s="28">
        <f t="shared" si="9"/>
        <v>89.10380928</v>
      </c>
      <c r="V19" s="107">
        <f t="shared" si="6"/>
        <v>1.005061453</v>
      </c>
      <c r="W19" s="22">
        <f t="shared" si="7"/>
        <v>1</v>
      </c>
      <c r="X19" s="22">
        <v>14.0</v>
      </c>
      <c r="Y19" s="71"/>
      <c r="Z19" s="70">
        <f t="shared" si="8"/>
        <v>-0.0451258</v>
      </c>
      <c r="AA19" s="11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3.0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-5.75613015184382E-8</v>
      </c>
      <c r="L20" s="39">
        <v>4.56779792324317E-9</v>
      </c>
      <c r="M20" s="38">
        <f t="shared" si="1"/>
        <v>-0.05756130152</v>
      </c>
      <c r="N20" s="38">
        <v>2.25641E-4</v>
      </c>
      <c r="O20" s="38">
        <v>-0.055191904</v>
      </c>
      <c r="P20" s="38">
        <v>2.54009E-4</v>
      </c>
      <c r="Q20" s="40">
        <f t="shared" si="2"/>
        <v>-0.04116302891</v>
      </c>
      <c r="R20" s="41">
        <f t="shared" si="3"/>
        <v>6.973812109</v>
      </c>
      <c r="S20" s="37"/>
      <c r="T20" s="42">
        <f t="shared" si="4"/>
        <v>0.1136585109</v>
      </c>
      <c r="U20" s="42">
        <f t="shared" ref="U20:U26" si="10">K20/$K$21</f>
        <v>0.05039643514</v>
      </c>
      <c r="V20" s="38">
        <f t="shared" si="6"/>
        <v>1.042930165</v>
      </c>
      <c r="W20" s="37">
        <f t="shared" si="7"/>
        <v>1</v>
      </c>
      <c r="X20" s="37">
        <v>15.0</v>
      </c>
      <c r="Y20" s="81"/>
      <c r="Z20" s="67">
        <f t="shared" si="8"/>
        <v>-0.00005756130152</v>
      </c>
      <c r="AA20" s="126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3.0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-1.14217010309278E-6</v>
      </c>
      <c r="L21" s="39">
        <v>2.49942362887468E-8</v>
      </c>
      <c r="M21" s="38">
        <f t="shared" si="1"/>
        <v>-1.142170103</v>
      </c>
      <c r="N21" s="38">
        <v>0.00172661</v>
      </c>
      <c r="O21" s="38">
        <v>-1.141114116</v>
      </c>
      <c r="P21" s="38">
        <v>0.001200097</v>
      </c>
      <c r="Q21" s="40">
        <f t="shared" si="2"/>
        <v>-0.0009245445052</v>
      </c>
      <c r="R21" s="41">
        <f t="shared" si="3"/>
        <v>0.5022014642</v>
      </c>
      <c r="S21" s="37"/>
      <c r="T21" s="42">
        <f t="shared" si="4"/>
        <v>2.255288705</v>
      </c>
      <c r="U21" s="42">
        <f t="shared" si="10"/>
        <v>1</v>
      </c>
      <c r="V21" s="124">
        <f t="shared" si="6"/>
        <v>1.0009254</v>
      </c>
      <c r="W21" s="37">
        <f t="shared" si="7"/>
        <v>1</v>
      </c>
      <c r="X21" s="37">
        <v>16.0</v>
      </c>
      <c r="Y21" s="81"/>
      <c r="Z21" s="69">
        <f t="shared" si="8"/>
        <v>-0.001142170103</v>
      </c>
      <c r="AA21" s="126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3.0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-8.2256E-6</v>
      </c>
      <c r="L22" s="39">
        <v>1.1321401919115E-7</v>
      </c>
      <c r="M22" s="124">
        <f t="shared" si="1"/>
        <v>-8.2256</v>
      </c>
      <c r="N22" s="38">
        <v>0.012125496</v>
      </c>
      <c r="O22" s="38">
        <v>-8.184717178</v>
      </c>
      <c r="P22" s="38">
        <v>0.009029413</v>
      </c>
      <c r="Q22" s="40">
        <f t="shared" si="2"/>
        <v>-0.004970193299</v>
      </c>
      <c r="R22" s="41">
        <f t="shared" si="3"/>
        <v>2.704224217</v>
      </c>
      <c r="S22" s="37"/>
      <c r="T22" s="42">
        <f t="shared" si="4"/>
        <v>16.24197895</v>
      </c>
      <c r="U22" s="42">
        <f t="shared" si="10"/>
        <v>7.20172939</v>
      </c>
      <c r="V22" s="124">
        <f t="shared" si="6"/>
        <v>1.00499502</v>
      </c>
      <c r="W22" s="37">
        <f t="shared" si="7"/>
        <v>1</v>
      </c>
      <c r="X22" s="37">
        <v>17.0</v>
      </c>
      <c r="Y22" s="81"/>
      <c r="Z22" s="69">
        <f t="shared" si="8"/>
        <v>-0.0082256</v>
      </c>
      <c r="AA22" s="126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3.0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-2.17913999999999E-5</v>
      </c>
      <c r="L23" s="39">
        <v>2.97528608250152E-7</v>
      </c>
      <c r="M23" s="38">
        <f t="shared" si="1"/>
        <v>-21.7914</v>
      </c>
      <c r="N23" s="38">
        <v>0.032254304</v>
      </c>
      <c r="O23" s="38">
        <v>-21.654087067</v>
      </c>
      <c r="P23" s="38">
        <v>0.0243919</v>
      </c>
      <c r="Q23" s="40">
        <f t="shared" si="2"/>
        <v>-0.006301244206</v>
      </c>
      <c r="R23" s="41">
        <f t="shared" si="3"/>
        <v>3.395565193</v>
      </c>
      <c r="S23" s="37"/>
      <c r="T23" s="42">
        <f t="shared" si="4"/>
        <v>43.02852802</v>
      </c>
      <c r="U23" s="42">
        <f t="shared" si="10"/>
        <v>19.07894449</v>
      </c>
      <c r="V23" s="124">
        <f t="shared" si="6"/>
        <v>1.006341202</v>
      </c>
      <c r="W23" s="37">
        <f t="shared" si="7"/>
        <v>1</v>
      </c>
      <c r="X23" s="37">
        <v>18.0</v>
      </c>
      <c r="Y23" s="81"/>
      <c r="Z23" s="70">
        <f t="shared" si="8"/>
        <v>-0.0217914</v>
      </c>
      <c r="AA23" s="126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3.0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-4.17979E-5</v>
      </c>
      <c r="L24" s="39">
        <v>5.83443790408002E-7</v>
      </c>
      <c r="M24" s="124">
        <f t="shared" si="1"/>
        <v>-41.7979</v>
      </c>
      <c r="N24" s="38">
        <v>0.061968343</v>
      </c>
      <c r="O24" s="38">
        <v>-41.855319977</v>
      </c>
      <c r="P24" s="38">
        <v>0.047266441</v>
      </c>
      <c r="Q24" s="40">
        <f t="shared" si="2"/>
        <v>0.001373752677</v>
      </c>
      <c r="R24" s="41">
        <f t="shared" si="3"/>
        <v>-0.7367476465</v>
      </c>
      <c r="S24" s="37"/>
      <c r="T24" s="42">
        <f t="shared" si="4"/>
        <v>82.5326556</v>
      </c>
      <c r="U24" s="42">
        <f t="shared" si="10"/>
        <v>36.59516204</v>
      </c>
      <c r="V24" s="124">
        <f t="shared" si="6"/>
        <v>0.9986281319</v>
      </c>
      <c r="W24" s="37">
        <f t="shared" si="7"/>
        <v>1</v>
      </c>
      <c r="X24" s="37">
        <v>19.0</v>
      </c>
      <c r="Y24" s="81"/>
      <c r="Z24" s="70">
        <f t="shared" si="8"/>
        <v>-0.0417979</v>
      </c>
      <c r="AA24" s="126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3.0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-6.89707E-5</v>
      </c>
      <c r="L25" s="39">
        <v>9.97642934241717E-7</v>
      </c>
      <c r="M25" s="124">
        <f t="shared" si="1"/>
        <v>-68.9707</v>
      </c>
      <c r="N25" s="38">
        <v>0.102518385</v>
      </c>
      <c r="O25" s="38">
        <v>-68.532531738</v>
      </c>
      <c r="P25" s="38">
        <v>0.077651527</v>
      </c>
      <c r="Q25" s="40">
        <f t="shared" si="2"/>
        <v>-0.006352962374</v>
      </c>
      <c r="R25" s="41">
        <f t="shared" si="3"/>
        <v>3.407030857</v>
      </c>
      <c r="S25" s="37"/>
      <c r="T25" s="42">
        <f t="shared" si="4"/>
        <v>136.1871058</v>
      </c>
      <c r="U25" s="42">
        <f t="shared" si="10"/>
        <v>60.38566393</v>
      </c>
      <c r="V25" s="124">
        <f t="shared" si="6"/>
        <v>1.006393581</v>
      </c>
      <c r="W25" s="37">
        <f t="shared" si="7"/>
        <v>1</v>
      </c>
      <c r="X25" s="37">
        <v>20.0</v>
      </c>
      <c r="Y25" s="81"/>
      <c r="Z25" s="70">
        <f t="shared" si="8"/>
        <v>-0.0689707</v>
      </c>
      <c r="AA25" s="126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3.0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-1.020093E-4</v>
      </c>
      <c r="L26" s="39">
        <v>1.32881602575489E-6</v>
      </c>
      <c r="M26" s="38">
        <f t="shared" si="1"/>
        <v>-102.0093</v>
      </c>
      <c r="N26" s="38">
        <v>0.15245268</v>
      </c>
      <c r="O26" s="38">
        <v>-100.864860535</v>
      </c>
      <c r="P26" s="38">
        <v>0.11554683</v>
      </c>
      <c r="Q26" s="40">
        <f t="shared" si="2"/>
        <v>-0.01121897185</v>
      </c>
      <c r="R26" s="41">
        <f t="shared" si="3"/>
        <v>5.98266208</v>
      </c>
      <c r="S26" s="37"/>
      <c r="T26" s="42">
        <f t="shared" si="4"/>
        <v>201.4239573</v>
      </c>
      <c r="U26" s="42">
        <f t="shared" si="10"/>
        <v>89.31182818</v>
      </c>
      <c r="V26" s="124">
        <f t="shared" si="6"/>
        <v>1.011346265</v>
      </c>
      <c r="W26" s="37">
        <f t="shared" si="7"/>
        <v>1</v>
      </c>
      <c r="X26" s="37">
        <v>21.0</v>
      </c>
      <c r="Y26" s="81"/>
      <c r="Z26" s="79">
        <f t="shared" si="8"/>
        <v>-0.1020093</v>
      </c>
      <c r="AA26" s="37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3.0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-1.00731695278969E-7</v>
      </c>
      <c r="L27" s="46">
        <v>7.59158319452659E-9</v>
      </c>
      <c r="M27" s="45">
        <f t="shared" si="1"/>
        <v>-0.1007316953</v>
      </c>
      <c r="N27" s="45">
        <v>3.97792E-4</v>
      </c>
      <c r="O27" s="45">
        <v>-0.098098829</v>
      </c>
      <c r="P27" s="45">
        <v>4.51571E-4</v>
      </c>
      <c r="Q27" s="47">
        <f t="shared" si="2"/>
        <v>-0.02613741655</v>
      </c>
      <c r="R27" s="48">
        <f t="shared" si="3"/>
        <v>4.375036226</v>
      </c>
      <c r="S27" s="44"/>
      <c r="T27" s="49">
        <f t="shared" si="4"/>
        <v>0.1989012442</v>
      </c>
      <c r="U27" s="49">
        <f t="shared" ref="U27:U33" si="11">K27/$K$28</f>
        <v>0.04981658131</v>
      </c>
      <c r="V27" s="45">
        <f t="shared" si="6"/>
        <v>1.026838916</v>
      </c>
      <c r="W27" s="44">
        <f t="shared" si="7"/>
        <v>1</v>
      </c>
      <c r="X27" s="44">
        <v>22.0</v>
      </c>
      <c r="Y27" s="85"/>
      <c r="Z27" s="68">
        <f t="shared" si="8"/>
        <v>-0.0001007316953</v>
      </c>
      <c r="AA27" s="138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3.0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-2.02205154639175E-6</v>
      </c>
      <c r="L28" s="46">
        <v>4.22094140554211E-8</v>
      </c>
      <c r="M28" s="45">
        <f t="shared" si="1"/>
        <v>-2.022051546</v>
      </c>
      <c r="N28" s="45">
        <v>0.003065739</v>
      </c>
      <c r="O28" s="45">
        <v>-2.023904324</v>
      </c>
      <c r="P28" s="45">
        <v>0.002133506</v>
      </c>
      <c r="Q28" s="47">
        <f t="shared" si="2"/>
        <v>0.000916286042</v>
      </c>
      <c r="R28" s="48">
        <f t="shared" si="3"/>
        <v>-0.496051533</v>
      </c>
      <c r="S28" s="44"/>
      <c r="T28" s="49">
        <f t="shared" si="4"/>
        <v>3.992671495</v>
      </c>
      <c r="U28" s="49">
        <f t="shared" si="11"/>
        <v>1</v>
      </c>
      <c r="V28" s="136">
        <f t="shared" si="6"/>
        <v>0.9990845528</v>
      </c>
      <c r="W28" s="44">
        <f t="shared" si="7"/>
        <v>1</v>
      </c>
      <c r="X28" s="44">
        <v>23.0</v>
      </c>
      <c r="Y28" s="85"/>
      <c r="Z28" s="69">
        <f t="shared" si="8"/>
        <v>-0.002022051546</v>
      </c>
      <c r="AA28" s="138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3.0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-1.45887999999999E-5</v>
      </c>
      <c r="L29" s="46">
        <v>2.11288877840244E-7</v>
      </c>
      <c r="M29" s="136">
        <f t="shared" si="1"/>
        <v>-14.5888</v>
      </c>
      <c r="N29" s="45">
        <v>0.021517766</v>
      </c>
      <c r="O29" s="45">
        <v>-14.54518795</v>
      </c>
      <c r="P29" s="45">
        <v>0.01605229</v>
      </c>
      <c r="Q29" s="47">
        <f t="shared" si="2"/>
        <v>-0.002989419966</v>
      </c>
      <c r="R29" s="48">
        <f t="shared" si="3"/>
        <v>1.624546596</v>
      </c>
      <c r="S29" s="44"/>
      <c r="T29" s="49">
        <f t="shared" si="4"/>
        <v>28.8065287</v>
      </c>
      <c r="U29" s="49">
        <f t="shared" si="11"/>
        <v>7.214850693</v>
      </c>
      <c r="V29" s="136">
        <f t="shared" si="6"/>
        <v>1.002998383</v>
      </c>
      <c r="W29" s="44">
        <f t="shared" si="7"/>
        <v>1</v>
      </c>
      <c r="X29" s="44">
        <v>24.0</v>
      </c>
      <c r="Y29" s="85"/>
      <c r="Z29" s="70">
        <f t="shared" si="8"/>
        <v>-0.0145888</v>
      </c>
      <c r="AA29" s="138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3.0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-3.89149999999999E-5</v>
      </c>
      <c r="L30" s="46">
        <v>5.2695523356526E-7</v>
      </c>
      <c r="M30" s="45">
        <f t="shared" si="1"/>
        <v>-38.915</v>
      </c>
      <c r="N30" s="45">
        <v>0.057604322</v>
      </c>
      <c r="O30" s="45">
        <v>-38.532615662</v>
      </c>
      <c r="P30" s="45">
        <v>0.043363377</v>
      </c>
      <c r="Q30" s="47">
        <f t="shared" si="2"/>
        <v>-0.009826142567</v>
      </c>
      <c r="R30" s="48">
        <f t="shared" si="3"/>
        <v>5.303410059</v>
      </c>
      <c r="S30" s="44"/>
      <c r="T30" s="49">
        <f t="shared" si="4"/>
        <v>76.84018318</v>
      </c>
      <c r="U30" s="49">
        <f t="shared" si="11"/>
        <v>19.24530563</v>
      </c>
      <c r="V30" s="136">
        <f t="shared" si="6"/>
        <v>1.009923654</v>
      </c>
      <c r="W30" s="44">
        <f t="shared" si="7"/>
        <v>1</v>
      </c>
      <c r="X30" s="44">
        <v>25.0</v>
      </c>
      <c r="Y30" s="85"/>
      <c r="Z30" s="70">
        <f t="shared" si="8"/>
        <v>-0.038915</v>
      </c>
      <c r="AA30" s="138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3.0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-7.47887E-5</v>
      </c>
      <c r="L31" s="46">
        <v>1.13287393095363E-6</v>
      </c>
      <c r="M31" s="136">
        <f t="shared" si="1"/>
        <v>-74.7887</v>
      </c>
      <c r="N31" s="45">
        <v>0.111295753</v>
      </c>
      <c r="O31" s="45">
        <v>-74.184494019</v>
      </c>
      <c r="P31" s="45">
        <v>0.084029228</v>
      </c>
      <c r="Q31" s="47">
        <f t="shared" si="2"/>
        <v>-0.008078840533</v>
      </c>
      <c r="R31" s="48">
        <f t="shared" si="3"/>
        <v>4.332627883</v>
      </c>
      <c r="S31" s="44"/>
      <c r="T31" s="49">
        <f t="shared" si="4"/>
        <v>147.6751229</v>
      </c>
      <c r="U31" s="49">
        <f t="shared" si="11"/>
        <v>36.98654475</v>
      </c>
      <c r="V31" s="136">
        <f t="shared" si="6"/>
        <v>1.00814464</v>
      </c>
      <c r="W31" s="44">
        <f t="shared" si="7"/>
        <v>1</v>
      </c>
      <c r="X31" s="44">
        <v>26.0</v>
      </c>
      <c r="Y31" s="85"/>
      <c r="Z31" s="70">
        <f t="shared" si="8"/>
        <v>-0.0747887</v>
      </c>
      <c r="AA31" s="138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3.0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-1.22244E-4</v>
      </c>
      <c r="L32" s="46">
        <v>1.75926522770562E-6</v>
      </c>
      <c r="M32" s="136">
        <f t="shared" si="1"/>
        <v>-122.244</v>
      </c>
      <c r="N32" s="45">
        <v>0.183472316</v>
      </c>
      <c r="O32" s="45">
        <v>-121.903312683</v>
      </c>
      <c r="P32" s="45">
        <v>0.138047158</v>
      </c>
      <c r="Q32" s="47">
        <f t="shared" si="2"/>
        <v>-0.002786945102</v>
      </c>
      <c r="R32" s="48">
        <f t="shared" si="3"/>
        <v>1.483788282</v>
      </c>
      <c r="S32" s="44"/>
      <c r="T32" s="49">
        <f t="shared" si="4"/>
        <v>241.3786805</v>
      </c>
      <c r="U32" s="49">
        <f t="shared" si="11"/>
        <v>60.45543212</v>
      </c>
      <c r="V32" s="136">
        <f t="shared" si="6"/>
        <v>1.002794734</v>
      </c>
      <c r="W32" s="44">
        <f t="shared" si="7"/>
        <v>1</v>
      </c>
      <c r="X32" s="44">
        <v>27.0</v>
      </c>
      <c r="Y32" s="85"/>
      <c r="Z32" s="79">
        <f t="shared" si="8"/>
        <v>-0.122244</v>
      </c>
      <c r="AA32" s="44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3.0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-1.81020999999999E-4</v>
      </c>
      <c r="L33" s="46">
        <v>2.7233852596956E-6</v>
      </c>
      <c r="M33" s="136">
        <f t="shared" si="1"/>
        <v>-181.021</v>
      </c>
      <c r="N33" s="45">
        <v>0.274475798</v>
      </c>
      <c r="O33" s="45">
        <v>-179.594207764</v>
      </c>
      <c r="P33" s="45">
        <v>0.205416587</v>
      </c>
      <c r="Q33" s="47">
        <f t="shared" si="2"/>
        <v>-0.007881915557</v>
      </c>
      <c r="R33" s="48">
        <f t="shared" si="3"/>
        <v>4.161797465</v>
      </c>
      <c r="S33" s="44"/>
      <c r="T33" s="49">
        <f t="shared" si="4"/>
        <v>357.4376667</v>
      </c>
      <c r="U33" s="49">
        <f t="shared" si="11"/>
        <v>89.52343491</v>
      </c>
      <c r="V33" s="136">
        <f t="shared" si="6"/>
        <v>1.007944534</v>
      </c>
      <c r="W33" s="44">
        <f t="shared" si="7"/>
        <v>1</v>
      </c>
      <c r="X33" s="44">
        <v>28.0</v>
      </c>
      <c r="Y33" s="85"/>
      <c r="Z33" s="79">
        <f t="shared" si="8"/>
        <v>-0.181021</v>
      </c>
      <c r="AA33" s="44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3.0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-1.5333E-7</v>
      </c>
      <c r="L34" s="53">
        <v>1.24781208084661E-8</v>
      </c>
      <c r="M34" s="52">
        <f t="shared" si="1"/>
        <v>-0.15333</v>
      </c>
      <c r="N34" s="52">
        <v>6.2473E-4</v>
      </c>
      <c r="O34" s="52">
        <v>-0.153281614</v>
      </c>
      <c r="P34" s="52">
        <v>7.0558E-4</v>
      </c>
      <c r="Q34" s="54">
        <f t="shared" si="2"/>
        <v>-0.0003155677297</v>
      </c>
      <c r="R34" s="55">
        <f t="shared" si="3"/>
        <v>0.0513430043</v>
      </c>
      <c r="S34" s="51"/>
      <c r="T34" s="56">
        <f t="shared" si="4"/>
        <v>0.3027599971</v>
      </c>
      <c r="U34" s="56">
        <f t="shared" ref="U34:U40" si="12">K34/$K$35</f>
        <v>0.04872565647</v>
      </c>
      <c r="V34" s="52">
        <f t="shared" si="6"/>
        <v>1.000315667</v>
      </c>
      <c r="W34" s="51">
        <f t="shared" si="7"/>
        <v>1</v>
      </c>
      <c r="X34" s="51">
        <v>29.0</v>
      </c>
      <c r="Y34" s="87"/>
      <c r="Z34" s="68">
        <f t="shared" si="8"/>
        <v>-0.00015333</v>
      </c>
      <c r="AA34" s="143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3.0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-3.14680213903743E-6</v>
      </c>
      <c r="L35" s="53">
        <v>6.73488622228449E-8</v>
      </c>
      <c r="M35" s="52">
        <f t="shared" si="1"/>
        <v>-3.146802139</v>
      </c>
      <c r="N35" s="52">
        <v>0.004874377</v>
      </c>
      <c r="O35" s="52">
        <v>-3.156435728</v>
      </c>
      <c r="P35" s="52">
        <v>0.003333603</v>
      </c>
      <c r="Q35" s="54">
        <f t="shared" si="2"/>
        <v>0.003061390115</v>
      </c>
      <c r="R35" s="55">
        <f t="shared" si="3"/>
        <v>-1.631348768</v>
      </c>
      <c r="S35" s="51"/>
      <c r="T35" s="56">
        <f t="shared" si="4"/>
        <v>6.21356425</v>
      </c>
      <c r="U35" s="56">
        <f t="shared" si="12"/>
        <v>1</v>
      </c>
      <c r="V35" s="151">
        <f t="shared" si="6"/>
        <v>0.9969479534</v>
      </c>
      <c r="W35" s="51">
        <f t="shared" si="7"/>
        <v>1</v>
      </c>
      <c r="X35" s="51">
        <v>30.0</v>
      </c>
      <c r="Y35" s="87"/>
      <c r="Z35" s="69">
        <f t="shared" si="8"/>
        <v>-0.003146802139</v>
      </c>
      <c r="AA35" s="143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3.0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-2.28378E-5</v>
      </c>
      <c r="L36" s="53">
        <v>3.27397389276473E-7</v>
      </c>
      <c r="M36" s="151">
        <f t="shared" si="1"/>
        <v>-22.8378</v>
      </c>
      <c r="N36" s="52">
        <v>0.033772742</v>
      </c>
      <c r="O36" s="52">
        <v>-22.695503235</v>
      </c>
      <c r="P36" s="52">
        <v>0.025081704</v>
      </c>
      <c r="Q36" s="54">
        <f t="shared" si="2"/>
        <v>-0.006230756246</v>
      </c>
      <c r="R36" s="55">
        <f t="shared" si="3"/>
        <v>3.382567184</v>
      </c>
      <c r="S36" s="51"/>
      <c r="T36" s="56">
        <f t="shared" si="4"/>
        <v>45.09471246</v>
      </c>
      <c r="U36" s="56">
        <f t="shared" si="12"/>
        <v>7.257462971</v>
      </c>
      <c r="V36" s="151">
        <f t="shared" si="6"/>
        <v>1.006269822</v>
      </c>
      <c r="W36" s="51">
        <f t="shared" si="7"/>
        <v>1</v>
      </c>
      <c r="X36" s="51">
        <v>31.0</v>
      </c>
      <c r="Y36" s="87"/>
      <c r="Z36" s="70">
        <f t="shared" si="8"/>
        <v>-0.0228378</v>
      </c>
      <c r="AA36" s="143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3.0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-6.08121999999999E-5</v>
      </c>
      <c r="L37" s="53">
        <v>9.77918403569747E-7</v>
      </c>
      <c r="M37" s="52">
        <f t="shared" si="1"/>
        <v>-60.8122</v>
      </c>
      <c r="N37" s="52">
        <v>0.090492983</v>
      </c>
      <c r="O37" s="52">
        <v>-60.101566315</v>
      </c>
      <c r="P37" s="52">
        <v>0.067755277</v>
      </c>
      <c r="Q37" s="54">
        <f t="shared" si="2"/>
        <v>-0.0116857092</v>
      </c>
      <c r="R37" s="55">
        <f t="shared" si="3"/>
        <v>6.286146277</v>
      </c>
      <c r="S37" s="51"/>
      <c r="T37" s="56">
        <f t="shared" si="4"/>
        <v>120.0776201</v>
      </c>
      <c r="U37" s="56">
        <f t="shared" si="12"/>
        <v>19.32507902</v>
      </c>
      <c r="V37" s="151">
        <f t="shared" si="6"/>
        <v>1.01182388</v>
      </c>
      <c r="W37" s="51">
        <f t="shared" si="7"/>
        <v>1</v>
      </c>
      <c r="X37" s="51">
        <v>32.0</v>
      </c>
      <c r="Y37" s="87"/>
      <c r="Z37" s="70">
        <f t="shared" si="8"/>
        <v>-0.0608122</v>
      </c>
      <c r="AA37" s="143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3.0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-1.16808E-4</v>
      </c>
      <c r="L38" s="53">
        <v>1.41554715123648E-6</v>
      </c>
      <c r="M38" s="151">
        <f t="shared" si="1"/>
        <v>-116.808</v>
      </c>
      <c r="N38" s="52">
        <v>0.175218477</v>
      </c>
      <c r="O38" s="52">
        <v>-115.426383972</v>
      </c>
      <c r="P38" s="52">
        <v>0.131295669</v>
      </c>
      <c r="Q38" s="54">
        <f t="shared" si="2"/>
        <v>-0.01182809421</v>
      </c>
      <c r="R38" s="55">
        <f t="shared" si="3"/>
        <v>6.310126167</v>
      </c>
      <c r="S38" s="51"/>
      <c r="T38" s="56">
        <f t="shared" si="4"/>
        <v>230.6449471</v>
      </c>
      <c r="U38" s="56">
        <f t="shared" si="12"/>
        <v>37.11958834</v>
      </c>
      <c r="V38" s="151">
        <f t="shared" si="6"/>
        <v>1.011969673</v>
      </c>
      <c r="W38" s="51">
        <f t="shared" si="7"/>
        <v>1</v>
      </c>
      <c r="X38" s="51">
        <v>33.0</v>
      </c>
      <c r="Y38" s="87"/>
      <c r="Z38" s="79">
        <f t="shared" si="8"/>
        <v>-0.116808</v>
      </c>
      <c r="AA38" s="51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3.0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-1.90197E-4</v>
      </c>
      <c r="L39" s="53">
        <v>2.73685859143196E-6</v>
      </c>
      <c r="M39" s="151">
        <f t="shared" si="1"/>
        <v>-190.197</v>
      </c>
      <c r="N39" s="52">
        <v>0.29030679</v>
      </c>
      <c r="O39" s="52">
        <v>-190.182159424</v>
      </c>
      <c r="P39" s="52">
        <v>0.215698685</v>
      </c>
      <c r="Q39" s="54">
        <f t="shared" si="2"/>
        <v>-0.00007802739265</v>
      </c>
      <c r="R39" s="55">
        <f t="shared" si="3"/>
        <v>0.04103366604</v>
      </c>
      <c r="S39" s="51"/>
      <c r="T39" s="56">
        <f t="shared" si="4"/>
        <v>375.5562719</v>
      </c>
      <c r="U39" s="56">
        <f t="shared" si="12"/>
        <v>60.4413597</v>
      </c>
      <c r="V39" s="151">
        <f t="shared" si="6"/>
        <v>1.000078033</v>
      </c>
      <c r="W39" s="51">
        <f t="shared" si="7"/>
        <v>1</v>
      </c>
      <c r="X39" s="51">
        <v>34.0</v>
      </c>
      <c r="Y39" s="87"/>
      <c r="Z39" s="79">
        <f t="shared" si="8"/>
        <v>-0.190197</v>
      </c>
      <c r="AA39" s="51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3.0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-2.80612E-4</v>
      </c>
      <c r="L40" s="53">
        <v>3.56889706528869E-6</v>
      </c>
      <c r="M40" s="151">
        <f t="shared" si="1"/>
        <v>-280.612</v>
      </c>
      <c r="N40" s="52">
        <v>0.434282032</v>
      </c>
      <c r="O40" s="52">
        <v>-281.162109375</v>
      </c>
      <c r="P40" s="52">
        <v>0.320963418</v>
      </c>
      <c r="Q40" s="54">
        <f t="shared" si="2"/>
        <v>0.001960391484</v>
      </c>
      <c r="R40" s="55">
        <f t="shared" si="3"/>
        <v>-1.018688927</v>
      </c>
      <c r="S40" s="51"/>
      <c r="T40" s="56">
        <f t="shared" si="4"/>
        <v>554.0865343</v>
      </c>
      <c r="U40" s="56">
        <f t="shared" si="12"/>
        <v>89.17370321</v>
      </c>
      <c r="V40" s="151">
        <f t="shared" si="6"/>
        <v>0.9980434441</v>
      </c>
      <c r="W40" s="51">
        <f t="shared" si="7"/>
        <v>1</v>
      </c>
      <c r="X40" s="51">
        <v>35.0</v>
      </c>
      <c r="Y40" s="87"/>
      <c r="Z40" s="79">
        <f t="shared" si="8"/>
        <v>-0.280612</v>
      </c>
      <c r="AA40" s="51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3.0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-2.15391031390134E-7</v>
      </c>
      <c r="L41" s="60">
        <v>1.85908968980296E-8</v>
      </c>
      <c r="M41" s="59">
        <f t="shared" si="1"/>
        <v>-0.2153910314</v>
      </c>
      <c r="N41" s="59">
        <v>9.10151E-4</v>
      </c>
      <c r="O41" s="59">
        <v>-0.220767617</v>
      </c>
      <c r="P41" s="59">
        <v>0.001016035</v>
      </c>
      <c r="Q41" s="61">
        <f t="shared" si="2"/>
        <v>0.02496197532</v>
      </c>
      <c r="R41" s="62">
        <f t="shared" si="3"/>
        <v>-3.941560139</v>
      </c>
      <c r="S41" s="58"/>
      <c r="T41" s="63">
        <f t="shared" si="4"/>
        <v>0.4253035155</v>
      </c>
      <c r="U41" s="63">
        <f t="shared" ref="U41:U47" si="13">K41/$K$42</f>
        <v>0.04738579362</v>
      </c>
      <c r="V41" s="59">
        <f t="shared" si="6"/>
        <v>0.9756459499</v>
      </c>
      <c r="W41" s="58">
        <f t="shared" si="7"/>
        <v>1</v>
      </c>
      <c r="X41" s="58">
        <v>36.0</v>
      </c>
      <c r="Y41" s="89"/>
      <c r="Z41" s="68">
        <f t="shared" si="8"/>
        <v>-0.0002153910314</v>
      </c>
      <c r="AA41" s="147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3.0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-4.54547692307692E-6</v>
      </c>
      <c r="L42" s="60">
        <v>9.73199804172909E-8</v>
      </c>
      <c r="M42" s="59">
        <f t="shared" si="1"/>
        <v>-4.545476923</v>
      </c>
      <c r="N42" s="59">
        <v>0.006901595</v>
      </c>
      <c r="O42" s="59">
        <v>-4.564456463</v>
      </c>
      <c r="P42" s="59">
        <v>0.004800388</v>
      </c>
      <c r="Q42" s="61">
        <f t="shared" si="2"/>
        <v>0.004175478227</v>
      </c>
      <c r="R42" s="62">
        <f t="shared" si="3"/>
        <v>-2.257618229</v>
      </c>
      <c r="S42" s="58"/>
      <c r="T42" s="63">
        <f t="shared" si="4"/>
        <v>8.975338029</v>
      </c>
      <c r="U42" s="63">
        <f t="shared" si="13"/>
        <v>1</v>
      </c>
      <c r="V42" s="161">
        <f t="shared" si="6"/>
        <v>0.9958418839</v>
      </c>
      <c r="W42" s="58">
        <f t="shared" si="7"/>
        <v>1</v>
      </c>
      <c r="X42" s="58">
        <v>37.0</v>
      </c>
      <c r="Y42" s="89"/>
      <c r="Z42" s="69">
        <f t="shared" si="8"/>
        <v>-0.004545476923</v>
      </c>
      <c r="AA42" s="147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3.0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-3.29016999999999E-5</v>
      </c>
      <c r="L43" s="60">
        <v>4.9732020252387E-7</v>
      </c>
      <c r="M43" s="161">
        <f t="shared" si="1"/>
        <v>-32.9017</v>
      </c>
      <c r="N43" s="59">
        <v>0.048897727</v>
      </c>
      <c r="O43" s="59">
        <v>-32.738868713</v>
      </c>
      <c r="P43" s="59">
        <v>0.036117653</v>
      </c>
      <c r="Q43" s="61">
        <f t="shared" si="2"/>
        <v>-0.004949023515</v>
      </c>
      <c r="R43" s="62">
        <f t="shared" si="3"/>
        <v>2.678569161</v>
      </c>
      <c r="S43" s="58"/>
      <c r="T43" s="63">
        <f t="shared" si="4"/>
        <v>64.9665336</v>
      </c>
      <c r="U43" s="63">
        <f t="shared" si="13"/>
        <v>7.238338365</v>
      </c>
      <c r="V43" s="161">
        <f t="shared" si="6"/>
        <v>1.004973638</v>
      </c>
      <c r="W43" s="58">
        <f t="shared" si="7"/>
        <v>1</v>
      </c>
      <c r="X43" s="58">
        <v>38.0</v>
      </c>
      <c r="Y43" s="89"/>
      <c r="Z43" s="70">
        <f t="shared" si="8"/>
        <v>-0.0329017</v>
      </c>
      <c r="AA43" s="147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3.0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-8.74538E-5</v>
      </c>
      <c r="L44" s="60">
        <v>1.19323580099143E-6</v>
      </c>
      <c r="M44" s="59">
        <f t="shared" si="1"/>
        <v>-87.4538</v>
      </c>
      <c r="N44" s="59">
        <v>0.131159124</v>
      </c>
      <c r="O44" s="59">
        <v>-86.616348267</v>
      </c>
      <c r="P44" s="59">
        <v>0.097567599</v>
      </c>
      <c r="Q44" s="61">
        <f t="shared" si="2"/>
        <v>-0.009575933041</v>
      </c>
      <c r="R44" s="62">
        <f t="shared" si="3"/>
        <v>5.122996618</v>
      </c>
      <c r="S44" s="58"/>
      <c r="T44" s="63">
        <f t="shared" si="4"/>
        <v>172.6831816</v>
      </c>
      <c r="U44" s="63">
        <f t="shared" si="13"/>
        <v>19.23974128</v>
      </c>
      <c r="V44" s="161">
        <f t="shared" si="6"/>
        <v>1.009668518</v>
      </c>
      <c r="W44" s="58">
        <f t="shared" si="7"/>
        <v>1</v>
      </c>
      <c r="X44" s="58">
        <v>39.0</v>
      </c>
      <c r="Y44" s="89"/>
      <c r="Z44" s="70">
        <f t="shared" si="8"/>
        <v>-0.0874538</v>
      </c>
      <c r="AA44" s="147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3.0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-1.6727E-4</v>
      </c>
      <c r="L45" s="60">
        <v>2.49146016170713E-6</v>
      </c>
      <c r="M45" s="161">
        <f t="shared" si="1"/>
        <v>-167.27</v>
      </c>
      <c r="N45" s="59">
        <v>0.254416453</v>
      </c>
      <c r="O45" s="59">
        <v>-167.421279907</v>
      </c>
      <c r="P45" s="59">
        <v>0.189065764</v>
      </c>
      <c r="Q45" s="61">
        <f t="shared" si="2"/>
        <v>0.0009044054941</v>
      </c>
      <c r="R45" s="62">
        <f t="shared" si="3"/>
        <v>-0.4772602656</v>
      </c>
      <c r="S45" s="58"/>
      <c r="T45" s="63">
        <f t="shared" si="4"/>
        <v>330.2854283</v>
      </c>
      <c r="U45" s="63">
        <f t="shared" si="13"/>
        <v>36.79921883</v>
      </c>
      <c r="V45" s="161">
        <f t="shared" si="6"/>
        <v>0.9990964117</v>
      </c>
      <c r="W45" s="58">
        <f t="shared" si="7"/>
        <v>1</v>
      </c>
      <c r="X45" s="58">
        <v>40.0</v>
      </c>
      <c r="Y45" s="89"/>
      <c r="Z45" s="79">
        <f t="shared" si="8"/>
        <v>-0.16727</v>
      </c>
      <c r="AA45" s="58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3.0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-2.71825999999999E-4</v>
      </c>
      <c r="L46" s="60">
        <v>4.3443593987904E-6</v>
      </c>
      <c r="M46" s="161">
        <f t="shared" si="1"/>
        <v>-271.826</v>
      </c>
      <c r="N46" s="59">
        <v>0.421734734</v>
      </c>
      <c r="O46" s="59">
        <v>-274.130126953</v>
      </c>
      <c r="P46" s="59">
        <v>0.310606106</v>
      </c>
      <c r="Q46" s="61">
        <f t="shared" si="2"/>
        <v>0.008476477427</v>
      </c>
      <c r="R46" s="62">
        <f t="shared" si="3"/>
        <v>-4.399109121</v>
      </c>
      <c r="S46" s="58"/>
      <c r="T46" s="63">
        <f t="shared" si="4"/>
        <v>536.7380093</v>
      </c>
      <c r="U46" s="63">
        <f t="shared" si="13"/>
        <v>59.80142559</v>
      </c>
      <c r="V46" s="161">
        <f t="shared" si="6"/>
        <v>0.9915947693</v>
      </c>
      <c r="W46" s="58">
        <f t="shared" si="7"/>
        <v>1</v>
      </c>
      <c r="X46" s="58">
        <v>41.0</v>
      </c>
      <c r="Y46" s="89"/>
      <c r="Z46" s="79">
        <f t="shared" si="8"/>
        <v>-0.271826</v>
      </c>
      <c r="AA46" s="58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3.0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-3.9937E-4</v>
      </c>
      <c r="L47" s="60">
        <v>5.35011564115556E-6</v>
      </c>
      <c r="M47" s="161">
        <f t="shared" si="1"/>
        <v>-399.37</v>
      </c>
      <c r="N47" s="59">
        <v>0.631032033</v>
      </c>
      <c r="O47" s="59">
        <v>-403.459442139</v>
      </c>
      <c r="P47" s="59">
        <v>0.462187322</v>
      </c>
      <c r="Q47" s="61">
        <f t="shared" si="2"/>
        <v>0.01023973293</v>
      </c>
      <c r="R47" s="62">
        <f t="shared" si="3"/>
        <v>-5.228206691</v>
      </c>
      <c r="S47" s="58"/>
      <c r="T47" s="63">
        <f t="shared" si="4"/>
        <v>788.5818825</v>
      </c>
      <c r="U47" s="63">
        <f t="shared" si="13"/>
        <v>87.86096745</v>
      </c>
      <c r="V47" s="161">
        <f t="shared" si="6"/>
        <v>0.9898640564</v>
      </c>
      <c r="W47" s="58">
        <f t="shared" si="7"/>
        <v>1</v>
      </c>
      <c r="X47" s="58">
        <v>42.0</v>
      </c>
      <c r="Y47" s="89"/>
      <c r="Z47" s="79">
        <f t="shared" si="8"/>
        <v>-0.39937</v>
      </c>
      <c r="AA47" s="58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3.0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-3.51497303370786E-7</v>
      </c>
      <c r="L48" s="96">
        <v>3.22521721024247E-8</v>
      </c>
      <c r="M48" s="95">
        <f t="shared" si="1"/>
        <v>-0.3514973034</v>
      </c>
      <c r="N48" s="95">
        <v>0.001595141</v>
      </c>
      <c r="O48" s="95">
        <v>-0.392395318</v>
      </c>
      <c r="P48" s="95">
        <v>0.001806285</v>
      </c>
      <c r="Q48" s="97">
        <f t="shared" si="2"/>
        <v>0.1163537081</v>
      </c>
      <c r="R48" s="98">
        <f t="shared" si="3"/>
        <v>-16.97153274</v>
      </c>
      <c r="S48" s="94"/>
      <c r="T48" s="99">
        <f t="shared" si="4"/>
        <v>0.6940541482</v>
      </c>
      <c r="U48" s="99">
        <f t="shared" ref="U48:U54" si="14">K48/$K$49</f>
        <v>0.04380283623</v>
      </c>
      <c r="V48" s="95">
        <f t="shared" si="6"/>
        <v>0.8957734388</v>
      </c>
      <c r="W48" s="94">
        <f t="shared" si="7"/>
        <v>0</v>
      </c>
      <c r="X48" s="94">
        <v>43.0</v>
      </c>
      <c r="Y48" s="100"/>
      <c r="Z48" s="68">
        <f t="shared" si="8"/>
        <v>-0.0003514973034</v>
      </c>
      <c r="AA48" s="149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3.0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-8.02453296703296E-6</v>
      </c>
      <c r="L49" s="96">
        <v>1.687682595351E-7</v>
      </c>
      <c r="M49" s="95">
        <f t="shared" si="1"/>
        <v>-8.024532967</v>
      </c>
      <c r="N49" s="95">
        <v>0.012735552</v>
      </c>
      <c r="O49" s="95">
        <v>-8.095617294</v>
      </c>
      <c r="P49" s="95">
        <v>0.008534024</v>
      </c>
      <c r="Q49" s="97">
        <f t="shared" si="2"/>
        <v>0.008858375591</v>
      </c>
      <c r="R49" s="98">
        <f t="shared" si="3"/>
        <v>-4.636794913</v>
      </c>
      <c r="S49" s="94"/>
      <c r="T49" s="99">
        <f t="shared" si="4"/>
        <v>15.84495909</v>
      </c>
      <c r="U49" s="99">
        <f t="shared" si="14"/>
        <v>1</v>
      </c>
      <c r="V49" s="169">
        <f t="shared" si="6"/>
        <v>0.9912194062</v>
      </c>
      <c r="W49" s="94">
        <f t="shared" si="7"/>
        <v>1</v>
      </c>
      <c r="X49" s="94">
        <v>44.0</v>
      </c>
      <c r="Y49" s="100"/>
      <c r="Z49" s="69">
        <f t="shared" si="8"/>
        <v>-0.008024532967</v>
      </c>
      <c r="AA49" s="149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3.0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-5.8038E-5</v>
      </c>
      <c r="L50" s="96">
        <v>8.21149723672162E-7</v>
      </c>
      <c r="M50" s="169">
        <f t="shared" si="1"/>
        <v>-58.038</v>
      </c>
      <c r="N50" s="95">
        <v>0.087521448</v>
      </c>
      <c r="O50" s="95">
        <v>-58.180751801</v>
      </c>
      <c r="P50" s="95">
        <v>0.064209161</v>
      </c>
      <c r="Q50" s="97">
        <f t="shared" si="2"/>
        <v>0.002459626469</v>
      </c>
      <c r="R50" s="98">
        <f t="shared" si="3"/>
        <v>-1.315094527</v>
      </c>
      <c r="S50" s="94"/>
      <c r="T50" s="99">
        <f t="shared" si="4"/>
        <v>114.5997829</v>
      </c>
      <c r="U50" s="99">
        <f t="shared" si="14"/>
        <v>7.232570448</v>
      </c>
      <c r="V50" s="169">
        <f t="shared" si="6"/>
        <v>0.9975464084</v>
      </c>
      <c r="W50" s="94">
        <f t="shared" si="7"/>
        <v>1</v>
      </c>
      <c r="X50" s="94">
        <v>45.0</v>
      </c>
      <c r="Y50" s="100"/>
      <c r="Z50" s="70">
        <f t="shared" si="8"/>
        <v>-0.058038</v>
      </c>
      <c r="AA50" s="149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3.0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-1.53937E-4</v>
      </c>
      <c r="L51" s="96">
        <v>2.14040754167155E-6</v>
      </c>
      <c r="M51" s="95">
        <f t="shared" si="1"/>
        <v>-153.937</v>
      </c>
      <c r="N51" s="95">
        <v>0.236024601</v>
      </c>
      <c r="O51" s="95">
        <v>-154.130477905</v>
      </c>
      <c r="P51" s="95">
        <v>0.17345351</v>
      </c>
      <c r="Q51" s="97">
        <f t="shared" si="2"/>
        <v>0.001256864204</v>
      </c>
      <c r="R51" s="98">
        <f t="shared" si="3"/>
        <v>-0.6605468033</v>
      </c>
      <c r="S51" s="94"/>
      <c r="T51" s="99">
        <f t="shared" si="4"/>
        <v>303.9585578</v>
      </c>
      <c r="U51" s="99">
        <f t="shared" si="14"/>
        <v>19.1832971</v>
      </c>
      <c r="V51" s="169">
        <f t="shared" si="6"/>
        <v>0.9987447135</v>
      </c>
      <c r="W51" s="94">
        <f t="shared" si="7"/>
        <v>1</v>
      </c>
      <c r="X51" s="94">
        <v>46.0</v>
      </c>
      <c r="Y51" s="100"/>
      <c r="Z51" s="79">
        <f t="shared" si="8"/>
        <v>-0.153937</v>
      </c>
      <c r="AA51" s="94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3.0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-2.92062999999999E-4</v>
      </c>
      <c r="L52" s="96">
        <v>4.72185238005064E-6</v>
      </c>
      <c r="M52" s="169">
        <f t="shared" si="1"/>
        <v>-292.063</v>
      </c>
      <c r="N52" s="95">
        <v>0.458643844</v>
      </c>
      <c r="O52" s="95">
        <v>-296.737976074</v>
      </c>
      <c r="P52" s="95">
        <v>0.336116913</v>
      </c>
      <c r="Q52" s="97">
        <f t="shared" si="2"/>
        <v>0.01600673853</v>
      </c>
      <c r="R52" s="98">
        <f t="shared" si="3"/>
        <v>-8.221616738</v>
      </c>
      <c r="S52" s="94"/>
      <c r="T52" s="99">
        <f t="shared" si="4"/>
        <v>576.6972741</v>
      </c>
      <c r="U52" s="99">
        <f t="shared" si="14"/>
        <v>36.39626146</v>
      </c>
      <c r="V52" s="169">
        <f t="shared" si="6"/>
        <v>0.9842454406</v>
      </c>
      <c r="W52" s="94">
        <f t="shared" si="7"/>
        <v>1</v>
      </c>
      <c r="X52" s="94">
        <v>47.0</v>
      </c>
      <c r="Y52" s="100"/>
      <c r="Z52" s="79">
        <f t="shared" si="8"/>
        <v>-0.292063</v>
      </c>
      <c r="AA52" s="94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3.0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-4.72566999999999E-4</v>
      </c>
      <c r="L53" s="96">
        <v>8.02473518238918E-6</v>
      </c>
      <c r="M53" s="169">
        <f t="shared" si="1"/>
        <v>-472.567</v>
      </c>
      <c r="N53" s="95">
        <v>0.75855296</v>
      </c>
      <c r="O53" s="95">
        <v>-487.613220215</v>
      </c>
      <c r="P53" s="95">
        <v>0.552188633</v>
      </c>
      <c r="Q53" s="97">
        <f t="shared" si="2"/>
        <v>0.03183933752</v>
      </c>
      <c r="R53" s="98">
        <f t="shared" si="3"/>
        <v>-16.03645583</v>
      </c>
      <c r="S53" s="94"/>
      <c r="T53" s="99">
        <f t="shared" si="4"/>
        <v>933.1140908</v>
      </c>
      <c r="U53" s="99">
        <f t="shared" si="14"/>
        <v>58.89028084</v>
      </c>
      <c r="V53" s="169">
        <f t="shared" si="6"/>
        <v>0.9691431249</v>
      </c>
      <c r="W53" s="94">
        <f t="shared" si="7"/>
        <v>1</v>
      </c>
      <c r="X53" s="94">
        <v>48.0</v>
      </c>
      <c r="Y53" s="100"/>
      <c r="Z53" s="79">
        <f t="shared" si="8"/>
        <v>-0.472567</v>
      </c>
      <c r="AA53" s="94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3.0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-6.94247E-4</v>
      </c>
      <c r="L54" s="96">
        <v>1.2287477858422E-5</v>
      </c>
      <c r="M54" s="169">
        <f t="shared" si="1"/>
        <v>-694.247</v>
      </c>
      <c r="N54" s="95">
        <v>1.130796362</v>
      </c>
      <c r="O54" s="95">
        <v>-718.37677002</v>
      </c>
      <c r="P54" s="95">
        <v>0.82166635</v>
      </c>
      <c r="Q54" s="97">
        <f t="shared" si="2"/>
        <v>0.03475675087</v>
      </c>
      <c r="R54" s="98">
        <f t="shared" si="3"/>
        <v>-17.26271612</v>
      </c>
      <c r="S54" s="94"/>
      <c r="T54" s="99">
        <f t="shared" si="4"/>
        <v>1370.835581</v>
      </c>
      <c r="U54" s="99">
        <f t="shared" si="14"/>
        <v>86.51556456</v>
      </c>
      <c r="V54" s="169">
        <f t="shared" si="6"/>
        <v>0.9664107039</v>
      </c>
      <c r="W54" s="94">
        <f t="shared" si="7"/>
        <v>1</v>
      </c>
      <c r="X54" s="94">
        <v>49.0</v>
      </c>
      <c r="Y54" s="100"/>
      <c r="Z54" s="79">
        <f t="shared" si="8"/>
        <v>-0.694247</v>
      </c>
      <c r="AA54" s="94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3.0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-4.81650224215246E-7</v>
      </c>
      <c r="L55" s="103">
        <v>4.60846020977876E-8</v>
      </c>
      <c r="M55" s="102">
        <f t="shared" si="1"/>
        <v>-0.4816502242</v>
      </c>
      <c r="N55" s="102">
        <v>0.002395592</v>
      </c>
      <c r="O55" s="102">
        <v>-0.613126457</v>
      </c>
      <c r="P55" s="102">
        <v>0.00282232</v>
      </c>
      <c r="Q55" s="104">
        <f t="shared" si="2"/>
        <v>0.2729703552</v>
      </c>
      <c r="R55" s="106">
        <f t="shared" si="3"/>
        <v>-35.51550641</v>
      </c>
      <c r="S55" s="101"/>
      <c r="T55" s="108">
        <f t="shared" si="4"/>
        <v>0.9510495042</v>
      </c>
      <c r="U55" s="108">
        <f t="shared" ref="U55:U61" si="15">K55/$K$56</f>
        <v>0.03896710875</v>
      </c>
      <c r="V55" s="102">
        <f t="shared" si="6"/>
        <v>0.7855642482</v>
      </c>
      <c r="W55" s="101">
        <f t="shared" si="7"/>
        <v>0</v>
      </c>
      <c r="X55" s="101">
        <v>50.0</v>
      </c>
      <c r="Y55" s="110"/>
      <c r="Z55" s="68">
        <f t="shared" si="8"/>
        <v>-0.0004816502242</v>
      </c>
      <c r="AA55" s="157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3.0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-1.23604301075268E-5</v>
      </c>
      <c r="L56" s="103">
        <v>2.78549967291016E-7</v>
      </c>
      <c r="M56" s="102">
        <f t="shared" si="1"/>
        <v>-12.36043011</v>
      </c>
      <c r="N56" s="102">
        <v>0.019703318</v>
      </c>
      <c r="O56" s="102">
        <v>-12.625742912</v>
      </c>
      <c r="P56" s="102">
        <v>0.013334412</v>
      </c>
      <c r="Q56" s="104">
        <f t="shared" si="2"/>
        <v>0.02146469032</v>
      </c>
      <c r="R56" s="106">
        <f t="shared" si="3"/>
        <v>-11.1516602</v>
      </c>
      <c r="S56" s="101"/>
      <c r="T56" s="108">
        <f t="shared" si="4"/>
        <v>24.40646829</v>
      </c>
      <c r="U56" s="108">
        <f t="shared" si="15"/>
        <v>1</v>
      </c>
      <c r="V56" s="172">
        <f t="shared" si="6"/>
        <v>0.9789863609</v>
      </c>
      <c r="W56" s="101">
        <f t="shared" si="7"/>
        <v>1</v>
      </c>
      <c r="X56" s="101">
        <v>51.0</v>
      </c>
      <c r="Y56" s="110"/>
      <c r="Z56" s="70">
        <f t="shared" si="8"/>
        <v>-0.01236043011</v>
      </c>
      <c r="AA56" s="157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3.0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-8.96308E-5</v>
      </c>
      <c r="L57" s="103">
        <v>1.26640721425741E-6</v>
      </c>
      <c r="M57" s="172">
        <f t="shared" si="1"/>
        <v>-89.6308</v>
      </c>
      <c r="N57" s="102">
        <v>0.137959624</v>
      </c>
      <c r="O57" s="102">
        <v>-90.782012939</v>
      </c>
      <c r="P57" s="102">
        <v>0.100326814</v>
      </c>
      <c r="Q57" s="104">
        <f t="shared" si="2"/>
        <v>0.01284394359</v>
      </c>
      <c r="R57" s="106">
        <f t="shared" si="3"/>
        <v>-6.748723711</v>
      </c>
      <c r="S57" s="101"/>
      <c r="T57" s="108">
        <f t="shared" si="4"/>
        <v>176.9818088</v>
      </c>
      <c r="U57" s="108">
        <f t="shared" si="15"/>
        <v>7.25143051</v>
      </c>
      <c r="V57" s="172">
        <f t="shared" si="6"/>
        <v>0.9873189313</v>
      </c>
      <c r="W57" s="101">
        <f t="shared" si="7"/>
        <v>1</v>
      </c>
      <c r="X57" s="101">
        <v>52.0</v>
      </c>
      <c r="Y57" s="110"/>
      <c r="Z57" s="70">
        <f t="shared" si="8"/>
        <v>-0.0896308</v>
      </c>
      <c r="AA57" s="157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3.0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-2.37284E-4</v>
      </c>
      <c r="L58" s="103">
        <v>3.14731631711844E-6</v>
      </c>
      <c r="M58" s="102">
        <f t="shared" si="1"/>
        <v>-237.284</v>
      </c>
      <c r="N58" s="102">
        <v>0.372690141</v>
      </c>
      <c r="O58" s="102">
        <v>-240.406265259</v>
      </c>
      <c r="P58" s="102">
        <v>0.271021109</v>
      </c>
      <c r="Q58" s="104">
        <f t="shared" si="2"/>
        <v>0.01315834721</v>
      </c>
      <c r="R58" s="106">
        <f t="shared" si="3"/>
        <v>-6.775530003</v>
      </c>
      <c r="S58" s="101"/>
      <c r="T58" s="108">
        <f t="shared" si="4"/>
        <v>468.5325973</v>
      </c>
      <c r="U58" s="108">
        <f t="shared" si="15"/>
        <v>19.1970666</v>
      </c>
      <c r="V58" s="172">
        <f t="shared" si="6"/>
        <v>0.9870125462</v>
      </c>
      <c r="W58" s="101">
        <f t="shared" si="7"/>
        <v>1</v>
      </c>
      <c r="X58" s="101">
        <v>53.0</v>
      </c>
      <c r="Y58" s="110"/>
      <c r="Z58" s="79">
        <f t="shared" si="8"/>
        <v>-0.237284</v>
      </c>
      <c r="AA58" s="101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3.0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-4.47129999999999E-4</v>
      </c>
      <c r="L59" s="103">
        <v>7.77772655105785E-6</v>
      </c>
      <c r="M59" s="172">
        <f t="shared" si="1"/>
        <v>-447.13</v>
      </c>
      <c r="N59" s="102">
        <v>0.721833445</v>
      </c>
      <c r="O59" s="102">
        <v>-461.705535889</v>
      </c>
      <c r="P59" s="102">
        <v>0.525182676</v>
      </c>
      <c r="Q59" s="104">
        <f t="shared" si="2"/>
        <v>0.03259798244</v>
      </c>
      <c r="R59" s="106">
        <f t="shared" si="3"/>
        <v>-16.32801603</v>
      </c>
      <c r="S59" s="101"/>
      <c r="T59" s="108">
        <f t="shared" si="4"/>
        <v>882.88709</v>
      </c>
      <c r="U59" s="108">
        <f t="shared" si="15"/>
        <v>36.17430754</v>
      </c>
      <c r="V59" s="172">
        <f t="shared" si="6"/>
        <v>0.9684311</v>
      </c>
      <c r="W59" s="101">
        <f t="shared" si="7"/>
        <v>1</v>
      </c>
      <c r="X59" s="101">
        <v>54.0</v>
      </c>
      <c r="Y59" s="110"/>
      <c r="Z59" s="79">
        <f t="shared" si="8"/>
        <v>-0.44713</v>
      </c>
      <c r="AA59" s="101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3.0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-7.25886999999999E-4</v>
      </c>
      <c r="L60" s="103">
        <v>1.18546641292008E-5</v>
      </c>
      <c r="M60" s="172">
        <f t="shared" si="1"/>
        <v>-725.887</v>
      </c>
      <c r="N60" s="102">
        <v>1.188161399</v>
      </c>
      <c r="O60" s="102">
        <v>-760.728637695</v>
      </c>
      <c r="P60" s="102">
        <v>0.862794739</v>
      </c>
      <c r="Q60" s="104">
        <f t="shared" si="2"/>
        <v>0.04799870737</v>
      </c>
      <c r="R60" s="106">
        <f t="shared" si="3"/>
        <v>-23.72793005</v>
      </c>
      <c r="S60" s="101"/>
      <c r="T60" s="108">
        <f t="shared" si="4"/>
        <v>1433.310807</v>
      </c>
      <c r="U60" s="108">
        <f t="shared" si="15"/>
        <v>58.72667809</v>
      </c>
      <c r="V60" s="172">
        <f t="shared" si="6"/>
        <v>0.9541996502</v>
      </c>
      <c r="W60" s="101">
        <f t="shared" si="7"/>
        <v>1</v>
      </c>
      <c r="X60" s="101">
        <v>55.0</v>
      </c>
      <c r="Y60" s="110"/>
      <c r="Z60" s="79">
        <f t="shared" si="8"/>
        <v>-0.725887</v>
      </c>
      <c r="AA60" s="101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3.0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-0.00106457999999999</v>
      </c>
      <c r="L61" s="103">
        <v>1.86451065966381E-5</v>
      </c>
      <c r="M61" s="102">
        <f t="shared" si="1"/>
        <v>-1064.58</v>
      </c>
      <c r="N61" s="102">
        <v>1.760816589</v>
      </c>
      <c r="O61" s="102">
        <v>-1124.6484375</v>
      </c>
      <c r="P61" s="102">
        <v>1.283853672</v>
      </c>
      <c r="Q61" s="104">
        <f t="shared" si="2"/>
        <v>0.05642454066</v>
      </c>
      <c r="R61" s="106">
        <f t="shared" si="3"/>
        <v>-27.56490113</v>
      </c>
      <c r="S61" s="101"/>
      <c r="T61" s="108">
        <f t="shared" si="4"/>
        <v>2102.08203</v>
      </c>
      <c r="U61" s="108">
        <f t="shared" si="15"/>
        <v>86.12807085</v>
      </c>
      <c r="V61" s="172">
        <f t="shared" si="6"/>
        <v>0.9465891424</v>
      </c>
      <c r="W61" s="101">
        <f t="shared" si="7"/>
        <v>1</v>
      </c>
      <c r="X61" s="101">
        <v>56.0</v>
      </c>
      <c r="Y61" s="110"/>
      <c r="Z61" s="14">
        <f t="shared" si="8"/>
        <v>-1.06458</v>
      </c>
      <c r="AA61" s="101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3.0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-5.06639175257731E-7</v>
      </c>
      <c r="L62" s="117">
        <v>1.0427187030455E-8</v>
      </c>
      <c r="M62" s="116">
        <f t="shared" si="1"/>
        <v>-0.5066391753</v>
      </c>
      <c r="N62" s="116">
        <v>7.66374E-4</v>
      </c>
      <c r="O62" s="116">
        <v>-0.505976081</v>
      </c>
      <c r="P62" s="116">
        <v>5.33376E-4</v>
      </c>
      <c r="Q62" s="118">
        <f t="shared" si="2"/>
        <v>-0.001308809682</v>
      </c>
      <c r="R62" s="119">
        <f t="shared" si="3"/>
        <v>0.7101696136</v>
      </c>
      <c r="T62" s="120">
        <f t="shared" si="4"/>
        <v>1.000391803</v>
      </c>
      <c r="V62" s="1">
        <f t="shared" si="6"/>
        <v>1.001310525</v>
      </c>
      <c r="W62" s="4">
        <f t="shared" si="7"/>
        <v>1</v>
      </c>
      <c r="X62" s="4">
        <v>57.0</v>
      </c>
      <c r="Z62" s="68">
        <f t="shared" si="8"/>
        <v>-0.0005066391753</v>
      </c>
      <c r="AA62" s="159"/>
    </row>
    <row r="63">
      <c r="A63" s="4" t="s">
        <v>45</v>
      </c>
      <c r="B63" s="4">
        <v>58.0</v>
      </c>
      <c r="C63" s="44">
        <v>3.0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-5.06639175257731E-7</v>
      </c>
      <c r="L63" s="117">
        <v>1.0427187030455E-8</v>
      </c>
      <c r="M63" s="116">
        <f t="shared" si="1"/>
        <v>-0.5066391753</v>
      </c>
      <c r="N63" s="116">
        <v>7.66374E-4</v>
      </c>
      <c r="O63" s="116">
        <v>-0.505976081</v>
      </c>
      <c r="P63" s="116">
        <v>5.33376E-4</v>
      </c>
      <c r="Q63" s="118">
        <f t="shared" si="2"/>
        <v>-0.001308809682</v>
      </c>
      <c r="R63" s="119">
        <f t="shared" si="3"/>
        <v>0.7101696136</v>
      </c>
      <c r="T63" s="120">
        <f t="shared" si="4"/>
        <v>1.000391803</v>
      </c>
      <c r="V63" s="1">
        <f t="shared" si="6"/>
        <v>1.001310525</v>
      </c>
      <c r="W63" s="4">
        <f t="shared" si="7"/>
        <v>1</v>
      </c>
      <c r="X63" s="4">
        <v>58.0</v>
      </c>
      <c r="Z63" s="68">
        <f t="shared" si="8"/>
        <v>-0.0005066391753</v>
      </c>
      <c r="AA63" s="159"/>
    </row>
    <row r="64">
      <c r="A64" s="4"/>
      <c r="B64" s="4">
        <v>59.0</v>
      </c>
      <c r="C64" s="44">
        <v>3.0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-9.0769E-6</v>
      </c>
      <c r="L64" s="117">
        <v>1.39762894455812E-7</v>
      </c>
      <c r="M64" s="116">
        <f t="shared" si="1"/>
        <v>-9.0769</v>
      </c>
      <c r="N64" s="116">
        <v>0.013500975</v>
      </c>
      <c r="O64" s="116">
        <v>-8.981075287</v>
      </c>
      <c r="P64" s="116">
        <v>0.01043057</v>
      </c>
      <c r="Q64" s="118">
        <f t="shared" si="2"/>
        <v>-0.01055698675</v>
      </c>
      <c r="R64" s="119">
        <f t="shared" si="3"/>
        <v>5.616638587</v>
      </c>
      <c r="T64" s="120">
        <f t="shared" si="4"/>
        <v>17.92292583</v>
      </c>
      <c r="V64" s="1">
        <f t="shared" si="6"/>
        <v>1.010669626</v>
      </c>
      <c r="W64" s="4">
        <f t="shared" si="7"/>
        <v>1</v>
      </c>
      <c r="X64" s="4">
        <v>59.0</v>
      </c>
      <c r="Z64" s="69">
        <f t="shared" si="8"/>
        <v>-0.0090769</v>
      </c>
      <c r="AA64" s="159"/>
    </row>
    <row r="65">
      <c r="A65" s="4"/>
      <c r="B65" s="4">
        <v>60.0</v>
      </c>
      <c r="C65" s="44">
        <v>3.0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-5.06146733668341E-7</v>
      </c>
      <c r="L65" s="117">
        <v>1.08692215292049E-8</v>
      </c>
      <c r="M65" s="116">
        <f t="shared" si="1"/>
        <v>-0.5061467337</v>
      </c>
      <c r="N65" s="116">
        <v>7.561E-4</v>
      </c>
      <c r="O65" s="116">
        <v>-0.505950749</v>
      </c>
      <c r="P65" s="116">
        <v>5.33649E-4</v>
      </c>
      <c r="Q65" s="118">
        <f t="shared" si="2"/>
        <v>-0.0003872091931</v>
      </c>
      <c r="R65" s="119">
        <f t="shared" si="3"/>
        <v>0.2117709622</v>
      </c>
      <c r="T65" s="120">
        <f t="shared" si="4"/>
        <v>0.9994194457</v>
      </c>
      <c r="V65" s="1">
        <f t="shared" si="6"/>
        <v>1.000387359</v>
      </c>
      <c r="W65" s="4">
        <f t="shared" si="7"/>
        <v>1</v>
      </c>
      <c r="X65" s="4">
        <v>60.0</v>
      </c>
      <c r="Z65" s="68">
        <f t="shared" si="8"/>
        <v>-0.0005061467337</v>
      </c>
      <c r="AA65" s="159"/>
    </row>
    <row r="66">
      <c r="A66" s="4"/>
      <c r="B66" s="4">
        <v>61.0</v>
      </c>
      <c r="C66" s="44">
        <v>3.0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-5.05833502538071E-7</v>
      </c>
      <c r="L66" s="117">
        <v>1.10771227023769E-8</v>
      </c>
      <c r="M66" s="116">
        <f t="shared" si="1"/>
        <v>-0.5058335025</v>
      </c>
      <c r="N66" s="116">
        <v>7.57906E-4</v>
      </c>
      <c r="O66" s="116">
        <v>-0.505951405</v>
      </c>
      <c r="P66" s="116">
        <v>5.3365E-4</v>
      </c>
      <c r="Q66" s="118">
        <f t="shared" si="2"/>
        <v>0.000233085514</v>
      </c>
      <c r="R66" s="119">
        <f t="shared" si="3"/>
        <v>-0.1271963861</v>
      </c>
      <c r="T66" s="120">
        <f t="shared" si="4"/>
        <v>0.9988009506</v>
      </c>
      <c r="V66" s="1">
        <f t="shared" si="6"/>
        <v>0.9997669688</v>
      </c>
      <c r="W66" s="4">
        <f t="shared" si="7"/>
        <v>1</v>
      </c>
      <c r="X66" s="4">
        <v>61.0</v>
      </c>
      <c r="Z66" s="68">
        <f t="shared" si="8"/>
        <v>-0.0005058335025</v>
      </c>
      <c r="AA66" s="159"/>
    </row>
    <row r="67">
      <c r="K67" s="1"/>
      <c r="L67" s="2"/>
      <c r="M67" s="1"/>
      <c r="N67" s="1"/>
      <c r="O67" s="1"/>
      <c r="W67" s="122">
        <f>(SUM(W6:W61)-1)/55</f>
        <v>0.9636363636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50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-3.6276129032258E-9</v>
      </c>
      <c r="L6" s="11">
        <v>2.87369404450623E-10</v>
      </c>
      <c r="M6" s="10">
        <f t="shared" ref="M6:M66" si="1">K6*1000000</f>
        <v>-0.003627612903</v>
      </c>
      <c r="N6" s="10">
        <v>3.1303E-5</v>
      </c>
      <c r="O6" s="10">
        <v>-0.003441514</v>
      </c>
      <c r="P6" s="10">
        <v>3.198E-5</v>
      </c>
      <c r="Q6" s="12">
        <f t="shared" ref="Q6:Q66" si="2">(O6-M6)/M6</f>
        <v>-0.05130065092</v>
      </c>
      <c r="R6" s="13">
        <f t="shared" ref="R6:R66" si="3">(O6-M6)/sqrt(N6*N6+P6*P6)</f>
        <v>4.158597632</v>
      </c>
      <c r="S6" s="8"/>
      <c r="T6" s="14">
        <f t="shared" ref="T6:T66" si="4">K6/$K$14</f>
        <v>0.01268297573</v>
      </c>
      <c r="U6" s="14">
        <f t="shared" ref="U6:U12" si="5">K6/$K$7</f>
        <v>0.0506484077</v>
      </c>
      <c r="V6" s="10">
        <f t="shared" ref="V6:V66" si="6">M6/O6</f>
        <v>1.054074719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66">
        <f t="shared" ref="Z6:Z66" si="9">M6*0.001</f>
        <v>-0.000003627612903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-7.16234343434343E-8</v>
      </c>
      <c r="L7" s="11">
        <v>1.67505233644471E-9</v>
      </c>
      <c r="M7" s="10">
        <f t="shared" si="1"/>
        <v>-0.07162343434</v>
      </c>
      <c r="N7" s="10">
        <v>1.5145E-4</v>
      </c>
      <c r="O7" s="10">
        <v>-0.071494997</v>
      </c>
      <c r="P7" s="10">
        <v>1.51873E-4</v>
      </c>
      <c r="Q7" s="12">
        <f t="shared" si="2"/>
        <v>-0.00179323073</v>
      </c>
      <c r="R7" s="13">
        <f t="shared" si="3"/>
        <v>0.5988258601</v>
      </c>
      <c r="S7" s="8"/>
      <c r="T7" s="14">
        <f t="shared" si="4"/>
        <v>0.2504121316</v>
      </c>
      <c r="U7" s="14">
        <f t="shared" si="5"/>
        <v>1</v>
      </c>
      <c r="V7" s="10">
        <f t="shared" si="6"/>
        <v>1.001796452</v>
      </c>
      <c r="W7" s="8">
        <f t="shared" si="7"/>
        <v>1</v>
      </c>
      <c r="X7" s="8">
        <f t="shared" si="8"/>
        <v>2</v>
      </c>
      <c r="Y7" s="15"/>
      <c r="Z7" s="67">
        <f t="shared" si="9"/>
        <v>-0.00007162343434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-5.17214E-7</v>
      </c>
      <c r="L8" s="11">
        <v>7.00796112945264E-9</v>
      </c>
      <c r="M8" s="10">
        <f t="shared" si="1"/>
        <v>-0.517214</v>
      </c>
      <c r="N8" s="10">
        <v>7.62183E-4</v>
      </c>
      <c r="O8" s="10">
        <v>-0.513704777</v>
      </c>
      <c r="P8" s="10">
        <v>0.001143317</v>
      </c>
      <c r="Q8" s="12">
        <f t="shared" si="2"/>
        <v>-0.006784856945</v>
      </c>
      <c r="R8" s="13">
        <f t="shared" si="3"/>
        <v>2.553870384</v>
      </c>
      <c r="S8" s="8"/>
      <c r="T8" s="14">
        <f t="shared" si="4"/>
        <v>1.808300054</v>
      </c>
      <c r="U8" s="14">
        <f t="shared" si="5"/>
        <v>7.221295722</v>
      </c>
      <c r="V8" s="10">
        <f t="shared" si="6"/>
        <v>1.006831206</v>
      </c>
      <c r="W8" s="8">
        <f t="shared" si="7"/>
        <v>1</v>
      </c>
      <c r="X8" s="8">
        <f t="shared" si="8"/>
        <v>3</v>
      </c>
      <c r="Y8" s="15"/>
      <c r="Z8" s="68">
        <f t="shared" si="9"/>
        <v>-0.000517214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-1.37089999999999E-6</v>
      </c>
      <c r="L9" s="11">
        <v>1.83526069488283E-8</v>
      </c>
      <c r="M9" s="10">
        <f t="shared" si="1"/>
        <v>-1.3709</v>
      </c>
      <c r="N9" s="10">
        <v>0.00202536</v>
      </c>
      <c r="O9" s="10">
        <v>-1.3644526</v>
      </c>
      <c r="P9" s="10">
        <v>0.003088108</v>
      </c>
      <c r="Q9" s="12">
        <f t="shared" si="2"/>
        <v>-0.004703041797</v>
      </c>
      <c r="R9" s="13">
        <f t="shared" si="3"/>
        <v>1.745827797</v>
      </c>
      <c r="S9" s="8"/>
      <c r="T9" s="14">
        <f t="shared" si="4"/>
        <v>4.792984228</v>
      </c>
      <c r="U9" s="14">
        <f t="shared" si="5"/>
        <v>19.14038349</v>
      </c>
      <c r="V9" s="10">
        <f t="shared" si="6"/>
        <v>1.004725265</v>
      </c>
      <c r="W9" s="8">
        <f t="shared" si="7"/>
        <v>1</v>
      </c>
      <c r="X9" s="8">
        <f t="shared" si="8"/>
        <v>4</v>
      </c>
      <c r="Y9" s="15"/>
      <c r="Z9" s="69">
        <f t="shared" si="9"/>
        <v>-0.0013709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-2.64005999999999E-6</v>
      </c>
      <c r="L10" s="11">
        <v>3.76635343293989E-8</v>
      </c>
      <c r="M10" s="10">
        <f t="shared" si="1"/>
        <v>-2.64006</v>
      </c>
      <c r="N10" s="10">
        <v>0.003902736</v>
      </c>
      <c r="O10" s="10">
        <v>-2.621355057</v>
      </c>
      <c r="P10" s="10">
        <v>0.005983596</v>
      </c>
      <c r="Q10" s="12">
        <f t="shared" si="2"/>
        <v>-0.007085044658</v>
      </c>
      <c r="R10" s="13">
        <f t="shared" si="3"/>
        <v>2.618323543</v>
      </c>
      <c r="S10" s="8"/>
      <c r="T10" s="14">
        <f t="shared" si="4"/>
        <v>9.230261829</v>
      </c>
      <c r="U10" s="14">
        <f t="shared" si="5"/>
        <v>36.86028217</v>
      </c>
      <c r="V10" s="10">
        <f t="shared" si="6"/>
        <v>1.007135601</v>
      </c>
      <c r="W10" s="8">
        <f t="shared" si="7"/>
        <v>1</v>
      </c>
      <c r="X10" s="8">
        <f t="shared" si="8"/>
        <v>5</v>
      </c>
      <c r="Y10" s="15"/>
      <c r="Z10" s="69">
        <f t="shared" si="9"/>
        <v>-0.00264006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-4.30694E-6</v>
      </c>
      <c r="L11" s="11">
        <v>5.8537533500164E-8</v>
      </c>
      <c r="M11" s="10">
        <f t="shared" si="1"/>
        <v>-4.30694</v>
      </c>
      <c r="N11" s="10">
        <v>0.006385278</v>
      </c>
      <c r="O11" s="10">
        <v>-4.287600517</v>
      </c>
      <c r="P11" s="10">
        <v>0.009829592</v>
      </c>
      <c r="Q11" s="12">
        <f t="shared" si="2"/>
        <v>-0.004490307039</v>
      </c>
      <c r="R11" s="13">
        <f t="shared" si="3"/>
        <v>1.649920823</v>
      </c>
      <c r="S11" s="8"/>
      <c r="T11" s="14">
        <f t="shared" si="4"/>
        <v>15.05806076</v>
      </c>
      <c r="U11" s="14">
        <f t="shared" si="5"/>
        <v>60.13311201</v>
      </c>
      <c r="V11" s="10">
        <f t="shared" si="6"/>
        <v>1.004510561</v>
      </c>
      <c r="W11" s="8">
        <f t="shared" si="7"/>
        <v>1</v>
      </c>
      <c r="X11" s="8">
        <f t="shared" si="8"/>
        <v>6</v>
      </c>
      <c r="Y11" s="15"/>
      <c r="Z11" s="69">
        <f t="shared" si="9"/>
        <v>-0.00430694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-6.41503999999999E-6</v>
      </c>
      <c r="L12" s="11">
        <v>8.92638716832223E-8</v>
      </c>
      <c r="M12" s="10">
        <f t="shared" si="1"/>
        <v>-6.41504</v>
      </c>
      <c r="N12" s="10">
        <v>0.009498581</v>
      </c>
      <c r="O12" s="10">
        <v>-6.359276295</v>
      </c>
      <c r="P12" s="10">
        <v>0.014626056</v>
      </c>
      <c r="Q12" s="12">
        <f t="shared" si="2"/>
        <v>-0.008692651176</v>
      </c>
      <c r="R12" s="13">
        <f t="shared" si="3"/>
        <v>3.197507693</v>
      </c>
      <c r="S12" s="8"/>
      <c r="T12" s="14">
        <f t="shared" si="4"/>
        <v>22.4284671</v>
      </c>
      <c r="U12" s="14">
        <f t="shared" si="5"/>
        <v>89.56621612</v>
      </c>
      <c r="V12" s="10">
        <f t="shared" si="6"/>
        <v>1.008768876</v>
      </c>
      <c r="W12" s="8">
        <f t="shared" si="7"/>
        <v>1</v>
      </c>
      <c r="X12" s="8">
        <f t="shared" si="8"/>
        <v>7</v>
      </c>
      <c r="Y12" s="15"/>
      <c r="Z12" s="69">
        <f t="shared" si="9"/>
        <v>-0.00641504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-1.4673829787234E-8</v>
      </c>
      <c r="L13" s="24">
        <v>9.56885748826619E-10</v>
      </c>
      <c r="M13" s="23">
        <f t="shared" si="1"/>
        <v>-0.01467382979</v>
      </c>
      <c r="N13" s="23">
        <v>1.25336E-4</v>
      </c>
      <c r="O13" s="23">
        <v>-0.013766055</v>
      </c>
      <c r="P13" s="23">
        <v>1.27921E-4</v>
      </c>
      <c r="Q13" s="26">
        <f t="shared" si="2"/>
        <v>-0.06186352168</v>
      </c>
      <c r="R13" s="27">
        <f t="shared" si="3"/>
        <v>5.068845269</v>
      </c>
      <c r="S13" s="22"/>
      <c r="T13" s="28">
        <f t="shared" si="4"/>
        <v>0.0513031109</v>
      </c>
      <c r="U13" s="28">
        <f t="shared" ref="U13:U19" si="10">K13/$K$14</f>
        <v>0.0513031109</v>
      </c>
      <c r="V13" s="23">
        <f t="shared" si="6"/>
        <v>1.065942987</v>
      </c>
      <c r="W13" s="22">
        <f t="shared" si="7"/>
        <v>1</v>
      </c>
      <c r="X13" s="22">
        <f t="shared" si="8"/>
        <v>8</v>
      </c>
      <c r="Y13" s="71"/>
      <c r="Z13" s="67">
        <f t="shared" si="9"/>
        <v>-0.00001467382979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-2.86022222222222E-7</v>
      </c>
      <c r="L14" s="31">
        <v>6.40463090678566E-9</v>
      </c>
      <c r="M14" s="30">
        <f t="shared" si="1"/>
        <v>-0.2860222222</v>
      </c>
      <c r="N14" s="30">
        <v>6.07494E-4</v>
      </c>
      <c r="O14" s="30">
        <v>-0.285979986</v>
      </c>
      <c r="P14" s="30">
        <v>6.07494E-4</v>
      </c>
      <c r="Q14" s="32">
        <f t="shared" si="2"/>
        <v>-0.0001476676249</v>
      </c>
      <c r="R14" s="34">
        <f t="shared" si="3"/>
        <v>0.04916183394</v>
      </c>
      <c r="S14" s="29"/>
      <c r="T14" s="35">
        <f t="shared" si="4"/>
        <v>1</v>
      </c>
      <c r="U14" s="35">
        <f t="shared" si="10"/>
        <v>1</v>
      </c>
      <c r="V14" s="30">
        <f t="shared" si="6"/>
        <v>1.000147689</v>
      </c>
      <c r="W14" s="29">
        <f t="shared" si="7"/>
        <v>1</v>
      </c>
      <c r="X14" s="29">
        <f t="shared" si="8"/>
        <v>9</v>
      </c>
      <c r="Y14" s="72"/>
      <c r="Z14" s="68">
        <f t="shared" si="9"/>
        <v>-0.0002860222222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-2.06989E-6</v>
      </c>
      <c r="L15" s="24">
        <v>2.99672868779988E-8</v>
      </c>
      <c r="M15" s="23">
        <f t="shared" si="1"/>
        <v>-2.06989</v>
      </c>
      <c r="N15" s="23">
        <v>0.003051399</v>
      </c>
      <c r="O15" s="23">
        <v>-2.054819107</v>
      </c>
      <c r="P15" s="23">
        <v>0.004573268</v>
      </c>
      <c r="Q15" s="26">
        <f t="shared" si="2"/>
        <v>-0.007281011551</v>
      </c>
      <c r="R15" s="27">
        <f t="shared" si="3"/>
        <v>2.741258359</v>
      </c>
      <c r="S15" s="22"/>
      <c r="T15" s="28">
        <f t="shared" si="4"/>
        <v>7.236815321</v>
      </c>
      <c r="U15" s="28">
        <f t="shared" si="10"/>
        <v>7.236815321</v>
      </c>
      <c r="V15" s="23">
        <f t="shared" si="6"/>
        <v>1.007334414</v>
      </c>
      <c r="W15" s="22">
        <f t="shared" si="7"/>
        <v>1</v>
      </c>
      <c r="X15" s="22">
        <f t="shared" si="8"/>
        <v>10</v>
      </c>
      <c r="Y15" s="71"/>
      <c r="Z15" s="69">
        <f t="shared" si="9"/>
        <v>-0.00206989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-5.49154E-6</v>
      </c>
      <c r="L16" s="24">
        <v>8.67533855188943E-8</v>
      </c>
      <c r="M16" s="23">
        <f t="shared" si="1"/>
        <v>-5.49154</v>
      </c>
      <c r="N16" s="23">
        <v>0.008116984</v>
      </c>
      <c r="O16" s="23">
        <v>-5.457810402</v>
      </c>
      <c r="P16" s="23">
        <v>0.012352432</v>
      </c>
      <c r="Q16" s="26">
        <f t="shared" si="2"/>
        <v>-0.006142101851</v>
      </c>
      <c r="R16" s="27">
        <f t="shared" si="3"/>
        <v>2.282008424</v>
      </c>
      <c r="S16" s="22"/>
      <c r="T16" s="28">
        <f t="shared" si="4"/>
        <v>19.19969699</v>
      </c>
      <c r="U16" s="28">
        <f t="shared" si="10"/>
        <v>19.19969699</v>
      </c>
      <c r="V16" s="23">
        <f t="shared" si="6"/>
        <v>1.00618006</v>
      </c>
      <c r="W16" s="22">
        <f t="shared" si="7"/>
        <v>1</v>
      </c>
      <c r="X16" s="22">
        <f t="shared" si="8"/>
        <v>11</v>
      </c>
      <c r="Y16" s="71"/>
      <c r="Z16" s="69">
        <f t="shared" si="9"/>
        <v>-0.00549154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-1.05719E-5</v>
      </c>
      <c r="L17" s="24">
        <v>1.37896865281794E-7</v>
      </c>
      <c r="M17" s="23">
        <f t="shared" si="1"/>
        <v>-10.5719</v>
      </c>
      <c r="N17" s="23">
        <v>0.01562263</v>
      </c>
      <c r="O17" s="23">
        <v>-10.485420227</v>
      </c>
      <c r="P17" s="23">
        <v>0.023934384</v>
      </c>
      <c r="Q17" s="26">
        <f t="shared" si="2"/>
        <v>-0.008180154277</v>
      </c>
      <c r="R17" s="27">
        <f t="shared" si="3"/>
        <v>3.025689998</v>
      </c>
      <c r="S17" s="22"/>
      <c r="T17" s="28">
        <f t="shared" si="4"/>
        <v>36.96181338</v>
      </c>
      <c r="U17" s="28">
        <f t="shared" si="10"/>
        <v>36.96181338</v>
      </c>
      <c r="V17" s="23">
        <f t="shared" si="6"/>
        <v>1.008247621</v>
      </c>
      <c r="W17" s="22">
        <f t="shared" si="7"/>
        <v>1</v>
      </c>
      <c r="X17" s="22">
        <f t="shared" si="8"/>
        <v>12</v>
      </c>
      <c r="Y17" s="71"/>
      <c r="Z17" s="70">
        <f t="shared" si="9"/>
        <v>-0.0105719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-1.72104999999999E-5</v>
      </c>
      <c r="L18" s="24">
        <v>2.42351172700052E-7</v>
      </c>
      <c r="M18" s="23">
        <f t="shared" si="1"/>
        <v>-17.2105</v>
      </c>
      <c r="N18" s="23">
        <v>0.025549884</v>
      </c>
      <c r="O18" s="23">
        <v>-17.150402069</v>
      </c>
      <c r="P18" s="23">
        <v>0.039318369</v>
      </c>
      <c r="Q18" s="26">
        <f t="shared" si="2"/>
        <v>-0.003491934052</v>
      </c>
      <c r="R18" s="27">
        <f t="shared" si="3"/>
        <v>1.281661974</v>
      </c>
      <c r="S18" s="22"/>
      <c r="T18" s="28">
        <f t="shared" si="4"/>
        <v>60.17189807</v>
      </c>
      <c r="U18" s="28">
        <f t="shared" si="10"/>
        <v>60.17189807</v>
      </c>
      <c r="V18" s="23">
        <f t="shared" si="6"/>
        <v>1.00350417</v>
      </c>
      <c r="W18" s="22">
        <f t="shared" si="7"/>
        <v>1</v>
      </c>
      <c r="X18" s="22">
        <f t="shared" si="8"/>
        <v>13</v>
      </c>
      <c r="Y18" s="71"/>
      <c r="Z18" s="70">
        <f t="shared" si="9"/>
        <v>-0.0172105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-2.55764E-5</v>
      </c>
      <c r="L19" s="24">
        <v>3.74833350175835E-7</v>
      </c>
      <c r="M19" s="23">
        <f t="shared" si="1"/>
        <v>-25.5764</v>
      </c>
      <c r="N19" s="23">
        <v>0.037988375</v>
      </c>
      <c r="O19" s="23">
        <v>-25.437105179</v>
      </c>
      <c r="P19" s="23">
        <v>0.058504223</v>
      </c>
      <c r="Q19" s="26">
        <f t="shared" si="2"/>
        <v>-0.005446224684</v>
      </c>
      <c r="R19" s="27">
        <f t="shared" si="3"/>
        <v>1.99689455</v>
      </c>
      <c r="S19" s="22"/>
      <c r="T19" s="28">
        <f t="shared" si="4"/>
        <v>89.42102401</v>
      </c>
      <c r="U19" s="28">
        <f t="shared" si="10"/>
        <v>89.42102401</v>
      </c>
      <c r="V19" s="23">
        <f t="shared" si="6"/>
        <v>1.005476048</v>
      </c>
      <c r="W19" s="22">
        <f t="shared" si="7"/>
        <v>1</v>
      </c>
      <c r="X19" s="22">
        <f t="shared" si="8"/>
        <v>14</v>
      </c>
      <c r="Y19" s="71"/>
      <c r="Z19" s="70">
        <f t="shared" si="9"/>
        <v>-0.0255764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-3.30221978021978E-8</v>
      </c>
      <c r="L20" s="39">
        <v>2.31895417145929E-9</v>
      </c>
      <c r="M20" s="38">
        <f t="shared" si="1"/>
        <v>-0.0330221978</v>
      </c>
      <c r="N20" s="38">
        <v>2.87234E-4</v>
      </c>
      <c r="O20" s="38">
        <v>-0.030973878</v>
      </c>
      <c r="P20" s="38">
        <v>2.87822E-4</v>
      </c>
      <c r="Q20" s="40">
        <f t="shared" si="2"/>
        <v>-0.06202857285</v>
      </c>
      <c r="R20" s="41">
        <f t="shared" si="3"/>
        <v>5.03735311</v>
      </c>
      <c r="S20" s="37"/>
      <c r="T20" s="42">
        <f t="shared" si="4"/>
        <v>0.1154532594</v>
      </c>
      <c r="U20" s="42">
        <f t="shared" ref="U20:U26" si="11">K20/$K$21</f>
        <v>0.05127801805</v>
      </c>
      <c r="V20" s="38">
        <f t="shared" si="6"/>
        <v>1.066130557</v>
      </c>
      <c r="W20" s="37">
        <f t="shared" si="7"/>
        <v>1</v>
      </c>
      <c r="X20" s="37">
        <f t="shared" si="8"/>
        <v>15</v>
      </c>
      <c r="Y20" s="81"/>
      <c r="Z20" s="67">
        <f t="shared" si="9"/>
        <v>-0.0000330221978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-6.43983505154639E-7</v>
      </c>
      <c r="L21" s="39">
        <v>1.26802149069292E-8</v>
      </c>
      <c r="M21" s="38">
        <f t="shared" si="1"/>
        <v>-0.6439835052</v>
      </c>
      <c r="N21" s="38">
        <v>0.001378402</v>
      </c>
      <c r="O21" s="38">
        <v>-0.643782854</v>
      </c>
      <c r="P21" s="38">
        <v>0.001366861</v>
      </c>
      <c r="Q21" s="40">
        <f t="shared" si="2"/>
        <v>-0.0003115780964</v>
      </c>
      <c r="R21" s="41">
        <f t="shared" si="3"/>
        <v>0.1033638951</v>
      </c>
      <c r="S21" s="37"/>
      <c r="T21" s="42">
        <f t="shared" si="4"/>
        <v>2.251515635</v>
      </c>
      <c r="U21" s="42">
        <f t="shared" si="11"/>
        <v>1</v>
      </c>
      <c r="V21" s="38">
        <f t="shared" si="6"/>
        <v>1.000311675</v>
      </c>
      <c r="W21" s="37">
        <f t="shared" si="7"/>
        <v>1</v>
      </c>
      <c r="X21" s="37">
        <f t="shared" si="8"/>
        <v>16</v>
      </c>
      <c r="Y21" s="81"/>
      <c r="Z21" s="68">
        <f t="shared" si="9"/>
        <v>-0.0006439835052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-4.65109999999999E-6</v>
      </c>
      <c r="L22" s="39">
        <v>6.9378117820558E-8</v>
      </c>
      <c r="M22" s="38">
        <f t="shared" si="1"/>
        <v>-4.6511</v>
      </c>
      <c r="N22" s="38">
        <v>0.006855437</v>
      </c>
      <c r="O22" s="38">
        <v>-4.622552395</v>
      </c>
      <c r="P22" s="38">
        <v>0.010289854</v>
      </c>
      <c r="Q22" s="40">
        <f t="shared" si="2"/>
        <v>-0.006137817936</v>
      </c>
      <c r="R22" s="41">
        <f t="shared" si="3"/>
        <v>2.308856938</v>
      </c>
      <c r="S22" s="37"/>
      <c r="T22" s="42">
        <f t="shared" si="4"/>
        <v>16.26132391</v>
      </c>
      <c r="U22" s="42">
        <f t="shared" si="11"/>
        <v>7.222389957</v>
      </c>
      <c r="V22" s="38">
        <f t="shared" si="6"/>
        <v>1.006175723</v>
      </c>
      <c r="W22" s="37">
        <f t="shared" si="7"/>
        <v>1</v>
      </c>
      <c r="X22" s="37">
        <f t="shared" si="8"/>
        <v>17</v>
      </c>
      <c r="Y22" s="81"/>
      <c r="Z22" s="69">
        <f t="shared" si="9"/>
        <v>-0.0046511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-1.23157E-5</v>
      </c>
      <c r="L23" s="39">
        <v>1.77947075323427E-7</v>
      </c>
      <c r="M23" s="38">
        <f t="shared" si="1"/>
        <v>-12.3157</v>
      </c>
      <c r="N23" s="38">
        <v>0.018228784</v>
      </c>
      <c r="O23" s="38">
        <v>-12.279210091</v>
      </c>
      <c r="P23" s="38">
        <v>0.027792971</v>
      </c>
      <c r="Q23" s="40">
        <f t="shared" si="2"/>
        <v>-0.002962877384</v>
      </c>
      <c r="R23" s="41">
        <f t="shared" si="3"/>
        <v>1.097850421</v>
      </c>
      <c r="S23" s="37"/>
      <c r="T23" s="42">
        <f t="shared" si="4"/>
        <v>43.05854246</v>
      </c>
      <c r="U23" s="42">
        <f t="shared" si="11"/>
        <v>19.1242476</v>
      </c>
      <c r="V23" s="38">
        <f t="shared" si="6"/>
        <v>1.002971682</v>
      </c>
      <c r="W23" s="37">
        <f t="shared" si="7"/>
        <v>1</v>
      </c>
      <c r="X23" s="37">
        <f t="shared" si="8"/>
        <v>18</v>
      </c>
      <c r="Y23" s="81"/>
      <c r="Z23" s="70">
        <f t="shared" si="9"/>
        <v>-0.0123157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-2.36917E-5</v>
      </c>
      <c r="L24" s="39">
        <v>3.97784406863107E-7</v>
      </c>
      <c r="M24" s="38">
        <f t="shared" si="1"/>
        <v>-23.6917</v>
      </c>
      <c r="N24" s="38">
        <v>0.035157404</v>
      </c>
      <c r="O24" s="38">
        <v>-23.593326569</v>
      </c>
      <c r="P24" s="38">
        <v>0.053852364</v>
      </c>
      <c r="Q24" s="40">
        <f t="shared" si="2"/>
        <v>-0.004152231836</v>
      </c>
      <c r="R24" s="41">
        <f t="shared" si="3"/>
        <v>1.529611869</v>
      </c>
      <c r="S24" s="37"/>
      <c r="T24" s="42">
        <f t="shared" si="4"/>
        <v>82.83167586</v>
      </c>
      <c r="U24" s="42">
        <f t="shared" si="11"/>
        <v>36.78929633</v>
      </c>
      <c r="V24" s="38">
        <f t="shared" si="6"/>
        <v>1.004169545</v>
      </c>
      <c r="W24" s="37">
        <f t="shared" si="7"/>
        <v>1</v>
      </c>
      <c r="X24" s="37">
        <f t="shared" si="8"/>
        <v>19</v>
      </c>
      <c r="Y24" s="81"/>
      <c r="Z24" s="70">
        <f t="shared" si="9"/>
        <v>-0.0236917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-3.8838E-5</v>
      </c>
      <c r="L25" s="39">
        <v>6.14097021255722E-7</v>
      </c>
      <c r="M25" s="38">
        <f t="shared" si="1"/>
        <v>-38.838</v>
      </c>
      <c r="N25" s="38">
        <v>0.0578634</v>
      </c>
      <c r="O25" s="38">
        <v>-38.577583313</v>
      </c>
      <c r="P25" s="38">
        <v>0.08846633</v>
      </c>
      <c r="Q25" s="40">
        <f t="shared" si="2"/>
        <v>-0.006705203332</v>
      </c>
      <c r="R25" s="41">
        <f t="shared" si="3"/>
        <v>2.463516341</v>
      </c>
      <c r="S25" s="37"/>
      <c r="T25" s="42">
        <f t="shared" si="4"/>
        <v>135.7866522</v>
      </c>
      <c r="U25" s="42">
        <f t="shared" si="11"/>
        <v>60.30899812</v>
      </c>
      <c r="V25" s="38">
        <f t="shared" si="6"/>
        <v>1.006750467</v>
      </c>
      <c r="W25" s="37">
        <f t="shared" si="7"/>
        <v>1</v>
      </c>
      <c r="X25" s="37">
        <f t="shared" si="8"/>
        <v>20</v>
      </c>
      <c r="Y25" s="81"/>
      <c r="Z25" s="70">
        <f t="shared" si="9"/>
        <v>-0.038838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-5.77019E-5</v>
      </c>
      <c r="L26" s="39">
        <v>8.734278170033E-7</v>
      </c>
      <c r="M26" s="38">
        <f t="shared" si="1"/>
        <v>-57.7019</v>
      </c>
      <c r="N26" s="38">
        <v>0.086277652</v>
      </c>
      <c r="O26" s="38">
        <v>-57.24797821</v>
      </c>
      <c r="P26" s="38">
        <v>0.131634502</v>
      </c>
      <c r="Q26" s="40">
        <f t="shared" si="2"/>
        <v>-0.007866669728</v>
      </c>
      <c r="R26" s="41">
        <f t="shared" si="3"/>
        <v>2.884065334</v>
      </c>
      <c r="S26" s="37"/>
      <c r="T26" s="42">
        <f t="shared" si="4"/>
        <v>201.73922</v>
      </c>
      <c r="U26" s="42">
        <f t="shared" si="11"/>
        <v>89.60151858</v>
      </c>
      <c r="V26" s="38">
        <f t="shared" si="6"/>
        <v>1.007929045</v>
      </c>
      <c r="W26" s="37">
        <f t="shared" si="7"/>
        <v>1</v>
      </c>
      <c r="X26" s="37">
        <f t="shared" si="8"/>
        <v>21</v>
      </c>
      <c r="Y26" s="81"/>
      <c r="Z26" s="70">
        <f t="shared" si="9"/>
        <v>-0.0577019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-5.59324444444444E-8</v>
      </c>
      <c r="L27" s="46">
        <v>4.32954555860888E-9</v>
      </c>
      <c r="M27" s="45">
        <f t="shared" si="1"/>
        <v>-0.05593244444</v>
      </c>
      <c r="N27" s="45">
        <v>5.09208E-4</v>
      </c>
      <c r="O27" s="45">
        <v>-0.05506422</v>
      </c>
      <c r="P27" s="45">
        <v>5.11683E-4</v>
      </c>
      <c r="Q27" s="47">
        <f t="shared" si="2"/>
        <v>-0.01552273377</v>
      </c>
      <c r="R27" s="48">
        <f t="shared" si="3"/>
        <v>1.202725047</v>
      </c>
      <c r="S27" s="44"/>
      <c r="T27" s="49">
        <f t="shared" si="4"/>
        <v>0.1955527931</v>
      </c>
      <c r="U27" s="49">
        <f t="shared" ref="U27:U33" si="12">K27/$K$28</f>
        <v>0.04918505757</v>
      </c>
      <c r="V27" s="45">
        <f t="shared" si="6"/>
        <v>1.015767488</v>
      </c>
      <c r="W27" s="44">
        <f t="shared" si="7"/>
        <v>1</v>
      </c>
      <c r="X27" s="44">
        <f t="shared" si="8"/>
        <v>22</v>
      </c>
      <c r="Y27" s="85"/>
      <c r="Z27" s="67">
        <f t="shared" si="9"/>
        <v>-0.00005593244444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-1.13718367346938E-6</v>
      </c>
      <c r="L28" s="46">
        <v>2.4106442197858E-8</v>
      </c>
      <c r="M28" s="45">
        <f t="shared" si="1"/>
        <v>-1.137183673</v>
      </c>
      <c r="N28" s="45">
        <v>0.002427097</v>
      </c>
      <c r="O28" s="45">
        <v>-1.143919945</v>
      </c>
      <c r="P28" s="45">
        <v>0.002429975</v>
      </c>
      <c r="Q28" s="47">
        <f t="shared" si="2"/>
        <v>0.005923644252</v>
      </c>
      <c r="R28" s="48">
        <f t="shared" si="3"/>
        <v>-1.961371972</v>
      </c>
      <c r="S28" s="44"/>
      <c r="T28" s="49">
        <f t="shared" si="4"/>
        <v>3.975857766</v>
      </c>
      <c r="U28" s="49">
        <f t="shared" si="12"/>
        <v>1</v>
      </c>
      <c r="V28" s="45">
        <f t="shared" si="6"/>
        <v>0.9941112387</v>
      </c>
      <c r="W28" s="44">
        <f t="shared" si="7"/>
        <v>1</v>
      </c>
      <c r="X28" s="44">
        <f t="shared" si="8"/>
        <v>23</v>
      </c>
      <c r="Y28" s="85"/>
      <c r="Z28" s="69">
        <f t="shared" si="9"/>
        <v>-0.001137183673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-8.23833E-6</v>
      </c>
      <c r="L29" s="46">
        <v>1.19818638623613E-7</v>
      </c>
      <c r="M29" s="45">
        <f t="shared" si="1"/>
        <v>-8.23833</v>
      </c>
      <c r="N29" s="45">
        <v>0.012180303</v>
      </c>
      <c r="O29" s="45">
        <v>-8.219276428</v>
      </c>
      <c r="P29" s="45">
        <v>0.018293073</v>
      </c>
      <c r="Q29" s="47">
        <f t="shared" si="2"/>
        <v>-0.002312795433</v>
      </c>
      <c r="R29" s="48">
        <f t="shared" si="3"/>
        <v>0.8669708651</v>
      </c>
      <c r="S29" s="44"/>
      <c r="T29" s="49">
        <f t="shared" si="4"/>
        <v>28.80311165</v>
      </c>
      <c r="U29" s="49">
        <f t="shared" si="12"/>
        <v>7.24450253</v>
      </c>
      <c r="V29" s="45">
        <f t="shared" si="6"/>
        <v>1.002318157</v>
      </c>
      <c r="W29" s="44">
        <f t="shared" si="7"/>
        <v>1</v>
      </c>
      <c r="X29" s="44">
        <f t="shared" si="8"/>
        <v>24</v>
      </c>
      <c r="Y29" s="85"/>
      <c r="Z29" s="69">
        <f t="shared" si="9"/>
        <v>-0.00823833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-2.19448999999999E-5</v>
      </c>
      <c r="L30" s="46">
        <v>3.09996725300396E-7</v>
      </c>
      <c r="M30" s="45">
        <f t="shared" si="1"/>
        <v>-21.9449</v>
      </c>
      <c r="N30" s="45">
        <v>0.032544773</v>
      </c>
      <c r="O30" s="45">
        <v>-21.831241608</v>
      </c>
      <c r="P30" s="45">
        <v>0.049409727</v>
      </c>
      <c r="Q30" s="47">
        <f t="shared" si="2"/>
        <v>-0.005179262243</v>
      </c>
      <c r="R30" s="48">
        <f t="shared" si="3"/>
        <v>1.921044822</v>
      </c>
      <c r="S30" s="44"/>
      <c r="T30" s="49">
        <f t="shared" si="4"/>
        <v>76.72445808</v>
      </c>
      <c r="U30" s="49">
        <f t="shared" si="12"/>
        <v>19.29758623</v>
      </c>
      <c r="V30" s="45">
        <f t="shared" si="6"/>
        <v>1.005206227</v>
      </c>
      <c r="W30" s="44">
        <f t="shared" si="7"/>
        <v>1</v>
      </c>
      <c r="X30" s="44">
        <f t="shared" si="8"/>
        <v>25</v>
      </c>
      <c r="Y30" s="85"/>
      <c r="Z30" s="70">
        <f t="shared" si="9"/>
        <v>-0.0219449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-4.2116E-5</v>
      </c>
      <c r="L31" s="46">
        <v>6.38006681197403E-7</v>
      </c>
      <c r="M31" s="45">
        <f t="shared" si="1"/>
        <v>-42.116</v>
      </c>
      <c r="N31" s="45">
        <v>0.06284576</v>
      </c>
      <c r="O31" s="45">
        <v>-41.941680908</v>
      </c>
      <c r="P31" s="45">
        <v>0.095737536</v>
      </c>
      <c r="Q31" s="47">
        <f t="shared" si="2"/>
        <v>-0.004139022984</v>
      </c>
      <c r="R31" s="48">
        <f t="shared" si="3"/>
        <v>1.522146363</v>
      </c>
      <c r="S31" s="44"/>
      <c r="T31" s="49">
        <f t="shared" si="4"/>
        <v>147.2473001</v>
      </c>
      <c r="U31" s="49">
        <f t="shared" si="12"/>
        <v>37.03535408</v>
      </c>
      <c r="V31" s="45">
        <f t="shared" si="6"/>
        <v>1.004156226</v>
      </c>
      <c r="W31" s="44">
        <f t="shared" si="7"/>
        <v>1</v>
      </c>
      <c r="X31" s="44">
        <f t="shared" si="8"/>
        <v>26</v>
      </c>
      <c r="Y31" s="85"/>
      <c r="Z31" s="70">
        <f t="shared" si="9"/>
        <v>-0.042116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-6.87048E-5</v>
      </c>
      <c r="L32" s="46">
        <v>9.68830889747686E-7</v>
      </c>
      <c r="M32" s="45">
        <f t="shared" si="1"/>
        <v>-68.7048</v>
      </c>
      <c r="N32" s="45">
        <v>0.103439959</v>
      </c>
      <c r="O32" s="45">
        <v>-68.601608276</v>
      </c>
      <c r="P32" s="45">
        <v>0.157273476</v>
      </c>
      <c r="Q32" s="47">
        <f t="shared" si="2"/>
        <v>-0.001501958</v>
      </c>
      <c r="R32" s="48">
        <f t="shared" si="3"/>
        <v>0.5481886642</v>
      </c>
      <c r="S32" s="44"/>
      <c r="T32" s="49">
        <f t="shared" si="4"/>
        <v>240.2079093</v>
      </c>
      <c r="U32" s="49">
        <f t="shared" si="12"/>
        <v>60.41662539</v>
      </c>
      <c r="V32" s="45">
        <f t="shared" si="6"/>
        <v>1.001504217</v>
      </c>
      <c r="W32" s="44">
        <f t="shared" si="7"/>
        <v>1</v>
      </c>
      <c r="X32" s="44">
        <f t="shared" si="8"/>
        <v>27</v>
      </c>
      <c r="Y32" s="85"/>
      <c r="Z32" s="70">
        <f t="shared" si="9"/>
        <v>-0.0687048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-1.01816699999999E-4</v>
      </c>
      <c r="L33" s="46">
        <v>1.43215952993789E-6</v>
      </c>
      <c r="M33" s="45">
        <f t="shared" si="1"/>
        <v>-101.8167</v>
      </c>
      <c r="N33" s="45">
        <v>0.154807629</v>
      </c>
      <c r="O33" s="45">
        <v>-101.748420715</v>
      </c>
      <c r="P33" s="45">
        <v>0.234016893</v>
      </c>
      <c r="Q33" s="47">
        <f t="shared" si="2"/>
        <v>-0.0006706098803</v>
      </c>
      <c r="R33" s="48">
        <f t="shared" si="3"/>
        <v>0.2433440585</v>
      </c>
      <c r="S33" s="44"/>
      <c r="T33" s="49">
        <f t="shared" si="4"/>
        <v>355.9747883</v>
      </c>
      <c r="U33" s="49">
        <f t="shared" si="12"/>
        <v>89.53408528</v>
      </c>
      <c r="V33" s="45">
        <f t="shared" si="6"/>
        <v>1.00067106</v>
      </c>
      <c r="W33" s="44">
        <f t="shared" si="7"/>
        <v>1</v>
      </c>
      <c r="X33" s="44">
        <f t="shared" si="8"/>
        <v>28</v>
      </c>
      <c r="Y33" s="85"/>
      <c r="Z33" s="79">
        <f t="shared" si="9"/>
        <v>-0.1018167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-8.70385227272727E-8</v>
      </c>
      <c r="L34" s="53">
        <v>7.74307633475961E-9</v>
      </c>
      <c r="M34" s="52">
        <f t="shared" si="1"/>
        <v>-0.08703852273</v>
      </c>
      <c r="N34" s="52">
        <v>8.00705E-4</v>
      </c>
      <c r="O34" s="52">
        <v>-0.086037338</v>
      </c>
      <c r="P34" s="52">
        <v>7.99505E-4</v>
      </c>
      <c r="Q34" s="54">
        <f t="shared" si="2"/>
        <v>-0.01150277711</v>
      </c>
      <c r="R34" s="55">
        <f t="shared" si="3"/>
        <v>0.8848142567</v>
      </c>
      <c r="S34" s="51"/>
      <c r="T34" s="56">
        <f t="shared" si="4"/>
        <v>0.3043068544</v>
      </c>
      <c r="U34" s="56">
        <f t="shared" ref="U34:U40" si="13">K34/$K$35</f>
        <v>0.04881661947</v>
      </c>
      <c r="V34" s="52">
        <f t="shared" si="6"/>
        <v>1.011636631</v>
      </c>
      <c r="W34" s="51">
        <f t="shared" si="7"/>
        <v>1</v>
      </c>
      <c r="X34" s="51">
        <f t="shared" si="8"/>
        <v>29</v>
      </c>
      <c r="Y34" s="87"/>
      <c r="Z34" s="67">
        <f t="shared" si="9"/>
        <v>-0.00008703852273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-1.78296907216494E-6</v>
      </c>
      <c r="L35" s="53">
        <v>4.11018687755008E-8</v>
      </c>
      <c r="M35" s="52">
        <f t="shared" si="1"/>
        <v>-1.782969072</v>
      </c>
      <c r="N35" s="52">
        <v>0.00382906</v>
      </c>
      <c r="O35" s="52">
        <v>-1.788797736</v>
      </c>
      <c r="P35" s="52">
        <v>0.003796835</v>
      </c>
      <c r="Q35" s="54">
        <f t="shared" si="2"/>
        <v>0.003269077364</v>
      </c>
      <c r="R35" s="55">
        <f t="shared" si="3"/>
        <v>-1.080909434</v>
      </c>
      <c r="S35" s="51"/>
      <c r="T35" s="56">
        <f t="shared" si="4"/>
        <v>6.233673238</v>
      </c>
      <c r="U35" s="56">
        <f t="shared" si="13"/>
        <v>1</v>
      </c>
      <c r="V35" s="52">
        <f t="shared" si="6"/>
        <v>0.9967415747</v>
      </c>
      <c r="W35" s="51">
        <f t="shared" si="7"/>
        <v>1</v>
      </c>
      <c r="X35" s="51">
        <f t="shared" si="8"/>
        <v>30</v>
      </c>
      <c r="Y35" s="87"/>
      <c r="Z35" s="69">
        <f t="shared" si="9"/>
        <v>-0.001782969072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-1.28825999999999E-5</v>
      </c>
      <c r="L36" s="53">
        <v>2.01156354082785E-7</v>
      </c>
      <c r="M36" s="52">
        <f t="shared" si="1"/>
        <v>-12.8826</v>
      </c>
      <c r="N36" s="52">
        <v>0.019116271</v>
      </c>
      <c r="O36" s="52">
        <v>-12.847145081</v>
      </c>
      <c r="P36" s="52">
        <v>0.028582927</v>
      </c>
      <c r="Q36" s="54">
        <f t="shared" si="2"/>
        <v>-0.002752155543</v>
      </c>
      <c r="R36" s="55">
        <f t="shared" si="3"/>
        <v>1.031077796</v>
      </c>
      <c r="S36" s="51"/>
      <c r="T36" s="56">
        <f t="shared" si="4"/>
        <v>45.04055629</v>
      </c>
      <c r="U36" s="56">
        <f t="shared" si="13"/>
        <v>7.225363693</v>
      </c>
      <c r="V36" s="52">
        <f t="shared" si="6"/>
        <v>1.002759751</v>
      </c>
      <c r="W36" s="51">
        <f t="shared" si="7"/>
        <v>1</v>
      </c>
      <c r="X36" s="51">
        <f t="shared" si="8"/>
        <v>31</v>
      </c>
      <c r="Y36" s="87"/>
      <c r="Z36" s="70">
        <f t="shared" si="9"/>
        <v>-0.0128826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-3.41241E-5</v>
      </c>
      <c r="L37" s="53">
        <v>4.75292775268277E-7</v>
      </c>
      <c r="M37" s="52">
        <f t="shared" si="1"/>
        <v>-34.1241</v>
      </c>
      <c r="N37" s="52">
        <v>0.050933822</v>
      </c>
      <c r="O37" s="52">
        <v>-34.108890533</v>
      </c>
      <c r="P37" s="52">
        <v>0.077202698</v>
      </c>
      <c r="Q37" s="54">
        <f t="shared" si="2"/>
        <v>-0.0004457104217</v>
      </c>
      <c r="R37" s="55">
        <f t="shared" si="3"/>
        <v>0.164443384</v>
      </c>
      <c r="S37" s="51"/>
      <c r="T37" s="56">
        <f t="shared" si="4"/>
        <v>119.3057649</v>
      </c>
      <c r="U37" s="56">
        <f t="shared" si="13"/>
        <v>19.13891863</v>
      </c>
      <c r="V37" s="52">
        <f t="shared" si="6"/>
        <v>1.000445909</v>
      </c>
      <c r="W37" s="51">
        <f t="shared" si="7"/>
        <v>1</v>
      </c>
      <c r="X37" s="51">
        <f t="shared" si="8"/>
        <v>32</v>
      </c>
      <c r="Y37" s="87"/>
      <c r="Z37" s="70">
        <f t="shared" si="9"/>
        <v>-0.0341241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-6.57043E-5</v>
      </c>
      <c r="L38" s="53">
        <v>9.18309002592495E-7</v>
      </c>
      <c r="M38" s="52">
        <f t="shared" si="1"/>
        <v>-65.7043</v>
      </c>
      <c r="N38" s="52">
        <v>0.098997362</v>
      </c>
      <c r="O38" s="52">
        <v>-65.551277161</v>
      </c>
      <c r="P38" s="52">
        <v>0.1495899</v>
      </c>
      <c r="Q38" s="54">
        <f t="shared" si="2"/>
        <v>-0.002328962321</v>
      </c>
      <c r="R38" s="55">
        <f t="shared" si="3"/>
        <v>0.8530594998</v>
      </c>
      <c r="S38" s="51"/>
      <c r="T38" s="56">
        <f t="shared" si="4"/>
        <v>229.7174656</v>
      </c>
      <c r="U38" s="56">
        <f t="shared" si="13"/>
        <v>36.85105986</v>
      </c>
      <c r="V38" s="52">
        <f t="shared" si="6"/>
        <v>1.002334399</v>
      </c>
      <c r="W38" s="51">
        <f t="shared" si="7"/>
        <v>1</v>
      </c>
      <c r="X38" s="51">
        <f t="shared" si="8"/>
        <v>33</v>
      </c>
      <c r="Y38" s="87"/>
      <c r="Z38" s="70">
        <f t="shared" si="9"/>
        <v>-0.0657043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-1.0689E-4</v>
      </c>
      <c r="L39" s="53">
        <v>1.57803739505818E-6</v>
      </c>
      <c r="M39" s="52">
        <f t="shared" si="1"/>
        <v>-106.89</v>
      </c>
      <c r="N39" s="52">
        <v>0.163594463</v>
      </c>
      <c r="O39" s="52">
        <v>-107.230056763</v>
      </c>
      <c r="P39" s="52">
        <v>0.245739806</v>
      </c>
      <c r="Q39" s="54">
        <f t="shared" si="2"/>
        <v>0.003181371157</v>
      </c>
      <c r="R39" s="55">
        <f t="shared" si="3"/>
        <v>-1.15189987</v>
      </c>
      <c r="S39" s="51"/>
      <c r="T39" s="56">
        <f t="shared" si="4"/>
        <v>373.7122213</v>
      </c>
      <c r="U39" s="56">
        <f t="shared" si="13"/>
        <v>59.95056318</v>
      </c>
      <c r="V39" s="52">
        <f t="shared" si="6"/>
        <v>0.9968287179</v>
      </c>
      <c r="W39" s="51">
        <f t="shared" si="7"/>
        <v>1</v>
      </c>
      <c r="X39" s="51">
        <f t="shared" si="8"/>
        <v>34</v>
      </c>
      <c r="Y39" s="87"/>
      <c r="Z39" s="79">
        <f t="shared" si="9"/>
        <v>-0.10689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-1.57689E-4</v>
      </c>
      <c r="L40" s="53">
        <v>2.36540277818182E-6</v>
      </c>
      <c r="M40" s="52">
        <f t="shared" si="1"/>
        <v>-157.689</v>
      </c>
      <c r="N40" s="52">
        <v>0.245144254</v>
      </c>
      <c r="O40" s="52">
        <v>-159.055908203</v>
      </c>
      <c r="P40" s="52">
        <v>0.365651395</v>
      </c>
      <c r="Q40" s="54">
        <f t="shared" si="2"/>
        <v>0.008668380185</v>
      </c>
      <c r="R40" s="55">
        <f t="shared" si="3"/>
        <v>-3.105032994</v>
      </c>
      <c r="S40" s="51"/>
      <c r="T40" s="56">
        <f t="shared" si="4"/>
        <v>551.3173025</v>
      </c>
      <c r="U40" s="56">
        <f t="shared" si="13"/>
        <v>88.44180332</v>
      </c>
      <c r="V40" s="52">
        <f t="shared" si="6"/>
        <v>0.9914061149</v>
      </c>
      <c r="W40" s="51">
        <f t="shared" si="7"/>
        <v>1</v>
      </c>
      <c r="X40" s="51">
        <f t="shared" si="8"/>
        <v>35</v>
      </c>
      <c r="Y40" s="87"/>
      <c r="Z40" s="79">
        <f t="shared" si="9"/>
        <v>-0.157689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-1.19436627906976E-7</v>
      </c>
      <c r="L41" s="60">
        <v>1.12391975441482E-8</v>
      </c>
      <c r="M41" s="59">
        <f t="shared" si="1"/>
        <v>-0.1194366279</v>
      </c>
      <c r="N41" s="59">
        <v>0.001166342</v>
      </c>
      <c r="O41" s="59">
        <v>-0.123895511</v>
      </c>
      <c r="P41" s="59">
        <v>0.001151287</v>
      </c>
      <c r="Q41" s="61">
        <f t="shared" si="2"/>
        <v>0.03733262711</v>
      </c>
      <c r="R41" s="62">
        <f t="shared" si="3"/>
        <v>-2.720746033</v>
      </c>
      <c r="S41" s="58"/>
      <c r="T41" s="63">
        <f t="shared" si="4"/>
        <v>0.4175781412</v>
      </c>
      <c r="U41" s="63">
        <f t="shared" ref="U41:U47" si="14">K41/$K$42</f>
        <v>0.04654584096</v>
      </c>
      <c r="V41" s="59">
        <f t="shared" si="6"/>
        <v>0.9640109391</v>
      </c>
      <c r="W41" s="58">
        <f t="shared" si="7"/>
        <v>1</v>
      </c>
      <c r="X41" s="58">
        <f t="shared" si="8"/>
        <v>36</v>
      </c>
      <c r="Y41" s="89"/>
      <c r="Z41" s="68">
        <f t="shared" si="9"/>
        <v>-0.0001194366279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-2.566E-6</v>
      </c>
      <c r="L42" s="60">
        <v>5.33717843848325E-8</v>
      </c>
      <c r="M42" s="59">
        <f t="shared" si="1"/>
        <v>-2.566</v>
      </c>
      <c r="N42" s="59">
        <v>0.005565127</v>
      </c>
      <c r="O42" s="59">
        <v>-2.575131416</v>
      </c>
      <c r="P42" s="59">
        <v>0.005467443</v>
      </c>
      <c r="Q42" s="61">
        <f t="shared" si="2"/>
        <v>0.003558618862</v>
      </c>
      <c r="R42" s="62">
        <f t="shared" si="3"/>
        <v>-1.170467641</v>
      </c>
      <c r="S42" s="58"/>
      <c r="T42" s="63">
        <f t="shared" si="4"/>
        <v>8.971330899</v>
      </c>
      <c r="U42" s="63">
        <f t="shared" si="14"/>
        <v>1</v>
      </c>
      <c r="V42" s="59">
        <f t="shared" si="6"/>
        <v>0.996454</v>
      </c>
      <c r="W42" s="58">
        <f t="shared" si="7"/>
        <v>1</v>
      </c>
      <c r="X42" s="58">
        <f t="shared" si="8"/>
        <v>37</v>
      </c>
      <c r="Y42" s="89"/>
      <c r="Z42" s="69">
        <f t="shared" si="9"/>
        <v>-0.002566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-1.85016E-5</v>
      </c>
      <c r="L43" s="60">
        <v>2.87299231612004E-7</v>
      </c>
      <c r="M43" s="59">
        <f t="shared" si="1"/>
        <v>-18.5016</v>
      </c>
      <c r="N43" s="59">
        <v>0.027561761</v>
      </c>
      <c r="O43" s="59">
        <v>-18.490209579</v>
      </c>
      <c r="P43" s="59">
        <v>0.041159415</v>
      </c>
      <c r="Q43" s="61">
        <f t="shared" si="2"/>
        <v>-0.0006156451874</v>
      </c>
      <c r="R43" s="62">
        <f t="shared" si="3"/>
        <v>0.2299454323</v>
      </c>
      <c r="S43" s="58"/>
      <c r="T43" s="63">
        <f t="shared" si="4"/>
        <v>64.68588299</v>
      </c>
      <c r="U43" s="63">
        <f t="shared" si="14"/>
        <v>7.210288387</v>
      </c>
      <c r="V43" s="59">
        <f t="shared" si="6"/>
        <v>1.000616024</v>
      </c>
      <c r="W43" s="58">
        <f t="shared" si="7"/>
        <v>1</v>
      </c>
      <c r="X43" s="58">
        <f t="shared" si="8"/>
        <v>38</v>
      </c>
      <c r="Y43" s="89"/>
      <c r="Z43" s="70">
        <f t="shared" si="9"/>
        <v>-0.0185016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-4.90528E-5</v>
      </c>
      <c r="L44" s="60">
        <v>7.83916713778583E-7</v>
      </c>
      <c r="M44" s="59">
        <f t="shared" si="1"/>
        <v>-49.0528</v>
      </c>
      <c r="N44" s="59">
        <v>0.073813071</v>
      </c>
      <c r="O44" s="59">
        <v>-49.116840363</v>
      </c>
      <c r="P44" s="59">
        <v>0.111171885</v>
      </c>
      <c r="Q44" s="61">
        <f t="shared" si="2"/>
        <v>0.001305539398</v>
      </c>
      <c r="R44" s="62">
        <f t="shared" si="3"/>
        <v>-0.4799009479</v>
      </c>
      <c r="S44" s="58"/>
      <c r="T44" s="63">
        <f t="shared" si="4"/>
        <v>171.4999612</v>
      </c>
      <c r="U44" s="63">
        <f t="shared" si="14"/>
        <v>19.11644583</v>
      </c>
      <c r="V44" s="59">
        <f t="shared" si="6"/>
        <v>0.9986961628</v>
      </c>
      <c r="W44" s="58">
        <f t="shared" si="7"/>
        <v>1</v>
      </c>
      <c r="X44" s="58">
        <f t="shared" si="8"/>
        <v>39</v>
      </c>
      <c r="Y44" s="89"/>
      <c r="Z44" s="70">
        <f t="shared" si="9"/>
        <v>-0.0490528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-9.40794E-5</v>
      </c>
      <c r="L45" s="60">
        <v>1.43000234512769E-6</v>
      </c>
      <c r="M45" s="59">
        <f t="shared" si="1"/>
        <v>-94.0794</v>
      </c>
      <c r="N45" s="59">
        <v>0.14358074</v>
      </c>
      <c r="O45" s="59">
        <v>-94.373306274</v>
      </c>
      <c r="P45" s="59">
        <v>0.215409456</v>
      </c>
      <c r="Q45" s="61">
        <f t="shared" si="2"/>
        <v>0.003124023686</v>
      </c>
      <c r="R45" s="62">
        <f t="shared" si="3"/>
        <v>-1.135317831</v>
      </c>
      <c r="S45" s="58"/>
      <c r="T45" s="63">
        <f t="shared" si="4"/>
        <v>328.9233937</v>
      </c>
      <c r="U45" s="63">
        <f t="shared" si="14"/>
        <v>36.66383476</v>
      </c>
      <c r="V45" s="59">
        <f t="shared" si="6"/>
        <v>0.9968857054</v>
      </c>
      <c r="W45" s="58">
        <f t="shared" si="7"/>
        <v>1</v>
      </c>
      <c r="X45" s="58">
        <f t="shared" si="8"/>
        <v>40</v>
      </c>
      <c r="Y45" s="89"/>
      <c r="Z45" s="70">
        <f t="shared" si="9"/>
        <v>-0.0940794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-1.52683999999999E-4</v>
      </c>
      <c r="L46" s="60">
        <v>2.21955132421128E-6</v>
      </c>
      <c r="M46" s="59">
        <f t="shared" si="1"/>
        <v>-152.684</v>
      </c>
      <c r="N46" s="59">
        <v>0.237796414</v>
      </c>
      <c r="O46" s="59">
        <v>-154.310333252</v>
      </c>
      <c r="P46" s="59">
        <v>0.35386532</v>
      </c>
      <c r="Q46" s="61">
        <f t="shared" si="2"/>
        <v>0.01065162854</v>
      </c>
      <c r="R46" s="62">
        <f t="shared" si="3"/>
        <v>-3.814618118</v>
      </c>
      <c r="S46" s="58"/>
      <c r="T46" s="63">
        <f t="shared" si="4"/>
        <v>533.8186621</v>
      </c>
      <c r="U46" s="63">
        <f t="shared" si="14"/>
        <v>59.50272798</v>
      </c>
      <c r="V46" s="59">
        <f t="shared" si="6"/>
        <v>0.9894606329</v>
      </c>
      <c r="W46" s="58">
        <f t="shared" si="7"/>
        <v>1</v>
      </c>
      <c r="X46" s="58">
        <f t="shared" si="8"/>
        <v>41</v>
      </c>
      <c r="Y46" s="89"/>
      <c r="Z46" s="79">
        <f t="shared" si="9"/>
        <v>-0.152684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-2.24349E-4</v>
      </c>
      <c r="L47" s="60">
        <v>3.38372501091547E-6</v>
      </c>
      <c r="M47" s="59">
        <f t="shared" si="1"/>
        <v>-224.349</v>
      </c>
      <c r="N47" s="59">
        <v>0.356131978</v>
      </c>
      <c r="O47" s="59">
        <v>-228.991912842</v>
      </c>
      <c r="P47" s="59">
        <v>0.526538008</v>
      </c>
      <c r="Q47" s="61">
        <f t="shared" si="2"/>
        <v>0.02069504585</v>
      </c>
      <c r="R47" s="62">
        <f t="shared" si="3"/>
        <v>-7.304004177</v>
      </c>
      <c r="S47" s="58"/>
      <c r="T47" s="63">
        <f t="shared" si="4"/>
        <v>784.3761169</v>
      </c>
      <c r="U47" s="63">
        <f t="shared" si="14"/>
        <v>87.43141076</v>
      </c>
      <c r="V47" s="59">
        <f t="shared" si="6"/>
        <v>0.9797245554</v>
      </c>
      <c r="W47" s="58">
        <f t="shared" si="7"/>
        <v>1</v>
      </c>
      <c r="X47" s="58">
        <f t="shared" si="8"/>
        <v>42</v>
      </c>
      <c r="Y47" s="89"/>
      <c r="Z47" s="79">
        <f t="shared" si="9"/>
        <v>-0.224349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-1.95820652173912E-7</v>
      </c>
      <c r="L48" s="96">
        <v>1.82390568608793E-8</v>
      </c>
      <c r="M48" s="95">
        <f t="shared" si="1"/>
        <v>-0.1958206522</v>
      </c>
      <c r="N48" s="95">
        <v>0.001971723</v>
      </c>
      <c r="O48" s="95">
        <v>-0.22025688</v>
      </c>
      <c r="P48" s="95">
        <v>0.002046733</v>
      </c>
      <c r="Q48" s="97">
        <f t="shared" si="2"/>
        <v>0.1247888185</v>
      </c>
      <c r="R48" s="98">
        <f t="shared" si="3"/>
        <v>-8.598333735</v>
      </c>
      <c r="S48" s="94"/>
      <c r="T48" s="99">
        <f t="shared" si="4"/>
        <v>0.6846343989</v>
      </c>
      <c r="U48" s="99">
        <f t="shared" ref="U48:U54" si="15">K48/$K$49</f>
        <v>0.04314783554</v>
      </c>
      <c r="V48" s="95">
        <f t="shared" si="6"/>
        <v>0.8890557797</v>
      </c>
      <c r="W48" s="94">
        <f t="shared" si="7"/>
        <v>0</v>
      </c>
      <c r="X48" s="94">
        <f t="shared" si="8"/>
        <v>43</v>
      </c>
      <c r="Y48" s="100"/>
      <c r="Z48" s="68">
        <f t="shared" si="9"/>
        <v>-0.0001958206522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-4.53836559139785E-6</v>
      </c>
      <c r="L49" s="96">
        <v>9.76407328742596E-8</v>
      </c>
      <c r="M49" s="95">
        <f t="shared" si="1"/>
        <v>-4.538365591</v>
      </c>
      <c r="N49" s="95">
        <v>0.010069437</v>
      </c>
      <c r="O49" s="95">
        <v>-4.575679779</v>
      </c>
      <c r="P49" s="95">
        <v>0.009719899</v>
      </c>
      <c r="Q49" s="97">
        <f t="shared" si="2"/>
        <v>0.008221943969</v>
      </c>
      <c r="R49" s="98">
        <f t="shared" si="3"/>
        <v>-2.666183468</v>
      </c>
      <c r="S49" s="94"/>
      <c r="T49" s="99">
        <f t="shared" si="4"/>
        <v>15.86717828</v>
      </c>
      <c r="U49" s="99">
        <f t="shared" si="15"/>
        <v>1</v>
      </c>
      <c r="V49" s="95">
        <f t="shared" si="6"/>
        <v>0.9918451051</v>
      </c>
      <c r="W49" s="94">
        <f t="shared" si="7"/>
        <v>1</v>
      </c>
      <c r="X49" s="94">
        <f t="shared" si="8"/>
        <v>44</v>
      </c>
      <c r="Y49" s="100"/>
      <c r="Z49" s="69">
        <f t="shared" si="9"/>
        <v>-0.004538365591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-3.27582E-5</v>
      </c>
      <c r="L50" s="96">
        <v>4.91617367841735E-7</v>
      </c>
      <c r="M50" s="95">
        <f t="shared" si="1"/>
        <v>-32.7582</v>
      </c>
      <c r="N50" s="95">
        <v>0.049454327</v>
      </c>
      <c r="O50" s="95">
        <v>-32.877105713</v>
      </c>
      <c r="P50" s="95">
        <v>0.073172293</v>
      </c>
      <c r="Q50" s="97">
        <f t="shared" si="2"/>
        <v>0.003629799958</v>
      </c>
      <c r="R50" s="98">
        <f t="shared" si="3"/>
        <v>-1.346349423</v>
      </c>
      <c r="S50" s="94"/>
      <c r="T50" s="99">
        <f t="shared" si="4"/>
        <v>114.5302618</v>
      </c>
      <c r="U50" s="99">
        <f t="shared" si="15"/>
        <v>7.218061071</v>
      </c>
      <c r="V50" s="95">
        <f t="shared" si="6"/>
        <v>0.9963833278</v>
      </c>
      <c r="W50" s="94">
        <f t="shared" si="7"/>
        <v>1</v>
      </c>
      <c r="X50" s="94">
        <f t="shared" si="8"/>
        <v>45</v>
      </c>
      <c r="Y50" s="100"/>
      <c r="Z50" s="70">
        <f t="shared" si="9"/>
        <v>-0.0327582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-8.67172E-5</v>
      </c>
      <c r="L51" s="96">
        <v>1.29272250492805E-6</v>
      </c>
      <c r="M51" s="95">
        <f t="shared" si="1"/>
        <v>-86.7172</v>
      </c>
      <c r="N51" s="95">
        <v>0.133301786</v>
      </c>
      <c r="O51" s="95">
        <v>-87.32497406</v>
      </c>
      <c r="P51" s="95">
        <v>0.197638907</v>
      </c>
      <c r="Q51" s="97">
        <f t="shared" si="2"/>
        <v>0.007008691009</v>
      </c>
      <c r="R51" s="98">
        <f t="shared" si="3"/>
        <v>-2.549478815</v>
      </c>
      <c r="S51" s="94"/>
      <c r="T51" s="99">
        <f t="shared" si="4"/>
        <v>303.1834356</v>
      </c>
      <c r="U51" s="99">
        <f t="shared" si="15"/>
        <v>19.10758361</v>
      </c>
      <c r="V51" s="95">
        <f t="shared" si="6"/>
        <v>0.9930400889</v>
      </c>
      <c r="W51" s="94">
        <f t="shared" si="7"/>
        <v>1</v>
      </c>
      <c r="X51" s="94">
        <f t="shared" si="8"/>
        <v>46</v>
      </c>
      <c r="Y51" s="100"/>
      <c r="Z51" s="70">
        <f t="shared" si="9"/>
        <v>-0.0867172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-1.64828E-4</v>
      </c>
      <c r="L52" s="96">
        <v>2.40433446974921E-6</v>
      </c>
      <c r="M52" s="95">
        <f t="shared" si="1"/>
        <v>-164.828</v>
      </c>
      <c r="N52" s="95">
        <v>0.259814009</v>
      </c>
      <c r="O52" s="95">
        <v>-167.766723633</v>
      </c>
      <c r="P52" s="95">
        <v>0.382950144</v>
      </c>
      <c r="Q52" s="97">
        <f t="shared" si="2"/>
        <v>0.01782903168</v>
      </c>
      <c r="R52" s="98">
        <f t="shared" si="3"/>
        <v>-6.350318624</v>
      </c>
      <c r="S52" s="94"/>
      <c r="T52" s="99">
        <f t="shared" si="4"/>
        <v>576.2769016</v>
      </c>
      <c r="U52" s="99">
        <f t="shared" si="15"/>
        <v>36.31880171</v>
      </c>
      <c r="V52" s="95">
        <f t="shared" si="6"/>
        <v>0.9824832746</v>
      </c>
      <c r="W52" s="94">
        <f t="shared" si="7"/>
        <v>1</v>
      </c>
      <c r="X52" s="94">
        <f t="shared" si="8"/>
        <v>47</v>
      </c>
      <c r="Y52" s="100"/>
      <c r="Z52" s="79">
        <f t="shared" si="9"/>
        <v>-0.164828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-2.64917E-4</v>
      </c>
      <c r="L53" s="96">
        <v>4.08117271223244E-6</v>
      </c>
      <c r="M53" s="95">
        <f t="shared" si="1"/>
        <v>-264.917</v>
      </c>
      <c r="N53" s="95">
        <v>0.426865911</v>
      </c>
      <c r="O53" s="95">
        <v>-274.406433105</v>
      </c>
      <c r="P53" s="95">
        <v>0.629093903</v>
      </c>
      <c r="Q53" s="97">
        <f t="shared" si="2"/>
        <v>0.03582040075</v>
      </c>
      <c r="R53" s="98">
        <f t="shared" si="3"/>
        <v>-12.48205957</v>
      </c>
      <c r="S53" s="94"/>
      <c r="T53" s="99">
        <f t="shared" si="4"/>
        <v>926.2112501</v>
      </c>
      <c r="U53" s="99">
        <f t="shared" si="15"/>
        <v>58.37277642</v>
      </c>
      <c r="V53" s="95">
        <f t="shared" si="6"/>
        <v>0.9654183286</v>
      </c>
      <c r="W53" s="94">
        <f t="shared" si="7"/>
        <v>1</v>
      </c>
      <c r="X53" s="94">
        <f t="shared" si="8"/>
        <v>48</v>
      </c>
      <c r="Y53" s="100"/>
      <c r="Z53" s="79">
        <f t="shared" si="9"/>
        <v>-0.264917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-3.89027E-4</v>
      </c>
      <c r="L54" s="96">
        <v>5.76006549836497E-6</v>
      </c>
      <c r="M54" s="95">
        <f t="shared" si="1"/>
        <v>-389.027</v>
      </c>
      <c r="N54" s="95">
        <v>0.636749881</v>
      </c>
      <c r="O54" s="95">
        <v>-406.993713379</v>
      </c>
      <c r="P54" s="95">
        <v>0.936067571</v>
      </c>
      <c r="Q54" s="97">
        <f t="shared" si="2"/>
        <v>0.0461837183</v>
      </c>
      <c r="R54" s="98">
        <f t="shared" si="3"/>
        <v>-15.87011367</v>
      </c>
      <c r="S54" s="94"/>
      <c r="T54" s="99">
        <f t="shared" si="4"/>
        <v>1360.128584</v>
      </c>
      <c r="U54" s="99">
        <f t="shared" si="15"/>
        <v>85.71962575</v>
      </c>
      <c r="V54" s="95">
        <f t="shared" si="6"/>
        <v>0.9558550592</v>
      </c>
      <c r="W54" s="94">
        <f t="shared" si="7"/>
        <v>1</v>
      </c>
      <c r="X54" s="94">
        <f t="shared" si="8"/>
        <v>49</v>
      </c>
      <c r="Y54" s="100"/>
      <c r="Z54" s="79">
        <f t="shared" si="9"/>
        <v>-0.389027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-2.67531034482758E-7</v>
      </c>
      <c r="L55" s="103">
        <v>2.69592125615838E-8</v>
      </c>
      <c r="M55" s="102">
        <f t="shared" si="1"/>
        <v>-0.2675310345</v>
      </c>
      <c r="N55" s="102">
        <v>0.003037963</v>
      </c>
      <c r="O55" s="102">
        <v>-0.344149351</v>
      </c>
      <c r="P55" s="102">
        <v>0.00319802</v>
      </c>
      <c r="Q55" s="104">
        <f t="shared" si="2"/>
        <v>0.2863903871</v>
      </c>
      <c r="R55" s="106">
        <f t="shared" si="3"/>
        <v>-17.36999429</v>
      </c>
      <c r="S55" s="101"/>
      <c r="T55" s="108">
        <f t="shared" si="4"/>
        <v>0.9353505207</v>
      </c>
      <c r="U55" s="108">
        <f t="shared" ref="U55:U61" si="16">K55/$K$56</f>
        <v>0.03816349646</v>
      </c>
      <c r="V55" s="102">
        <f t="shared" si="6"/>
        <v>0.7773689932</v>
      </c>
      <c r="W55" s="101">
        <f t="shared" si="7"/>
        <v>0</v>
      </c>
      <c r="X55" s="101">
        <f t="shared" si="8"/>
        <v>50</v>
      </c>
      <c r="Y55" s="110"/>
      <c r="Z55" s="68">
        <f t="shared" si="9"/>
        <v>-0.0002675310345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-7.01012903225806E-6</v>
      </c>
      <c r="L56" s="103">
        <v>1.38664297919585E-7</v>
      </c>
      <c r="M56" s="102">
        <f t="shared" si="1"/>
        <v>-7.010129032</v>
      </c>
      <c r="N56" s="102">
        <v>0.015789034</v>
      </c>
      <c r="O56" s="102">
        <v>-7.155190945</v>
      </c>
      <c r="P56" s="102">
        <v>0.015187342</v>
      </c>
      <c r="Q56" s="104">
        <f t="shared" si="2"/>
        <v>0.02069318725</v>
      </c>
      <c r="R56" s="106">
        <f t="shared" si="3"/>
        <v>-6.621492263</v>
      </c>
      <c r="S56" s="101"/>
      <c r="T56" s="108">
        <f t="shared" si="4"/>
        <v>24.50903632</v>
      </c>
      <c r="U56" s="108">
        <f t="shared" si="16"/>
        <v>1</v>
      </c>
      <c r="V56" s="102">
        <f t="shared" si="6"/>
        <v>0.9797263394</v>
      </c>
      <c r="W56" s="101">
        <f t="shared" si="7"/>
        <v>1</v>
      </c>
      <c r="X56" s="101">
        <f t="shared" si="8"/>
        <v>51</v>
      </c>
      <c r="Y56" s="110"/>
      <c r="Z56" s="69">
        <f t="shared" si="9"/>
        <v>-0.007010129032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-5.05154E-5</v>
      </c>
      <c r="L57" s="103">
        <v>7.96740100584116E-7</v>
      </c>
      <c r="M57" s="102">
        <f t="shared" si="1"/>
        <v>-50.5154</v>
      </c>
      <c r="N57" s="102">
        <v>0.077952541</v>
      </c>
      <c r="O57" s="102">
        <v>-51.388580322</v>
      </c>
      <c r="P57" s="102">
        <v>0.114331708</v>
      </c>
      <c r="Q57" s="104">
        <f t="shared" si="2"/>
        <v>0.01728542825</v>
      </c>
      <c r="R57" s="106">
        <f t="shared" si="3"/>
        <v>-6.310131303</v>
      </c>
      <c r="S57" s="101"/>
      <c r="T57" s="108">
        <f t="shared" si="4"/>
        <v>176.6135498</v>
      </c>
      <c r="U57" s="108">
        <f t="shared" si="16"/>
        <v>7.206058514</v>
      </c>
      <c r="V57" s="102">
        <f t="shared" si="6"/>
        <v>0.9830082809</v>
      </c>
      <c r="W57" s="101">
        <f t="shared" si="7"/>
        <v>1</v>
      </c>
      <c r="X57" s="101">
        <f t="shared" si="8"/>
        <v>52</v>
      </c>
      <c r="Y57" s="110"/>
      <c r="Z57" s="70">
        <f t="shared" si="9"/>
        <v>-0.0505154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-1.33324999999999E-4</v>
      </c>
      <c r="L58" s="103">
        <v>1.80724551836112E-6</v>
      </c>
      <c r="M58" s="102">
        <f t="shared" si="1"/>
        <v>-133.325</v>
      </c>
      <c r="N58" s="102">
        <v>0.21015476</v>
      </c>
      <c r="O58" s="102">
        <v>-136.435562134</v>
      </c>
      <c r="P58" s="102">
        <v>0.308810793</v>
      </c>
      <c r="Q58" s="104">
        <f t="shared" si="2"/>
        <v>0.02333067417</v>
      </c>
      <c r="R58" s="106">
        <f t="shared" si="3"/>
        <v>-8.327342728</v>
      </c>
      <c r="S58" s="101"/>
      <c r="T58" s="108">
        <f t="shared" si="4"/>
        <v>466.1351099</v>
      </c>
      <c r="U58" s="108">
        <f t="shared" si="16"/>
        <v>19.01890812</v>
      </c>
      <c r="V58" s="102">
        <f t="shared" si="6"/>
        <v>0.9772012364</v>
      </c>
      <c r="W58" s="101">
        <f t="shared" si="7"/>
        <v>1</v>
      </c>
      <c r="X58" s="101">
        <f t="shared" si="8"/>
        <v>53</v>
      </c>
      <c r="Y58" s="110"/>
      <c r="Z58" s="79">
        <f t="shared" si="9"/>
        <v>-0.133325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-2.52323E-4</v>
      </c>
      <c r="L59" s="103">
        <v>3.83276293516462E-6</v>
      </c>
      <c r="M59" s="102">
        <f t="shared" si="1"/>
        <v>-252.323</v>
      </c>
      <c r="N59" s="102">
        <v>0.407986482</v>
      </c>
      <c r="O59" s="102">
        <v>-262.205108643</v>
      </c>
      <c r="P59" s="102">
        <v>0.5983596</v>
      </c>
      <c r="Q59" s="104">
        <f t="shared" si="2"/>
        <v>0.03916451787</v>
      </c>
      <c r="R59" s="106">
        <f t="shared" si="3"/>
        <v>-13.64527163</v>
      </c>
      <c r="S59" s="101"/>
      <c r="T59" s="108">
        <f t="shared" si="4"/>
        <v>882.1797063</v>
      </c>
      <c r="U59" s="108">
        <f t="shared" si="16"/>
        <v>35.99405929</v>
      </c>
      <c r="V59" s="102">
        <f t="shared" si="6"/>
        <v>0.9623115328</v>
      </c>
      <c r="W59" s="101">
        <f t="shared" si="7"/>
        <v>1</v>
      </c>
      <c r="X59" s="101">
        <f t="shared" si="8"/>
        <v>54</v>
      </c>
      <c r="Y59" s="110"/>
      <c r="Z59" s="79">
        <f t="shared" si="9"/>
        <v>-0.252323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-4.07534E-4</v>
      </c>
      <c r="L60" s="103">
        <v>6.29917775618695E-6</v>
      </c>
      <c r="M60" s="102">
        <f t="shared" si="1"/>
        <v>-407.534</v>
      </c>
      <c r="N60" s="102">
        <v>0.670472453</v>
      </c>
      <c r="O60" s="102">
        <v>-428.920288086</v>
      </c>
      <c r="P60" s="102">
        <v>0.982959223</v>
      </c>
      <c r="Q60" s="104">
        <f t="shared" si="2"/>
        <v>0.05247731008</v>
      </c>
      <c r="R60" s="106">
        <f t="shared" si="3"/>
        <v>-17.97394186</v>
      </c>
      <c r="S60" s="101"/>
      <c r="T60" s="108">
        <f t="shared" si="4"/>
        <v>1424.833346</v>
      </c>
      <c r="U60" s="108">
        <f t="shared" si="16"/>
        <v>58.13502121</v>
      </c>
      <c r="V60" s="102">
        <f t="shared" si="6"/>
        <v>0.9501392481</v>
      </c>
      <c r="W60" s="101">
        <f t="shared" si="7"/>
        <v>1</v>
      </c>
      <c r="X60" s="101">
        <f t="shared" si="8"/>
        <v>55</v>
      </c>
      <c r="Y60" s="110"/>
      <c r="Z60" s="79">
        <f t="shared" si="9"/>
        <v>-0.407534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-6.00083999999999E-4</v>
      </c>
      <c r="L61" s="103">
        <v>9.61518916227146E-6</v>
      </c>
      <c r="M61" s="102">
        <f t="shared" si="1"/>
        <v>-600.084</v>
      </c>
      <c r="N61" s="102">
        <v>0.995356366</v>
      </c>
      <c r="O61" s="102">
        <v>-636.223632812</v>
      </c>
      <c r="P61" s="102">
        <v>1.462605579</v>
      </c>
      <c r="Q61" s="104">
        <f t="shared" si="2"/>
        <v>0.06022428995</v>
      </c>
      <c r="R61" s="106">
        <f t="shared" si="3"/>
        <v>-20.42749341</v>
      </c>
      <c r="S61" s="101"/>
      <c r="T61" s="108">
        <f t="shared" si="4"/>
        <v>2098.032787</v>
      </c>
      <c r="U61" s="108">
        <f t="shared" si="16"/>
        <v>85.60241862</v>
      </c>
      <c r="V61" s="102">
        <f t="shared" si="6"/>
        <v>0.9431966514</v>
      </c>
      <c r="W61" s="101">
        <f t="shared" si="7"/>
        <v>1</v>
      </c>
      <c r="X61" s="101">
        <f t="shared" si="8"/>
        <v>56</v>
      </c>
      <c r="Y61" s="110"/>
      <c r="Z61" s="79">
        <f t="shared" si="9"/>
        <v>-0.600084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-2.86628865979381E-7</v>
      </c>
      <c r="L62" s="117">
        <v>6.66001687252127E-9</v>
      </c>
      <c r="M62" s="116">
        <f t="shared" si="1"/>
        <v>-0.286628866</v>
      </c>
      <c r="N62" s="116">
        <v>6.13223E-4</v>
      </c>
      <c r="O62" s="116">
        <v>-0.285979986</v>
      </c>
      <c r="P62" s="116">
        <v>6.07494E-4</v>
      </c>
      <c r="Q62" s="118">
        <f t="shared" si="2"/>
        <v>-0.002263833327</v>
      </c>
      <c r="R62" s="119">
        <f t="shared" si="3"/>
        <v>0.7517260441</v>
      </c>
      <c r="T62" s="120">
        <f t="shared" si="4"/>
        <v>1.002120967</v>
      </c>
      <c r="V62" s="1">
        <f t="shared" si="6"/>
        <v>1.00226897</v>
      </c>
      <c r="W62" s="121">
        <f t="shared" si="7"/>
        <v>1</v>
      </c>
      <c r="X62" s="121">
        <f t="shared" si="8"/>
        <v>57</v>
      </c>
      <c r="Z62" s="68">
        <f t="shared" si="9"/>
        <v>-0.000286628866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-2.86628865979381E-7</v>
      </c>
      <c r="L63" s="117">
        <v>6.66001687252127E-9</v>
      </c>
      <c r="M63" s="116">
        <f t="shared" si="1"/>
        <v>-0.286628866</v>
      </c>
      <c r="N63" s="116">
        <v>6.13223E-4</v>
      </c>
      <c r="O63" s="116">
        <v>-0.285979986</v>
      </c>
      <c r="P63" s="116">
        <v>6.07494E-4</v>
      </c>
      <c r="Q63" s="118">
        <f t="shared" si="2"/>
        <v>-0.002263833327</v>
      </c>
      <c r="R63" s="119">
        <f t="shared" si="3"/>
        <v>0.7517260441</v>
      </c>
      <c r="T63" s="120">
        <f t="shared" si="4"/>
        <v>1.002120967</v>
      </c>
      <c r="V63" s="1">
        <f t="shared" si="6"/>
        <v>1.00226897</v>
      </c>
      <c r="W63" s="121">
        <f t="shared" si="7"/>
        <v>1</v>
      </c>
      <c r="X63" s="121">
        <f t="shared" si="8"/>
        <v>58</v>
      </c>
      <c r="Z63" s="68">
        <f t="shared" si="9"/>
        <v>-0.000286628866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-5.12445E-6</v>
      </c>
      <c r="L64" s="117">
        <v>7.52573195205233E-8</v>
      </c>
      <c r="M64" s="116">
        <f t="shared" si="1"/>
        <v>-5.12445</v>
      </c>
      <c r="N64" s="116">
        <v>0.007628461</v>
      </c>
      <c r="O64" s="116">
        <v>-5.10309267</v>
      </c>
      <c r="P64" s="116">
        <v>0.011880517</v>
      </c>
      <c r="Q64" s="118">
        <f t="shared" si="2"/>
        <v>-0.004167731171</v>
      </c>
      <c r="R64" s="119">
        <f t="shared" si="3"/>
        <v>1.512688902</v>
      </c>
      <c r="T64" s="120">
        <f t="shared" si="4"/>
        <v>17.91626525</v>
      </c>
      <c r="V64" s="1">
        <f t="shared" si="6"/>
        <v>1.004185174</v>
      </c>
      <c r="W64" s="121">
        <f t="shared" si="7"/>
        <v>1</v>
      </c>
      <c r="X64" s="121">
        <f t="shared" si="8"/>
        <v>59</v>
      </c>
      <c r="Z64" s="69">
        <f t="shared" si="9"/>
        <v>-0.00512445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-2.85750515463917E-7</v>
      </c>
      <c r="L65" s="117">
        <v>6.30428299702108E-9</v>
      </c>
      <c r="M65" s="116">
        <f t="shared" si="1"/>
        <v>-0.2857505155</v>
      </c>
      <c r="N65" s="116">
        <v>6.11295E-4</v>
      </c>
      <c r="O65" s="116">
        <v>-0.28587237</v>
      </c>
      <c r="P65" s="116">
        <v>6.2054E-4</v>
      </c>
      <c r="Q65" s="118">
        <f t="shared" si="2"/>
        <v>0.0004264368023</v>
      </c>
      <c r="R65" s="119">
        <f t="shared" si="3"/>
        <v>-0.1398916937</v>
      </c>
      <c r="T65" s="120">
        <f t="shared" si="4"/>
        <v>0.9990500502</v>
      </c>
      <c r="V65" s="1">
        <f t="shared" si="6"/>
        <v>0.999573745</v>
      </c>
      <c r="W65" s="121">
        <f t="shared" si="7"/>
        <v>1</v>
      </c>
      <c r="X65" s="121">
        <f t="shared" si="8"/>
        <v>60</v>
      </c>
      <c r="Z65" s="68">
        <f t="shared" si="9"/>
        <v>-0.0002857505155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-2.86145918367347E-7</v>
      </c>
      <c r="L66" s="117">
        <v>5.16337555152159E-9</v>
      </c>
      <c r="M66" s="116">
        <f t="shared" si="1"/>
        <v>-0.2861459184</v>
      </c>
      <c r="N66" s="116">
        <v>6.08826E-4</v>
      </c>
      <c r="O66" s="116">
        <v>-0.285872251</v>
      </c>
      <c r="P66" s="116">
        <v>6.2054E-4</v>
      </c>
      <c r="Q66" s="118">
        <f t="shared" si="2"/>
        <v>-0.0009563909522</v>
      </c>
      <c r="R66" s="119">
        <f t="shared" si="3"/>
        <v>0.3148017224</v>
      </c>
      <c r="T66" s="120">
        <f t="shared" si="4"/>
        <v>1.00043247</v>
      </c>
      <c r="V66" s="1">
        <f t="shared" si="6"/>
        <v>1.000957307</v>
      </c>
      <c r="W66" s="121">
        <f t="shared" si="7"/>
        <v>1</v>
      </c>
      <c r="X66" s="121">
        <f t="shared" si="8"/>
        <v>61</v>
      </c>
      <c r="Z66" s="68">
        <f t="shared" si="9"/>
        <v>-0.0002861459184</v>
      </c>
    </row>
    <row r="67">
      <c r="K67" s="1"/>
      <c r="L67" s="2"/>
      <c r="M67" s="1"/>
      <c r="O67" s="1"/>
      <c r="W67" s="122">
        <f>(SUM(W6:W61)-1)/55</f>
        <v>0.9636363636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51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-2.32766666666666E-9</v>
      </c>
      <c r="L6" s="11">
        <v>1.83438908995156E-10</v>
      </c>
      <c r="M6" s="10">
        <f t="shared" ref="M6:M66" si="1">K6*1000000</f>
        <v>-0.002327666667</v>
      </c>
      <c r="N6" s="10">
        <v>2.0099E-5</v>
      </c>
      <c r="O6" s="10">
        <v>-0.002242951</v>
      </c>
      <c r="P6" s="10">
        <v>2.0593E-5</v>
      </c>
      <c r="Q6" s="12">
        <f t="shared" ref="Q6:Q66" si="2">(O6-M6)/M6</f>
        <v>-0.03639510239</v>
      </c>
      <c r="R6" s="13">
        <f t="shared" ref="R6:R66" si="3">(O6-M6)/sqrt(N6*N6+P6*P6)</f>
        <v>2.943999245</v>
      </c>
      <c r="S6" s="8"/>
      <c r="T6" s="14">
        <f t="shared" ref="T6:T66" si="4">K6/$K$14</f>
        <v>0.0127116223</v>
      </c>
      <c r="U6" s="14">
        <f t="shared" ref="U6:U12" si="5">K6/$K$7</f>
        <v>0.05062008933</v>
      </c>
      <c r="V6" s="10">
        <f t="shared" ref="V6:V66" si="6">M6/O6</f>
        <v>1.037769736</v>
      </c>
      <c r="W6" s="8">
        <f t="shared" ref="W6:W66" si="7">IF(abs(1/V6-1)&lt;$W$5, 1, 0)</f>
        <v>1</v>
      </c>
      <c r="X6" s="8">
        <f t="shared" ref="X6:X66" si="8">B6</f>
        <v>1</v>
      </c>
      <c r="Y6" s="15"/>
      <c r="Z6" s="66">
        <f t="shared" ref="Z6:Z66" si="9">M6*0.001</f>
        <v>-0.000002327666667</v>
      </c>
      <c r="AA6" s="15"/>
      <c r="AB6" s="15"/>
      <c r="AC6" s="15"/>
      <c r="AD6" s="15"/>
      <c r="AE6" s="15"/>
      <c r="AF6" s="15"/>
      <c r="AG6" s="15"/>
      <c r="AH6" s="15"/>
      <c r="AI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-4.59830612244897E-8</v>
      </c>
      <c r="L7" s="11">
        <v>1.05227824332139E-9</v>
      </c>
      <c r="M7" s="10">
        <f t="shared" si="1"/>
        <v>-0.04598306122</v>
      </c>
      <c r="N7" s="10">
        <v>9.7756E-5</v>
      </c>
      <c r="O7" s="10">
        <v>-0.045806397</v>
      </c>
      <c r="P7" s="10">
        <v>9.7448E-5</v>
      </c>
      <c r="Q7" s="12">
        <f t="shared" si="2"/>
        <v>-0.003841941354</v>
      </c>
      <c r="R7" s="13">
        <f t="shared" si="3"/>
        <v>1.279895039</v>
      </c>
      <c r="S7" s="8"/>
      <c r="T7" s="14">
        <f t="shared" si="4"/>
        <v>0.2511181325</v>
      </c>
      <c r="U7" s="14">
        <f t="shared" si="5"/>
        <v>1</v>
      </c>
      <c r="V7" s="10">
        <f t="shared" si="6"/>
        <v>1.003856759</v>
      </c>
      <c r="W7" s="8">
        <f t="shared" si="7"/>
        <v>1</v>
      </c>
      <c r="X7" s="8">
        <f t="shared" si="8"/>
        <v>2</v>
      </c>
      <c r="Y7" s="15"/>
      <c r="Z7" s="67">
        <f t="shared" si="9"/>
        <v>-0.00004598306122</v>
      </c>
      <c r="AA7" s="15"/>
      <c r="AB7" s="15"/>
      <c r="AC7" s="15"/>
      <c r="AD7" s="15"/>
      <c r="AE7" s="15"/>
      <c r="AF7" s="15"/>
      <c r="AG7" s="15"/>
      <c r="AH7" s="15"/>
      <c r="AI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-3.30899E-7</v>
      </c>
      <c r="L8" s="11">
        <v>5.45709611238413E-9</v>
      </c>
      <c r="M8" s="10">
        <f t="shared" si="1"/>
        <v>-0.330899</v>
      </c>
      <c r="N8" s="10">
        <v>4.87716E-4</v>
      </c>
      <c r="O8" s="10">
        <v>-0.328578174</v>
      </c>
      <c r="P8" s="10">
        <v>7.33168E-4</v>
      </c>
      <c r="Q8" s="12">
        <f t="shared" si="2"/>
        <v>-0.007013699044</v>
      </c>
      <c r="R8" s="13">
        <f t="shared" si="3"/>
        <v>2.635597356</v>
      </c>
      <c r="S8" s="8"/>
      <c r="T8" s="14">
        <f t="shared" si="4"/>
        <v>1.807072794</v>
      </c>
      <c r="U8" s="14">
        <f t="shared" si="5"/>
        <v>7.196106375</v>
      </c>
      <c r="V8" s="10">
        <f t="shared" si="6"/>
        <v>1.007063238</v>
      </c>
      <c r="W8" s="8">
        <f t="shared" si="7"/>
        <v>1</v>
      </c>
      <c r="X8" s="8">
        <f t="shared" si="8"/>
        <v>3</v>
      </c>
      <c r="Y8" s="15"/>
      <c r="Z8" s="68">
        <f t="shared" si="9"/>
        <v>-0.000330899</v>
      </c>
      <c r="AA8" s="15"/>
      <c r="AB8" s="15"/>
      <c r="AC8" s="15"/>
      <c r="AD8" s="15"/>
      <c r="AE8" s="15"/>
      <c r="AF8" s="15"/>
      <c r="AG8" s="15"/>
      <c r="AH8" s="15"/>
      <c r="AI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-8.80739999999999E-7</v>
      </c>
      <c r="L9" s="11">
        <v>1.12430899092318E-8</v>
      </c>
      <c r="M9" s="10">
        <f t="shared" si="1"/>
        <v>-0.88074</v>
      </c>
      <c r="N9" s="10">
        <v>0.001301007</v>
      </c>
      <c r="O9" s="10">
        <v>-0.871909022</v>
      </c>
      <c r="P9" s="10">
        <v>0.001980092</v>
      </c>
      <c r="Q9" s="12">
        <f t="shared" si="2"/>
        <v>-0.01002677067</v>
      </c>
      <c r="R9" s="13">
        <f t="shared" si="3"/>
        <v>3.72731798</v>
      </c>
      <c r="S9" s="8"/>
      <c r="T9" s="14">
        <f t="shared" si="4"/>
        <v>4.80980992</v>
      </c>
      <c r="U9" s="14">
        <f t="shared" si="5"/>
        <v>19.15357474</v>
      </c>
      <c r="V9" s="10">
        <f t="shared" si="6"/>
        <v>1.010128325</v>
      </c>
      <c r="W9" s="8">
        <f t="shared" si="7"/>
        <v>1</v>
      </c>
      <c r="X9" s="8">
        <f t="shared" si="8"/>
        <v>4</v>
      </c>
      <c r="Y9" s="15"/>
      <c r="Z9" s="68">
        <f t="shared" si="9"/>
        <v>-0.00088074</v>
      </c>
      <c r="AA9" s="15"/>
      <c r="AB9" s="15"/>
      <c r="AC9" s="15"/>
      <c r="AD9" s="15"/>
      <c r="AE9" s="15"/>
      <c r="AF9" s="15"/>
      <c r="AG9" s="15"/>
      <c r="AH9" s="15"/>
      <c r="AI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-1.69138E-6</v>
      </c>
      <c r="L10" s="11">
        <v>2.74556685836228E-8</v>
      </c>
      <c r="M10" s="10">
        <f t="shared" si="1"/>
        <v>-1.69138</v>
      </c>
      <c r="N10" s="10">
        <v>0.002505304</v>
      </c>
      <c r="O10" s="10">
        <v>-1.676568627</v>
      </c>
      <c r="P10" s="10">
        <v>0.003836506</v>
      </c>
      <c r="Q10" s="12">
        <f t="shared" si="2"/>
        <v>-0.008756975369</v>
      </c>
      <c r="R10" s="13">
        <f t="shared" si="3"/>
        <v>3.232466283</v>
      </c>
      <c r="S10" s="8"/>
      <c r="T10" s="14">
        <f t="shared" si="4"/>
        <v>9.236796674</v>
      </c>
      <c r="U10" s="14">
        <f t="shared" si="5"/>
        <v>36.78267508</v>
      </c>
      <c r="V10" s="10">
        <f t="shared" si="6"/>
        <v>1.008834337</v>
      </c>
      <c r="W10" s="8">
        <f t="shared" si="7"/>
        <v>1</v>
      </c>
      <c r="X10" s="8">
        <f t="shared" si="8"/>
        <v>5</v>
      </c>
      <c r="Y10" s="15"/>
      <c r="Z10" s="69">
        <f t="shared" si="9"/>
        <v>-0.00169138</v>
      </c>
      <c r="AA10" s="15"/>
      <c r="AB10" s="15"/>
      <c r="AC10" s="15"/>
      <c r="AD10" s="15"/>
      <c r="AE10" s="15"/>
      <c r="AF10" s="15"/>
      <c r="AG10" s="15"/>
      <c r="AH10" s="15"/>
      <c r="AI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-2.76651999999999E-6</v>
      </c>
      <c r="L11" s="11">
        <v>4.5971330547671E-8</v>
      </c>
      <c r="M11" s="10">
        <f t="shared" si="1"/>
        <v>-2.76652</v>
      </c>
      <c r="N11" s="10">
        <v>0.004101901</v>
      </c>
      <c r="O11" s="10">
        <v>-2.741837978</v>
      </c>
      <c r="P11" s="10">
        <v>0.006302287</v>
      </c>
      <c r="Q11" s="12">
        <f t="shared" si="2"/>
        <v>-0.008921685728</v>
      </c>
      <c r="R11" s="13">
        <f t="shared" si="3"/>
        <v>3.282357526</v>
      </c>
      <c r="S11" s="8"/>
      <c r="T11" s="14">
        <f t="shared" si="4"/>
        <v>15.10824459</v>
      </c>
      <c r="U11" s="14">
        <f t="shared" si="5"/>
        <v>60.16389354</v>
      </c>
      <c r="V11" s="10">
        <f t="shared" si="6"/>
        <v>1.009001999</v>
      </c>
      <c r="W11" s="8">
        <f t="shared" si="7"/>
        <v>1</v>
      </c>
      <c r="X11" s="8">
        <f t="shared" si="8"/>
        <v>6</v>
      </c>
      <c r="Y11" s="15"/>
      <c r="Z11" s="69">
        <f t="shared" si="9"/>
        <v>-0.00276652</v>
      </c>
      <c r="AA11" s="15"/>
      <c r="AB11" s="15"/>
      <c r="AC11" s="15"/>
      <c r="AD11" s="15"/>
      <c r="AE11" s="15"/>
      <c r="AF11" s="15"/>
      <c r="AG11" s="15"/>
      <c r="AH11" s="15"/>
      <c r="AI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-4.09938999999999E-6</v>
      </c>
      <c r="L12" s="11">
        <v>6.92432245162957E-8</v>
      </c>
      <c r="M12" s="10">
        <f t="shared" si="1"/>
        <v>-4.09939</v>
      </c>
      <c r="N12" s="10">
        <v>0.006079733</v>
      </c>
      <c r="O12" s="10">
        <v>-4.068394184</v>
      </c>
      <c r="P12" s="10">
        <v>0.009377409</v>
      </c>
      <c r="Q12" s="12">
        <f t="shared" si="2"/>
        <v>-0.007561080063</v>
      </c>
      <c r="R12" s="13">
        <f t="shared" si="3"/>
        <v>2.773471295</v>
      </c>
      <c r="S12" s="8"/>
      <c r="T12" s="14">
        <f t="shared" si="4"/>
        <v>22.38718202</v>
      </c>
      <c r="U12" s="14">
        <f t="shared" si="5"/>
        <v>89.150002</v>
      </c>
      <c r="V12" s="10">
        <f t="shared" si="6"/>
        <v>1.007618686</v>
      </c>
      <c r="W12" s="8">
        <f t="shared" si="7"/>
        <v>1</v>
      </c>
      <c r="X12" s="8">
        <f t="shared" si="8"/>
        <v>7</v>
      </c>
      <c r="Y12" s="15"/>
      <c r="Z12" s="69">
        <f t="shared" si="9"/>
        <v>-0.00409939</v>
      </c>
      <c r="AA12" s="15"/>
      <c r="AB12" s="15"/>
      <c r="AC12" s="15"/>
      <c r="AD12" s="15"/>
      <c r="AE12" s="15"/>
      <c r="AF12" s="15"/>
      <c r="AG12" s="15"/>
      <c r="AH12" s="15"/>
      <c r="AI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-9.27063440860215E-9</v>
      </c>
      <c r="L13" s="24">
        <v>6.62095796052961E-10</v>
      </c>
      <c r="M13" s="23">
        <f t="shared" si="1"/>
        <v>-0.009270634409</v>
      </c>
      <c r="N13" s="23">
        <v>8.0672E-5</v>
      </c>
      <c r="O13" s="23">
        <v>-0.008971805</v>
      </c>
      <c r="P13" s="23">
        <v>8.2371E-5</v>
      </c>
      <c r="Q13" s="26">
        <f t="shared" si="2"/>
        <v>-0.03223397617</v>
      </c>
      <c r="R13" s="27">
        <f t="shared" si="3"/>
        <v>2.591866313</v>
      </c>
      <c r="S13" s="22"/>
      <c r="T13" s="28">
        <f t="shared" si="4"/>
        <v>0.050627869</v>
      </c>
      <c r="U13" s="28">
        <f t="shared" ref="U13:U19" si="10">K13/$K$14</f>
        <v>0.050627869</v>
      </c>
      <c r="V13" s="23">
        <f t="shared" si="6"/>
        <v>1.033307613</v>
      </c>
      <c r="W13" s="22">
        <f t="shared" si="7"/>
        <v>1</v>
      </c>
      <c r="X13" s="22">
        <f t="shared" si="8"/>
        <v>8</v>
      </c>
      <c r="Y13" s="71"/>
      <c r="Z13" s="66">
        <f t="shared" si="9"/>
        <v>-0.000009270634409</v>
      </c>
      <c r="AA13" s="71"/>
      <c r="AB13" s="71"/>
      <c r="AC13" s="71"/>
      <c r="AD13" s="71"/>
      <c r="AE13" s="71"/>
      <c r="AF13" s="71"/>
      <c r="AG13" s="71"/>
      <c r="AH13" s="71"/>
      <c r="AI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-1.83113265306122E-7</v>
      </c>
      <c r="L14" s="31">
        <v>4.23248696736174E-9</v>
      </c>
      <c r="M14" s="30">
        <f t="shared" si="1"/>
        <v>-0.1831132653</v>
      </c>
      <c r="N14" s="30">
        <v>3.89791E-4</v>
      </c>
      <c r="O14" s="30">
        <v>-0.183225587</v>
      </c>
      <c r="P14" s="30">
        <v>3.89791E-4</v>
      </c>
      <c r="Q14" s="32">
        <f t="shared" si="2"/>
        <v>0.0006134000925</v>
      </c>
      <c r="R14" s="34">
        <f t="shared" si="3"/>
        <v>-0.2037590181</v>
      </c>
      <c r="S14" s="29"/>
      <c r="T14" s="35">
        <f t="shared" si="4"/>
        <v>1</v>
      </c>
      <c r="U14" s="35">
        <f t="shared" si="10"/>
        <v>1</v>
      </c>
      <c r="V14" s="30">
        <f t="shared" si="6"/>
        <v>0.9993869759</v>
      </c>
      <c r="W14" s="29">
        <f t="shared" si="7"/>
        <v>1</v>
      </c>
      <c r="X14" s="29">
        <f t="shared" si="8"/>
        <v>9</v>
      </c>
      <c r="Y14" s="72"/>
      <c r="Z14" s="68">
        <f t="shared" si="9"/>
        <v>-0.0001831132653</v>
      </c>
      <c r="AA14" s="72"/>
      <c r="AB14" s="72"/>
      <c r="AC14" s="72"/>
      <c r="AD14" s="72"/>
      <c r="AE14" s="72"/>
      <c r="AF14" s="72"/>
      <c r="AG14" s="72"/>
      <c r="AH14" s="72"/>
      <c r="AI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-1.32739E-6</v>
      </c>
      <c r="L15" s="24">
        <v>1.74621640044174E-8</v>
      </c>
      <c r="M15" s="23">
        <f t="shared" si="1"/>
        <v>-1.32739</v>
      </c>
      <c r="N15" s="23">
        <v>0.001955577</v>
      </c>
      <c r="O15" s="23">
        <v>-1.314312577</v>
      </c>
      <c r="P15" s="23">
        <v>0.002932671</v>
      </c>
      <c r="Q15" s="26">
        <f t="shared" si="2"/>
        <v>-0.009851982462</v>
      </c>
      <c r="R15" s="27">
        <f t="shared" si="3"/>
        <v>3.710024339</v>
      </c>
      <c r="S15" s="22"/>
      <c r="T15" s="28">
        <f t="shared" si="4"/>
        <v>7.249010593</v>
      </c>
      <c r="U15" s="28">
        <f t="shared" si="10"/>
        <v>7.249010593</v>
      </c>
      <c r="V15" s="23">
        <f t="shared" si="6"/>
        <v>1.00995001</v>
      </c>
      <c r="W15" s="22">
        <f t="shared" si="7"/>
        <v>1</v>
      </c>
      <c r="X15" s="22">
        <f t="shared" si="8"/>
        <v>10</v>
      </c>
      <c r="Y15" s="71"/>
      <c r="Z15" s="69">
        <f t="shared" si="9"/>
        <v>-0.00132739</v>
      </c>
      <c r="AA15" s="71"/>
      <c r="AB15" s="71"/>
      <c r="AC15" s="71"/>
      <c r="AD15" s="71"/>
      <c r="AE15" s="71"/>
      <c r="AF15" s="71"/>
      <c r="AG15" s="71"/>
      <c r="AH15" s="71"/>
      <c r="AI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-3.51796E-6</v>
      </c>
      <c r="L16" s="24">
        <v>5.83304622670078E-8</v>
      </c>
      <c r="M16" s="23">
        <f t="shared" si="1"/>
        <v>-3.51796</v>
      </c>
      <c r="N16" s="23">
        <v>0.005198553</v>
      </c>
      <c r="O16" s="23">
        <v>-3.487636089</v>
      </c>
      <c r="P16" s="23">
        <v>0.007920368</v>
      </c>
      <c r="Q16" s="26">
        <f t="shared" si="2"/>
        <v>-0.008619742976</v>
      </c>
      <c r="R16" s="27">
        <f t="shared" si="3"/>
        <v>3.200741549</v>
      </c>
      <c r="S16" s="22"/>
      <c r="T16" s="28">
        <f t="shared" si="4"/>
        <v>19.21193418</v>
      </c>
      <c r="U16" s="28">
        <f t="shared" si="10"/>
        <v>19.21193418</v>
      </c>
      <c r="V16" s="23">
        <f t="shared" si="6"/>
        <v>1.008694689</v>
      </c>
      <c r="W16" s="22">
        <f t="shared" si="7"/>
        <v>1</v>
      </c>
      <c r="X16" s="22">
        <f t="shared" si="8"/>
        <v>11</v>
      </c>
      <c r="Y16" s="71"/>
      <c r="Z16" s="69">
        <f t="shared" si="9"/>
        <v>-0.00351796</v>
      </c>
      <c r="AA16" s="71"/>
      <c r="AB16" s="71"/>
      <c r="AC16" s="71"/>
      <c r="AD16" s="71"/>
      <c r="AE16" s="71"/>
      <c r="AF16" s="71"/>
      <c r="AG16" s="71"/>
      <c r="AH16" s="71"/>
      <c r="AI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-6.76196E-6</v>
      </c>
      <c r="L17" s="24">
        <v>9.41934308975016E-8</v>
      </c>
      <c r="M17" s="23">
        <f t="shared" si="1"/>
        <v>-6.76196</v>
      </c>
      <c r="N17" s="23">
        <v>0.010013428</v>
      </c>
      <c r="O17" s="23">
        <v>-6.706274509</v>
      </c>
      <c r="P17" s="23">
        <v>0.015346025</v>
      </c>
      <c r="Q17" s="26">
        <f t="shared" si="2"/>
        <v>-0.008235110974</v>
      </c>
      <c r="R17" s="27">
        <f t="shared" si="3"/>
        <v>3.038936393</v>
      </c>
      <c r="S17" s="22"/>
      <c r="T17" s="28">
        <f t="shared" si="4"/>
        <v>36.92774518</v>
      </c>
      <c r="U17" s="28">
        <f t="shared" si="10"/>
        <v>36.92774518</v>
      </c>
      <c r="V17" s="23">
        <f t="shared" si="6"/>
        <v>1.008303491</v>
      </c>
      <c r="W17" s="22">
        <f t="shared" si="7"/>
        <v>1</v>
      </c>
      <c r="X17" s="22">
        <f t="shared" si="8"/>
        <v>12</v>
      </c>
      <c r="Y17" s="71"/>
      <c r="Z17" s="69">
        <f t="shared" si="9"/>
        <v>-0.00676196</v>
      </c>
      <c r="AA17" s="71"/>
      <c r="AB17" s="71"/>
      <c r="AC17" s="71"/>
      <c r="AD17" s="71"/>
      <c r="AE17" s="71"/>
      <c r="AF17" s="71"/>
      <c r="AG17" s="71"/>
      <c r="AH17" s="71"/>
      <c r="AI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-1.10444E-5</v>
      </c>
      <c r="L18" s="24">
        <v>1.77907705047171E-7</v>
      </c>
      <c r="M18" s="23">
        <f t="shared" si="1"/>
        <v>-11.0444</v>
      </c>
      <c r="N18" s="23">
        <v>0.016388498</v>
      </c>
      <c r="O18" s="23">
        <v>-10.967351913</v>
      </c>
      <c r="P18" s="23">
        <v>0.02520915</v>
      </c>
      <c r="Q18" s="26">
        <f t="shared" si="2"/>
        <v>-0.006976213013</v>
      </c>
      <c r="R18" s="27">
        <f t="shared" si="3"/>
        <v>2.562462049</v>
      </c>
      <c r="S18" s="22"/>
      <c r="T18" s="28">
        <f t="shared" si="4"/>
        <v>60.3145817</v>
      </c>
      <c r="U18" s="28">
        <f t="shared" si="10"/>
        <v>60.3145817</v>
      </c>
      <c r="V18" s="23">
        <f t="shared" si="6"/>
        <v>1.007025222</v>
      </c>
      <c r="W18" s="22">
        <f t="shared" si="7"/>
        <v>1</v>
      </c>
      <c r="X18" s="22">
        <f t="shared" si="8"/>
        <v>13</v>
      </c>
      <c r="Y18" s="71"/>
      <c r="Z18" s="70">
        <f t="shared" si="9"/>
        <v>-0.0110444</v>
      </c>
      <c r="AA18" s="71"/>
      <c r="AB18" s="71"/>
      <c r="AC18" s="71"/>
      <c r="AD18" s="71"/>
      <c r="AE18" s="71"/>
      <c r="AF18" s="71"/>
      <c r="AG18" s="71"/>
      <c r="AH18" s="71"/>
      <c r="AI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-1.63977E-5</v>
      </c>
      <c r="L19" s="24">
        <v>2.56211146352284E-7</v>
      </c>
      <c r="M19" s="23">
        <f t="shared" si="1"/>
        <v>-16.3977</v>
      </c>
      <c r="N19" s="23">
        <v>0.024362897</v>
      </c>
      <c r="O19" s="23">
        <v>-16.273576736</v>
      </c>
      <c r="P19" s="23">
        <v>0.037509637</v>
      </c>
      <c r="Q19" s="26">
        <f t="shared" si="2"/>
        <v>-0.007569553291</v>
      </c>
      <c r="R19" s="27">
        <f t="shared" si="3"/>
        <v>2.775117307</v>
      </c>
      <c r="S19" s="22"/>
      <c r="T19" s="28">
        <f t="shared" si="4"/>
        <v>89.54949262</v>
      </c>
      <c r="U19" s="28">
        <f t="shared" si="10"/>
        <v>89.54949262</v>
      </c>
      <c r="V19" s="23">
        <f t="shared" si="6"/>
        <v>1.007627288</v>
      </c>
      <c r="W19" s="22">
        <f t="shared" si="7"/>
        <v>1</v>
      </c>
      <c r="X19" s="22">
        <f t="shared" si="8"/>
        <v>14</v>
      </c>
      <c r="Y19" s="71"/>
      <c r="Z19" s="70">
        <f t="shared" si="9"/>
        <v>-0.0163977</v>
      </c>
      <c r="AA19" s="71"/>
      <c r="AB19" s="71"/>
      <c r="AC19" s="71"/>
      <c r="AD19" s="71"/>
      <c r="AE19" s="71"/>
      <c r="AF19" s="71"/>
      <c r="AG19" s="71"/>
      <c r="AH19" s="71"/>
      <c r="AI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-2.08318279569892E-8</v>
      </c>
      <c r="L20" s="39">
        <v>1.61789580617686E-9</v>
      </c>
      <c r="M20" s="38">
        <f t="shared" si="1"/>
        <v>-0.02083182796</v>
      </c>
      <c r="N20" s="38">
        <v>1.8083E-4</v>
      </c>
      <c r="O20" s="38">
        <v>-0.020186832</v>
      </c>
      <c r="P20" s="38">
        <v>1.85335E-4</v>
      </c>
      <c r="Q20" s="40">
        <f t="shared" si="2"/>
        <v>-0.03096204319</v>
      </c>
      <c r="R20" s="41">
        <f t="shared" si="3"/>
        <v>2.490934419</v>
      </c>
      <c r="S20" s="37"/>
      <c r="T20" s="42">
        <f t="shared" si="4"/>
        <v>0.1137647124</v>
      </c>
      <c r="U20" s="42">
        <f t="shared" ref="U20:U26" si="11">K20/$K$21</f>
        <v>0.05036967216</v>
      </c>
      <c r="V20" s="38">
        <f t="shared" si="6"/>
        <v>1.031951321</v>
      </c>
      <c r="W20" s="37">
        <f t="shared" si="7"/>
        <v>1</v>
      </c>
      <c r="X20" s="37">
        <f t="shared" si="8"/>
        <v>15</v>
      </c>
      <c r="Y20" s="81"/>
      <c r="Z20" s="67">
        <f t="shared" si="9"/>
        <v>-0.00002083182796</v>
      </c>
      <c r="AA20" s="81"/>
      <c r="AB20" s="81"/>
      <c r="AC20" s="81"/>
      <c r="AD20" s="81"/>
      <c r="AE20" s="81"/>
      <c r="AF20" s="81"/>
      <c r="AG20" s="81"/>
      <c r="AH20" s="81"/>
      <c r="AI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-4.13578787878787E-7</v>
      </c>
      <c r="L21" s="39">
        <v>9.9898854227998E-9</v>
      </c>
      <c r="M21" s="38">
        <f t="shared" si="1"/>
        <v>-0.4135787879</v>
      </c>
      <c r="N21" s="38">
        <v>8.7568E-4</v>
      </c>
      <c r="O21" s="38">
        <v>-0.412126601</v>
      </c>
      <c r="P21" s="38">
        <v>8.77029E-4</v>
      </c>
      <c r="Q21" s="40">
        <f t="shared" si="2"/>
        <v>-0.003511270213</v>
      </c>
      <c r="R21" s="41">
        <f t="shared" si="3"/>
        <v>1.171730031</v>
      </c>
      <c r="S21" s="37"/>
      <c r="T21" s="42">
        <f t="shared" si="4"/>
        <v>2.25859545</v>
      </c>
      <c r="U21" s="42">
        <f t="shared" si="11"/>
        <v>1</v>
      </c>
      <c r="V21" s="38">
        <f t="shared" si="6"/>
        <v>1.003523643</v>
      </c>
      <c r="W21" s="37">
        <f t="shared" si="7"/>
        <v>1</v>
      </c>
      <c r="X21" s="37">
        <f t="shared" si="8"/>
        <v>16</v>
      </c>
      <c r="Y21" s="81"/>
      <c r="Z21" s="68">
        <f t="shared" si="9"/>
        <v>-0.0004135787879</v>
      </c>
      <c r="AA21" s="81"/>
      <c r="AB21" s="81"/>
      <c r="AC21" s="81"/>
      <c r="AD21" s="81"/>
      <c r="AE21" s="81"/>
      <c r="AF21" s="81"/>
      <c r="AG21" s="81"/>
      <c r="AH21" s="81"/>
      <c r="AI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-2.97791E-6</v>
      </c>
      <c r="L22" s="39">
        <v>4.66801052079172E-8</v>
      </c>
      <c r="M22" s="38">
        <f t="shared" si="1"/>
        <v>-2.97791</v>
      </c>
      <c r="N22" s="38">
        <v>0.004398772</v>
      </c>
      <c r="O22" s="38">
        <v>-2.956892729</v>
      </c>
      <c r="P22" s="38">
        <v>0.00659851</v>
      </c>
      <c r="Q22" s="40">
        <f t="shared" si="2"/>
        <v>-0.007057725385</v>
      </c>
      <c r="R22" s="41">
        <f t="shared" si="3"/>
        <v>2.650251884</v>
      </c>
      <c r="S22" s="37"/>
      <c r="T22" s="42">
        <f t="shared" si="4"/>
        <v>16.26266669</v>
      </c>
      <c r="U22" s="42">
        <f t="shared" si="11"/>
        <v>7.200345103</v>
      </c>
      <c r="V22" s="38">
        <f t="shared" si="6"/>
        <v>1.007107891</v>
      </c>
      <c r="W22" s="37">
        <f t="shared" si="7"/>
        <v>1</v>
      </c>
      <c r="X22" s="37">
        <f t="shared" si="8"/>
        <v>17</v>
      </c>
      <c r="Y22" s="81"/>
      <c r="Z22" s="69">
        <f t="shared" si="9"/>
        <v>-0.00297791</v>
      </c>
      <c r="AA22" s="81"/>
      <c r="AB22" s="81"/>
      <c r="AC22" s="81"/>
      <c r="AD22" s="81"/>
      <c r="AE22" s="81"/>
      <c r="AF22" s="81"/>
      <c r="AG22" s="81"/>
      <c r="AH22" s="81"/>
      <c r="AI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-7.87966E-6</v>
      </c>
      <c r="L23" s="39">
        <v>1.10857467866707E-7</v>
      </c>
      <c r="M23" s="38">
        <f t="shared" si="1"/>
        <v>-7.87966</v>
      </c>
      <c r="N23" s="38">
        <v>0.011672314</v>
      </c>
      <c r="O23" s="38">
        <v>-7.848001003</v>
      </c>
      <c r="P23" s="38">
        <v>0.017820829</v>
      </c>
      <c r="Q23" s="40">
        <f t="shared" si="2"/>
        <v>-0.004017812571</v>
      </c>
      <c r="R23" s="41">
        <f t="shared" si="3"/>
        <v>1.486117028</v>
      </c>
      <c r="S23" s="37"/>
      <c r="T23" s="42">
        <f t="shared" si="4"/>
        <v>43.03161754</v>
      </c>
      <c r="U23" s="42">
        <f t="shared" si="11"/>
        <v>19.05237945</v>
      </c>
      <c r="V23" s="38">
        <f t="shared" si="6"/>
        <v>1.004034021</v>
      </c>
      <c r="W23" s="37">
        <f t="shared" si="7"/>
        <v>1</v>
      </c>
      <c r="X23" s="37">
        <f t="shared" si="8"/>
        <v>18</v>
      </c>
      <c r="Y23" s="81"/>
      <c r="Z23" s="69">
        <f t="shared" si="9"/>
        <v>-0.00787966</v>
      </c>
      <c r="AA23" s="81"/>
      <c r="AB23" s="81"/>
      <c r="AC23" s="81"/>
      <c r="AD23" s="81"/>
      <c r="AE23" s="81"/>
      <c r="AF23" s="81"/>
      <c r="AG23" s="81"/>
      <c r="AH23" s="81"/>
      <c r="AI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-1.51728999999999E-5</v>
      </c>
      <c r="L24" s="39">
        <v>2.43838392416291E-7</v>
      </c>
      <c r="M24" s="38">
        <f t="shared" si="1"/>
        <v>-15.1729</v>
      </c>
      <c r="N24" s="38">
        <v>0.022539206</v>
      </c>
      <c r="O24" s="38">
        <v>-15.095992088</v>
      </c>
      <c r="P24" s="38">
        <v>0.034528555</v>
      </c>
      <c r="Q24" s="40">
        <f t="shared" si="2"/>
        <v>-0.005068768133</v>
      </c>
      <c r="R24" s="41">
        <f t="shared" si="3"/>
        <v>1.865160888</v>
      </c>
      <c r="S24" s="37"/>
      <c r="T24" s="42">
        <f t="shared" si="4"/>
        <v>82.86073636</v>
      </c>
      <c r="U24" s="42">
        <f t="shared" si="11"/>
        <v>36.68684286</v>
      </c>
      <c r="V24" s="38">
        <f t="shared" si="6"/>
        <v>1.005094591</v>
      </c>
      <c r="W24" s="37">
        <f t="shared" si="7"/>
        <v>1</v>
      </c>
      <c r="X24" s="37">
        <f t="shared" si="8"/>
        <v>19</v>
      </c>
      <c r="Y24" s="81"/>
      <c r="Z24" s="70">
        <f t="shared" si="9"/>
        <v>-0.0151729</v>
      </c>
      <c r="AA24" s="81"/>
      <c r="AB24" s="81"/>
      <c r="AC24" s="81"/>
      <c r="AD24" s="81"/>
      <c r="AE24" s="81"/>
      <c r="AF24" s="81"/>
      <c r="AG24" s="81"/>
      <c r="AH24" s="81"/>
      <c r="AI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-2.48473999999999E-5</v>
      </c>
      <c r="L25" s="39">
        <v>3.6225338528648E-7</v>
      </c>
      <c r="M25" s="38">
        <f t="shared" si="1"/>
        <v>-24.8474</v>
      </c>
      <c r="N25" s="38">
        <v>0.037080098</v>
      </c>
      <c r="O25" s="38">
        <v>-24.674295425</v>
      </c>
      <c r="P25" s="38">
        <v>0.056720587</v>
      </c>
      <c r="Q25" s="40">
        <f t="shared" si="2"/>
        <v>-0.006966707784</v>
      </c>
      <c r="R25" s="41">
        <f t="shared" si="3"/>
        <v>2.554465866</v>
      </c>
      <c r="S25" s="37"/>
      <c r="T25" s="42">
        <f t="shared" si="4"/>
        <v>135.6941561</v>
      </c>
      <c r="U25" s="42">
        <f t="shared" si="11"/>
        <v>60.07900001</v>
      </c>
      <c r="V25" s="38">
        <f t="shared" si="6"/>
        <v>1.007015583</v>
      </c>
      <c r="W25" s="37">
        <f t="shared" si="7"/>
        <v>1</v>
      </c>
      <c r="X25" s="37">
        <f t="shared" si="8"/>
        <v>20</v>
      </c>
      <c r="Y25" s="81"/>
      <c r="Z25" s="70">
        <f t="shared" si="9"/>
        <v>-0.0248474</v>
      </c>
      <c r="AA25" s="81"/>
      <c r="AB25" s="81"/>
      <c r="AC25" s="81"/>
      <c r="AD25" s="81"/>
      <c r="AE25" s="81"/>
      <c r="AF25" s="81"/>
      <c r="AG25" s="81"/>
      <c r="AH25" s="81"/>
      <c r="AI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-3.68087E-5</v>
      </c>
      <c r="L26" s="39">
        <v>4.89917855410991E-7</v>
      </c>
      <c r="M26" s="38">
        <f t="shared" si="1"/>
        <v>-36.8087</v>
      </c>
      <c r="N26" s="38">
        <v>0.0552016</v>
      </c>
      <c r="O26" s="38">
        <v>-36.612464905</v>
      </c>
      <c r="P26" s="38">
        <v>0.084396684</v>
      </c>
      <c r="Q26" s="40">
        <f t="shared" si="2"/>
        <v>-0.005331215039</v>
      </c>
      <c r="R26" s="41">
        <f t="shared" si="3"/>
        <v>1.94587905</v>
      </c>
      <c r="S26" s="37"/>
      <c r="T26" s="42">
        <f t="shared" si="4"/>
        <v>201.0160211</v>
      </c>
      <c r="U26" s="42">
        <f t="shared" si="11"/>
        <v>89.00045428</v>
      </c>
      <c r="V26" s="38">
        <f t="shared" si="6"/>
        <v>1.005359789</v>
      </c>
      <c r="W26" s="37">
        <f t="shared" si="7"/>
        <v>1</v>
      </c>
      <c r="X26" s="37">
        <f t="shared" si="8"/>
        <v>21</v>
      </c>
      <c r="Y26" s="81"/>
      <c r="Z26" s="70">
        <f t="shared" si="9"/>
        <v>-0.0368087</v>
      </c>
      <c r="AA26" s="81"/>
      <c r="AB26" s="81"/>
      <c r="AC26" s="81"/>
      <c r="AD26" s="81"/>
      <c r="AE26" s="81"/>
      <c r="AF26" s="81"/>
      <c r="AG26" s="81"/>
      <c r="AH26" s="81"/>
      <c r="AI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-3.68465591397849E-8</v>
      </c>
      <c r="L27" s="46">
        <v>2.73038279472011E-9</v>
      </c>
      <c r="M27" s="45">
        <f t="shared" si="1"/>
        <v>-0.03684655914</v>
      </c>
      <c r="N27" s="45">
        <v>3.21593E-4</v>
      </c>
      <c r="O27" s="45">
        <v>-0.035887219</v>
      </c>
      <c r="P27" s="45">
        <v>3.29484E-4</v>
      </c>
      <c r="Q27" s="47">
        <f t="shared" si="2"/>
        <v>-0.02603608484</v>
      </c>
      <c r="R27" s="48">
        <f t="shared" si="3"/>
        <v>2.083643259</v>
      </c>
      <c r="S27" s="44"/>
      <c r="T27" s="49">
        <f t="shared" si="4"/>
        <v>0.2012227737</v>
      </c>
      <c r="U27" s="49">
        <f t="shared" ref="U27:U33" si="12">K27/$K$28</f>
        <v>0.05039399102</v>
      </c>
      <c r="V27" s="45">
        <f t="shared" si="6"/>
        <v>1.026732084</v>
      </c>
      <c r="W27" s="44">
        <f t="shared" si="7"/>
        <v>1</v>
      </c>
      <c r="X27" s="44">
        <f t="shared" si="8"/>
        <v>22</v>
      </c>
      <c r="Y27" s="85"/>
      <c r="Z27" s="67">
        <f t="shared" si="9"/>
        <v>-0.00003684655914</v>
      </c>
      <c r="AA27" s="85"/>
      <c r="AB27" s="85"/>
      <c r="AC27" s="85"/>
      <c r="AD27" s="85"/>
      <c r="AE27" s="85"/>
      <c r="AF27" s="85"/>
      <c r="AG27" s="85"/>
      <c r="AH27" s="85"/>
      <c r="AI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-7.31169696969696E-7</v>
      </c>
      <c r="L28" s="46">
        <v>1.67171026597256E-8</v>
      </c>
      <c r="M28" s="45">
        <f t="shared" si="1"/>
        <v>-0.731169697</v>
      </c>
      <c r="N28" s="45">
        <v>0.001551745</v>
      </c>
      <c r="O28" s="45">
        <v>-0.732902408</v>
      </c>
      <c r="P28" s="45">
        <v>0.001559163</v>
      </c>
      <c r="Q28" s="47">
        <f t="shared" si="2"/>
        <v>0.002369779598</v>
      </c>
      <c r="R28" s="48">
        <f t="shared" si="3"/>
        <v>-0.7876852907</v>
      </c>
      <c r="S28" s="44"/>
      <c r="T28" s="49">
        <f t="shared" si="4"/>
        <v>3.992991418</v>
      </c>
      <c r="U28" s="49">
        <f t="shared" si="12"/>
        <v>1</v>
      </c>
      <c r="V28" s="45">
        <f t="shared" si="6"/>
        <v>0.997635823</v>
      </c>
      <c r="W28" s="44">
        <f t="shared" si="7"/>
        <v>1</v>
      </c>
      <c r="X28" s="44">
        <f t="shared" si="8"/>
        <v>23</v>
      </c>
      <c r="Y28" s="85"/>
      <c r="Z28" s="68">
        <f t="shared" si="9"/>
        <v>-0.000731169697</v>
      </c>
      <c r="AA28" s="85"/>
      <c r="AB28" s="85"/>
      <c r="AC28" s="85"/>
      <c r="AD28" s="85"/>
      <c r="AE28" s="85"/>
      <c r="AF28" s="85"/>
      <c r="AG28" s="85"/>
      <c r="AH28" s="85"/>
      <c r="AI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-5.28316999999999E-6</v>
      </c>
      <c r="L29" s="46">
        <v>7.54362470814751E-8</v>
      </c>
      <c r="M29" s="45">
        <f t="shared" si="1"/>
        <v>-5.28317</v>
      </c>
      <c r="N29" s="45">
        <v>0.007817322</v>
      </c>
      <c r="O29" s="45">
        <v>-5.257250786</v>
      </c>
      <c r="P29" s="45">
        <v>0.011730684</v>
      </c>
      <c r="Q29" s="47">
        <f t="shared" si="2"/>
        <v>-0.004905996589</v>
      </c>
      <c r="R29" s="48">
        <f t="shared" si="3"/>
        <v>1.838660799</v>
      </c>
      <c r="S29" s="44"/>
      <c r="T29" s="49">
        <f t="shared" si="4"/>
        <v>28.85192392</v>
      </c>
      <c r="U29" s="49">
        <f t="shared" si="12"/>
        <v>7.225641355</v>
      </c>
      <c r="V29" s="45">
        <f t="shared" si="6"/>
        <v>1.004930184</v>
      </c>
      <c r="W29" s="44">
        <f t="shared" si="7"/>
        <v>1</v>
      </c>
      <c r="X29" s="44">
        <f t="shared" si="8"/>
        <v>24</v>
      </c>
      <c r="Y29" s="85"/>
      <c r="Z29" s="69">
        <f t="shared" si="9"/>
        <v>-0.00528317</v>
      </c>
      <c r="AA29" s="85"/>
      <c r="AB29" s="85"/>
      <c r="AC29" s="85"/>
      <c r="AD29" s="85"/>
      <c r="AE29" s="85"/>
      <c r="AF29" s="85"/>
      <c r="AG29" s="85"/>
      <c r="AH29" s="85"/>
      <c r="AI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-1.40559E-5</v>
      </c>
      <c r="L30" s="46">
        <v>2.02410199567336E-7</v>
      </c>
      <c r="M30" s="45">
        <f t="shared" si="1"/>
        <v>-14.0559</v>
      </c>
      <c r="N30" s="45">
        <v>0.020873405</v>
      </c>
      <c r="O30" s="45">
        <v>-13.950544357</v>
      </c>
      <c r="P30" s="45">
        <v>0.031681474</v>
      </c>
      <c r="Q30" s="47">
        <f t="shared" si="2"/>
        <v>-0.007495474712</v>
      </c>
      <c r="R30" s="48">
        <f t="shared" si="3"/>
        <v>2.776929253</v>
      </c>
      <c r="S30" s="44"/>
      <c r="T30" s="49">
        <f t="shared" si="4"/>
        <v>76.76068676</v>
      </c>
      <c r="U30" s="49">
        <f t="shared" si="12"/>
        <v>19.22385468</v>
      </c>
      <c r="V30" s="45">
        <f t="shared" si="6"/>
        <v>1.007552081</v>
      </c>
      <c r="W30" s="44">
        <f t="shared" si="7"/>
        <v>1</v>
      </c>
      <c r="X30" s="44">
        <f t="shared" si="8"/>
        <v>25</v>
      </c>
      <c r="Y30" s="85"/>
      <c r="Z30" s="70">
        <f t="shared" si="9"/>
        <v>-0.0140559</v>
      </c>
      <c r="AA30" s="85"/>
      <c r="AB30" s="85"/>
      <c r="AC30" s="85"/>
      <c r="AD30" s="85"/>
      <c r="AE30" s="85"/>
      <c r="AF30" s="85"/>
      <c r="AG30" s="85"/>
      <c r="AH30" s="85"/>
      <c r="AI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-2.70026999999999E-5</v>
      </c>
      <c r="L31" s="46">
        <v>4.36209232994322E-7</v>
      </c>
      <c r="M31" s="45">
        <f t="shared" si="1"/>
        <v>-27.0027</v>
      </c>
      <c r="N31" s="45">
        <v>0.040322428</v>
      </c>
      <c r="O31" s="45">
        <v>-26.825098038</v>
      </c>
      <c r="P31" s="45">
        <v>0.061384099</v>
      </c>
      <c r="Q31" s="47">
        <f t="shared" si="2"/>
        <v>-0.006577192725</v>
      </c>
      <c r="R31" s="48">
        <f t="shared" si="3"/>
        <v>2.418221511</v>
      </c>
      <c r="S31" s="44"/>
      <c r="T31" s="49">
        <f t="shared" si="4"/>
        <v>147.4644666</v>
      </c>
      <c r="U31" s="49">
        <f t="shared" si="12"/>
        <v>36.93082483</v>
      </c>
      <c r="V31" s="45">
        <f t="shared" si="6"/>
        <v>1.006620739</v>
      </c>
      <c r="W31" s="44">
        <f t="shared" si="7"/>
        <v>1</v>
      </c>
      <c r="X31" s="44">
        <f t="shared" si="8"/>
        <v>26</v>
      </c>
      <c r="Y31" s="85"/>
      <c r="Z31" s="70">
        <f t="shared" si="9"/>
        <v>-0.0270027</v>
      </c>
      <c r="AA31" s="85"/>
      <c r="AB31" s="85"/>
      <c r="AC31" s="85"/>
      <c r="AD31" s="85"/>
      <c r="AE31" s="85"/>
      <c r="AF31" s="85"/>
      <c r="AG31" s="85"/>
      <c r="AH31" s="85"/>
      <c r="AI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-4.41963999999999E-5</v>
      </c>
      <c r="L32" s="46">
        <v>6.922376540589E-7</v>
      </c>
      <c r="M32" s="45">
        <f t="shared" si="1"/>
        <v>-44.1964</v>
      </c>
      <c r="N32" s="45">
        <v>0.066461168</v>
      </c>
      <c r="O32" s="45">
        <v>-43.869407654</v>
      </c>
      <c r="P32" s="45">
        <v>0.100836598</v>
      </c>
      <c r="Q32" s="47">
        <f t="shared" si="2"/>
        <v>-0.00739861948</v>
      </c>
      <c r="R32" s="48">
        <f t="shared" si="3"/>
        <v>2.707589287</v>
      </c>
      <c r="S32" s="44"/>
      <c r="T32" s="49">
        <f t="shared" si="4"/>
        <v>241.3609955</v>
      </c>
      <c r="U32" s="49">
        <f t="shared" si="12"/>
        <v>60.44615933</v>
      </c>
      <c r="V32" s="45">
        <f t="shared" si="6"/>
        <v>1.007453767</v>
      </c>
      <c r="W32" s="44">
        <f t="shared" si="7"/>
        <v>1</v>
      </c>
      <c r="X32" s="44">
        <f t="shared" si="8"/>
        <v>27</v>
      </c>
      <c r="Y32" s="85"/>
      <c r="Z32" s="70">
        <f t="shared" si="9"/>
        <v>-0.0441964</v>
      </c>
      <c r="AA32" s="85"/>
      <c r="AB32" s="85"/>
      <c r="AC32" s="85"/>
      <c r="AD32" s="85"/>
      <c r="AE32" s="85"/>
      <c r="AF32" s="85"/>
      <c r="AG32" s="85"/>
      <c r="AH32" s="85"/>
      <c r="AI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-6.52096999999999E-5</v>
      </c>
      <c r="L33" s="46">
        <v>9.15912587907202E-7</v>
      </c>
      <c r="M33" s="45">
        <f t="shared" si="1"/>
        <v>-65.2097</v>
      </c>
      <c r="N33" s="45">
        <v>0.099387498</v>
      </c>
      <c r="O33" s="45">
        <v>-65.094306946</v>
      </c>
      <c r="P33" s="45">
        <v>0.15003855</v>
      </c>
      <c r="Q33" s="47">
        <f t="shared" si="2"/>
        <v>-0.001769568852</v>
      </c>
      <c r="R33" s="48">
        <f t="shared" si="3"/>
        <v>0.6411770065</v>
      </c>
      <c r="S33" s="44"/>
      <c r="T33" s="49">
        <f t="shared" si="4"/>
        <v>356.116745</v>
      </c>
      <c r="U33" s="49">
        <f t="shared" si="12"/>
        <v>89.18545212</v>
      </c>
      <c r="V33" s="45">
        <f t="shared" si="6"/>
        <v>1.001772706</v>
      </c>
      <c r="W33" s="44">
        <f t="shared" si="7"/>
        <v>1</v>
      </c>
      <c r="X33" s="44">
        <f t="shared" si="8"/>
        <v>28</v>
      </c>
      <c r="Y33" s="85"/>
      <c r="Z33" s="70">
        <f t="shared" si="9"/>
        <v>-0.0652097</v>
      </c>
      <c r="AA33" s="85"/>
      <c r="AB33" s="85"/>
      <c r="AC33" s="85"/>
      <c r="AD33" s="85"/>
      <c r="AE33" s="85"/>
      <c r="AF33" s="85"/>
      <c r="AG33" s="85"/>
      <c r="AH33" s="85"/>
      <c r="AI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-5.50604255319148E-8</v>
      </c>
      <c r="L34" s="53">
        <v>4.73014944747733E-9</v>
      </c>
      <c r="M34" s="52">
        <f t="shared" si="1"/>
        <v>-0.05506042553</v>
      </c>
      <c r="N34" s="52">
        <v>4.98045E-4</v>
      </c>
      <c r="O34" s="52">
        <v>-0.056073304</v>
      </c>
      <c r="P34" s="52">
        <v>5.14818E-4</v>
      </c>
      <c r="Q34" s="54">
        <f t="shared" si="2"/>
        <v>0.01839576172</v>
      </c>
      <c r="R34" s="55">
        <f t="shared" si="3"/>
        <v>-1.414041284</v>
      </c>
      <c r="S34" s="51"/>
      <c r="T34" s="56">
        <f t="shared" si="4"/>
        <v>0.300690534</v>
      </c>
      <c r="U34" s="56">
        <f t="shared" ref="U34:U40" si="13">K34/$K$35</f>
        <v>0.04823903254</v>
      </c>
      <c r="V34" s="52">
        <f t="shared" si="6"/>
        <v>0.9819365296</v>
      </c>
      <c r="W34" s="51">
        <f t="shared" si="7"/>
        <v>1</v>
      </c>
      <c r="X34" s="51">
        <f t="shared" si="8"/>
        <v>29</v>
      </c>
      <c r="Y34" s="87"/>
      <c r="Z34" s="67">
        <f t="shared" si="9"/>
        <v>-0.00005506042553</v>
      </c>
      <c r="AA34" s="87"/>
      <c r="AB34" s="87"/>
      <c r="AC34" s="87"/>
      <c r="AD34" s="87"/>
      <c r="AE34" s="87"/>
      <c r="AF34" s="87"/>
      <c r="AG34" s="87"/>
      <c r="AH34" s="87"/>
      <c r="AI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-1.1414081632653E-6</v>
      </c>
      <c r="L35" s="53">
        <v>2.64219670926529E-8</v>
      </c>
      <c r="M35" s="52">
        <f t="shared" si="1"/>
        <v>-1.141408163</v>
      </c>
      <c r="N35" s="52">
        <v>0.002434465</v>
      </c>
      <c r="O35" s="52">
        <v>-1.144218564</v>
      </c>
      <c r="P35" s="52">
        <v>0.002436192</v>
      </c>
      <c r="Q35" s="54">
        <f t="shared" si="2"/>
        <v>0.002462222389</v>
      </c>
      <c r="R35" s="55">
        <f t="shared" si="3"/>
        <v>-0.8160103626</v>
      </c>
      <c r="S35" s="51"/>
      <c r="T35" s="56">
        <f t="shared" si="4"/>
        <v>6.233345036</v>
      </c>
      <c r="U35" s="56">
        <f t="shared" si="13"/>
        <v>1</v>
      </c>
      <c r="V35" s="52">
        <f t="shared" si="6"/>
        <v>0.9975438253</v>
      </c>
      <c r="W35" s="51">
        <f t="shared" si="7"/>
        <v>1</v>
      </c>
      <c r="X35" s="51">
        <f t="shared" si="8"/>
        <v>30</v>
      </c>
      <c r="Y35" s="87"/>
      <c r="Z35" s="69">
        <f t="shared" si="9"/>
        <v>-0.001141408163</v>
      </c>
      <c r="AA35" s="87"/>
      <c r="AB35" s="87"/>
      <c r="AC35" s="87"/>
      <c r="AD35" s="87"/>
      <c r="AE35" s="87"/>
      <c r="AF35" s="87"/>
      <c r="AG35" s="87"/>
      <c r="AH35" s="87"/>
      <c r="AI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-8.27031999999999E-6</v>
      </c>
      <c r="L36" s="53">
        <v>1.12301621276872E-7</v>
      </c>
      <c r="M36" s="52">
        <f t="shared" si="1"/>
        <v>-8.27032</v>
      </c>
      <c r="N36" s="52">
        <v>0.012271296</v>
      </c>
      <c r="O36" s="52">
        <v>-8.213119507</v>
      </c>
      <c r="P36" s="52">
        <v>0.018329194</v>
      </c>
      <c r="Q36" s="54">
        <f t="shared" si="2"/>
        <v>-0.006916357892</v>
      </c>
      <c r="R36" s="55">
        <f t="shared" si="3"/>
        <v>2.593215957</v>
      </c>
      <c r="S36" s="51"/>
      <c r="T36" s="56">
        <f t="shared" si="4"/>
        <v>45.16505118</v>
      </c>
      <c r="U36" s="56">
        <f t="shared" si="13"/>
        <v>7.245716533</v>
      </c>
      <c r="V36" s="52">
        <f t="shared" si="6"/>
        <v>1.006964527</v>
      </c>
      <c r="W36" s="51">
        <f t="shared" si="7"/>
        <v>1</v>
      </c>
      <c r="X36" s="51">
        <f t="shared" si="8"/>
        <v>31</v>
      </c>
      <c r="Y36" s="87"/>
      <c r="Z36" s="69">
        <f t="shared" si="9"/>
        <v>-0.00827032</v>
      </c>
      <c r="AA36" s="87"/>
      <c r="AB36" s="87"/>
      <c r="AC36" s="87"/>
      <c r="AD36" s="87"/>
      <c r="AE36" s="87"/>
      <c r="AF36" s="87"/>
      <c r="AG36" s="87"/>
      <c r="AH36" s="87"/>
      <c r="AI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-2.18953E-5</v>
      </c>
      <c r="L37" s="53">
        <v>3.26018079067385E-7</v>
      </c>
      <c r="M37" s="52">
        <f t="shared" si="1"/>
        <v>-21.8953</v>
      </c>
      <c r="N37" s="52">
        <v>0.032698775</v>
      </c>
      <c r="O37" s="52">
        <v>-21.80055809</v>
      </c>
      <c r="P37" s="52">
        <v>0.049502303</v>
      </c>
      <c r="Q37" s="54">
        <f t="shared" si="2"/>
        <v>-0.004327043247</v>
      </c>
      <c r="R37" s="55">
        <f t="shared" si="3"/>
        <v>1.596945368</v>
      </c>
      <c r="S37" s="51"/>
      <c r="T37" s="56">
        <f t="shared" si="4"/>
        <v>119.5724404</v>
      </c>
      <c r="U37" s="56">
        <f t="shared" si="13"/>
        <v>19.18270843</v>
      </c>
      <c r="V37" s="52">
        <f t="shared" si="6"/>
        <v>1.004345848</v>
      </c>
      <c r="W37" s="51">
        <f t="shared" si="7"/>
        <v>1</v>
      </c>
      <c r="X37" s="51">
        <f t="shared" si="8"/>
        <v>32</v>
      </c>
      <c r="Y37" s="87"/>
      <c r="Z37" s="70">
        <f t="shared" si="9"/>
        <v>-0.0218953</v>
      </c>
      <c r="AA37" s="87"/>
      <c r="AB37" s="87"/>
      <c r="AC37" s="87"/>
      <c r="AD37" s="87"/>
      <c r="AE37" s="87"/>
      <c r="AF37" s="87"/>
      <c r="AG37" s="87"/>
      <c r="AH37" s="87"/>
      <c r="AI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-4.20753999999999E-5</v>
      </c>
      <c r="L38" s="53">
        <v>6.67036897197015E-7</v>
      </c>
      <c r="M38" s="52">
        <f t="shared" si="1"/>
        <v>-42.0754</v>
      </c>
      <c r="N38" s="52">
        <v>0.063416762</v>
      </c>
      <c r="O38" s="52">
        <v>-41.909526825</v>
      </c>
      <c r="P38" s="52">
        <v>0.095912654</v>
      </c>
      <c r="Q38" s="54">
        <f t="shared" si="2"/>
        <v>-0.003942283971</v>
      </c>
      <c r="R38" s="55">
        <f t="shared" si="3"/>
        <v>1.442597819</v>
      </c>
      <c r="S38" s="51"/>
      <c r="T38" s="56">
        <f t="shared" si="4"/>
        <v>229.7780007</v>
      </c>
      <c r="U38" s="56">
        <f t="shared" si="13"/>
        <v>36.86271165</v>
      </c>
      <c r="V38" s="52">
        <f t="shared" si="6"/>
        <v>1.003957887</v>
      </c>
      <c r="W38" s="51">
        <f t="shared" si="7"/>
        <v>1</v>
      </c>
      <c r="X38" s="51">
        <f t="shared" si="8"/>
        <v>33</v>
      </c>
      <c r="Y38" s="87"/>
      <c r="Z38" s="70">
        <f t="shared" si="9"/>
        <v>-0.0420754</v>
      </c>
      <c r="AA38" s="87"/>
      <c r="AB38" s="87"/>
      <c r="AC38" s="87"/>
      <c r="AD38" s="87"/>
      <c r="AE38" s="87"/>
      <c r="AF38" s="87"/>
      <c r="AG38" s="87"/>
      <c r="AH38" s="87"/>
      <c r="AI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-6.86533E-5</v>
      </c>
      <c r="L39" s="53">
        <v>1.04829833732597E-6</v>
      </c>
      <c r="M39" s="52">
        <f t="shared" si="1"/>
        <v>-68.6533</v>
      </c>
      <c r="N39" s="52">
        <v>0.10485091</v>
      </c>
      <c r="O39" s="52">
        <v>-68.577636719</v>
      </c>
      <c r="P39" s="52">
        <v>0.157557185</v>
      </c>
      <c r="Q39" s="54">
        <f t="shared" si="2"/>
        <v>-0.001102106978</v>
      </c>
      <c r="R39" s="55">
        <f t="shared" si="3"/>
        <v>0.3997924844</v>
      </c>
      <c r="S39" s="51"/>
      <c r="T39" s="56">
        <f t="shared" si="4"/>
        <v>374.9225917</v>
      </c>
      <c r="U39" s="56">
        <f t="shared" si="13"/>
        <v>60.14789644</v>
      </c>
      <c r="V39" s="52">
        <f t="shared" si="6"/>
        <v>1.001103323</v>
      </c>
      <c r="W39" s="51">
        <f t="shared" si="7"/>
        <v>1</v>
      </c>
      <c r="X39" s="51">
        <f t="shared" si="8"/>
        <v>34</v>
      </c>
      <c r="Y39" s="87"/>
      <c r="Z39" s="70">
        <f t="shared" si="9"/>
        <v>-0.0686533</v>
      </c>
      <c r="AA39" s="87"/>
      <c r="AB39" s="87"/>
      <c r="AC39" s="87"/>
      <c r="AD39" s="87"/>
      <c r="AE39" s="87"/>
      <c r="AF39" s="87"/>
      <c r="AG39" s="87"/>
      <c r="AH39" s="87"/>
      <c r="AI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-1.00581999999999E-4</v>
      </c>
      <c r="L40" s="53">
        <v>1.53895084293478E-6</v>
      </c>
      <c r="M40" s="52">
        <f t="shared" si="1"/>
        <v>-100.582</v>
      </c>
      <c r="N40" s="52">
        <v>0.156719386</v>
      </c>
      <c r="O40" s="52">
        <v>-101.730484009</v>
      </c>
      <c r="P40" s="52">
        <v>0.234435234</v>
      </c>
      <c r="Q40" s="54">
        <f t="shared" si="2"/>
        <v>0.01141838509</v>
      </c>
      <c r="R40" s="55">
        <f t="shared" si="3"/>
        <v>-4.072719123</v>
      </c>
      <c r="S40" s="51"/>
      <c r="T40" s="56">
        <f t="shared" si="4"/>
        <v>549.2884409</v>
      </c>
      <c r="U40" s="56">
        <f t="shared" si="13"/>
        <v>88.12097481</v>
      </c>
      <c r="V40" s="52">
        <f t="shared" si="6"/>
        <v>0.9887105225</v>
      </c>
      <c r="W40" s="51">
        <f t="shared" si="7"/>
        <v>1</v>
      </c>
      <c r="X40" s="51">
        <f t="shared" si="8"/>
        <v>35</v>
      </c>
      <c r="Y40" s="87"/>
      <c r="Z40" s="79">
        <f t="shared" si="9"/>
        <v>-0.100582</v>
      </c>
      <c r="AA40" s="87"/>
      <c r="AB40" s="87"/>
      <c r="AC40" s="87"/>
      <c r="AD40" s="87"/>
      <c r="AE40" s="87"/>
      <c r="AF40" s="87"/>
      <c r="AG40" s="87"/>
      <c r="AH40" s="87"/>
      <c r="AI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-7.7535934065934E-8</v>
      </c>
      <c r="L41" s="60">
        <v>6.04963561400776E-9</v>
      </c>
      <c r="M41" s="59">
        <f t="shared" si="1"/>
        <v>-0.07753593407</v>
      </c>
      <c r="N41" s="59">
        <v>7.2789E-4</v>
      </c>
      <c r="O41" s="59">
        <v>-0.080747329</v>
      </c>
      <c r="P41" s="59">
        <v>7.41339E-4</v>
      </c>
      <c r="Q41" s="61">
        <f t="shared" si="2"/>
        <v>0.04141814983</v>
      </c>
      <c r="R41" s="62">
        <f t="shared" si="3"/>
        <v>-3.091014408</v>
      </c>
      <c r="S41" s="58"/>
      <c r="T41" s="63">
        <f t="shared" si="4"/>
        <v>0.4234315517</v>
      </c>
      <c r="U41" s="63">
        <f t="shared" ref="U41:U47" si="14">K41/$K$42</f>
        <v>0.04727533396</v>
      </c>
      <c r="V41" s="59">
        <f t="shared" si="6"/>
        <v>0.9602290878</v>
      </c>
      <c r="W41" s="58">
        <f t="shared" si="7"/>
        <v>1</v>
      </c>
      <c r="X41" s="58">
        <f t="shared" si="8"/>
        <v>36</v>
      </c>
      <c r="Y41" s="89"/>
      <c r="Z41" s="67">
        <f t="shared" si="9"/>
        <v>-0.00007753593407</v>
      </c>
      <c r="AA41" s="89"/>
      <c r="AB41" s="89"/>
      <c r="AC41" s="89"/>
      <c r="AD41" s="89"/>
      <c r="AE41" s="89"/>
      <c r="AF41" s="89"/>
      <c r="AG41" s="89"/>
      <c r="AH41" s="89"/>
      <c r="AI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-1.64009278350515E-6</v>
      </c>
      <c r="L42" s="60">
        <v>3.44150773869011E-8</v>
      </c>
      <c r="M42" s="59">
        <f t="shared" si="1"/>
        <v>-1.640092784</v>
      </c>
      <c r="N42" s="59">
        <v>0.003538994</v>
      </c>
      <c r="O42" s="59">
        <v>-1.648506403</v>
      </c>
      <c r="P42" s="59">
        <v>0.003508117</v>
      </c>
      <c r="Q42" s="61">
        <f t="shared" si="2"/>
        <v>0.00512996556</v>
      </c>
      <c r="R42" s="62">
        <f t="shared" si="3"/>
        <v>-1.68842815</v>
      </c>
      <c r="S42" s="58"/>
      <c r="T42" s="63">
        <f t="shared" si="4"/>
        <v>8.956712015</v>
      </c>
      <c r="U42" s="63">
        <f t="shared" si="14"/>
        <v>1</v>
      </c>
      <c r="V42" s="59">
        <f t="shared" si="6"/>
        <v>0.9948962167</v>
      </c>
      <c r="W42" s="58">
        <f t="shared" si="7"/>
        <v>1</v>
      </c>
      <c r="X42" s="58">
        <f t="shared" si="8"/>
        <v>37</v>
      </c>
      <c r="Y42" s="89"/>
      <c r="Z42" s="69">
        <f t="shared" si="9"/>
        <v>-0.001640092784</v>
      </c>
      <c r="AA42" s="89"/>
      <c r="AB42" s="89"/>
      <c r="AC42" s="89"/>
      <c r="AD42" s="89"/>
      <c r="AE42" s="89"/>
      <c r="AF42" s="89"/>
      <c r="AG42" s="89"/>
      <c r="AH42" s="89"/>
      <c r="AI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-1.18932E-5</v>
      </c>
      <c r="L43" s="60">
        <v>1.72544124059542E-7</v>
      </c>
      <c r="M43" s="59">
        <f t="shared" si="1"/>
        <v>-11.8932</v>
      </c>
      <c r="N43" s="59">
        <v>0.017690815</v>
      </c>
      <c r="O43" s="59">
        <v>-11.827570915</v>
      </c>
      <c r="P43" s="59">
        <v>0.026394039</v>
      </c>
      <c r="Q43" s="61">
        <f t="shared" si="2"/>
        <v>-0.005518202418</v>
      </c>
      <c r="R43" s="62">
        <f t="shared" si="3"/>
        <v>2.06547279</v>
      </c>
      <c r="S43" s="58"/>
      <c r="T43" s="63">
        <f t="shared" si="4"/>
        <v>64.94996406</v>
      </c>
      <c r="U43" s="63">
        <f t="shared" si="14"/>
        <v>7.251540961</v>
      </c>
      <c r="V43" s="59">
        <f t="shared" si="6"/>
        <v>1.005548822</v>
      </c>
      <c r="W43" s="58">
        <f t="shared" si="7"/>
        <v>1</v>
      </c>
      <c r="X43" s="58">
        <f t="shared" si="8"/>
        <v>38</v>
      </c>
      <c r="Y43" s="89"/>
      <c r="Z43" s="70">
        <f t="shared" si="9"/>
        <v>-0.0118932</v>
      </c>
      <c r="AA43" s="89"/>
      <c r="AB43" s="89"/>
      <c r="AC43" s="89"/>
      <c r="AD43" s="89"/>
      <c r="AE43" s="89"/>
      <c r="AF43" s="89"/>
      <c r="AG43" s="89"/>
      <c r="AH43" s="89"/>
      <c r="AI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-3.14575E-5</v>
      </c>
      <c r="L44" s="60">
        <v>5.00733552809367E-7</v>
      </c>
      <c r="M44" s="59">
        <f t="shared" si="1"/>
        <v>-31.4575</v>
      </c>
      <c r="N44" s="59">
        <v>0.04734001</v>
      </c>
      <c r="O44" s="59">
        <v>-31.392004013</v>
      </c>
      <c r="P44" s="59">
        <v>0.071283316</v>
      </c>
      <c r="Q44" s="61">
        <f t="shared" si="2"/>
        <v>-0.002082046793</v>
      </c>
      <c r="R44" s="62">
        <f t="shared" si="3"/>
        <v>0.7653997775</v>
      </c>
      <c r="S44" s="58"/>
      <c r="T44" s="63">
        <f t="shared" si="4"/>
        <v>171.7925785</v>
      </c>
      <c r="U44" s="63">
        <f t="shared" si="14"/>
        <v>19.18031731</v>
      </c>
      <c r="V44" s="59">
        <f t="shared" si="6"/>
        <v>1.002086391</v>
      </c>
      <c r="W44" s="58">
        <f t="shared" si="7"/>
        <v>1</v>
      </c>
      <c r="X44" s="58">
        <f t="shared" si="8"/>
        <v>39</v>
      </c>
      <c r="Y44" s="89"/>
      <c r="Z44" s="70">
        <f t="shared" si="9"/>
        <v>-0.0314575</v>
      </c>
      <c r="AA44" s="89"/>
      <c r="AB44" s="89"/>
      <c r="AC44" s="89"/>
      <c r="AD44" s="89"/>
      <c r="AE44" s="89"/>
      <c r="AF44" s="89"/>
      <c r="AG44" s="89"/>
      <c r="AH44" s="89"/>
      <c r="AI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-6.02645999999999E-5</v>
      </c>
      <c r="L45" s="60">
        <v>8.59535251449787E-7</v>
      </c>
      <c r="M45" s="59">
        <f t="shared" si="1"/>
        <v>-60.2646</v>
      </c>
      <c r="N45" s="59">
        <v>0.091953318</v>
      </c>
      <c r="O45" s="59">
        <v>-60.383968353</v>
      </c>
      <c r="P45" s="59">
        <v>0.138114222</v>
      </c>
      <c r="Q45" s="61">
        <f t="shared" si="2"/>
        <v>0.001980737498</v>
      </c>
      <c r="R45" s="62">
        <f t="shared" si="3"/>
        <v>-0.7194135193</v>
      </c>
      <c r="S45" s="58"/>
      <c r="T45" s="63">
        <f t="shared" si="4"/>
        <v>329.1110554</v>
      </c>
      <c r="U45" s="63">
        <f t="shared" si="14"/>
        <v>36.74462848</v>
      </c>
      <c r="V45" s="59">
        <f t="shared" si="6"/>
        <v>0.9980231781</v>
      </c>
      <c r="W45" s="58">
        <f t="shared" si="7"/>
        <v>1</v>
      </c>
      <c r="X45" s="58">
        <f t="shared" si="8"/>
        <v>40</v>
      </c>
      <c r="Y45" s="89"/>
      <c r="Z45" s="70">
        <f t="shared" si="9"/>
        <v>-0.0602646</v>
      </c>
      <c r="AA45" s="89"/>
      <c r="AB45" s="89"/>
      <c r="AC45" s="89"/>
      <c r="AD45" s="89"/>
      <c r="AE45" s="89"/>
      <c r="AF45" s="89"/>
      <c r="AG45" s="89"/>
      <c r="AH45" s="89"/>
      <c r="AI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-9.78347E-5</v>
      </c>
      <c r="L46" s="60">
        <v>1.43249408481511E-6</v>
      </c>
      <c r="M46" s="59">
        <f t="shared" si="1"/>
        <v>-97.8347</v>
      </c>
      <c r="N46" s="59">
        <v>0.152147749</v>
      </c>
      <c r="O46" s="59">
        <v>-98.697181702</v>
      </c>
      <c r="P46" s="59">
        <v>0.226882347</v>
      </c>
      <c r="Q46" s="61">
        <f t="shared" si="2"/>
        <v>0.008815703447</v>
      </c>
      <c r="R46" s="62">
        <f t="shared" si="3"/>
        <v>-3.15725068</v>
      </c>
      <c r="S46" s="58"/>
      <c r="T46" s="63">
        <f t="shared" si="4"/>
        <v>534.2851586</v>
      </c>
      <c r="U46" s="63">
        <f t="shared" si="14"/>
        <v>59.65193005</v>
      </c>
      <c r="V46" s="59">
        <f t="shared" si="6"/>
        <v>0.991261334</v>
      </c>
      <c r="W46" s="58">
        <f t="shared" si="7"/>
        <v>1</v>
      </c>
      <c r="X46" s="58">
        <f t="shared" si="8"/>
        <v>41</v>
      </c>
      <c r="Y46" s="89"/>
      <c r="Z46" s="70">
        <f t="shared" si="9"/>
        <v>-0.0978347</v>
      </c>
      <c r="AA46" s="89"/>
      <c r="AB46" s="89"/>
      <c r="AC46" s="89"/>
      <c r="AD46" s="89"/>
      <c r="AE46" s="89"/>
      <c r="AF46" s="89"/>
      <c r="AG46" s="89"/>
      <c r="AH46" s="89"/>
      <c r="AI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-1.43282E-4</v>
      </c>
      <c r="L47" s="60">
        <v>2.22893642254721E-6</v>
      </c>
      <c r="M47" s="59">
        <f t="shared" si="1"/>
        <v>-143.282</v>
      </c>
      <c r="N47" s="59">
        <v>0.227926932</v>
      </c>
      <c r="O47" s="59">
        <v>-146.449859619</v>
      </c>
      <c r="P47" s="59">
        <v>0.337586737</v>
      </c>
      <c r="Q47" s="61">
        <f t="shared" si="2"/>
        <v>0.02210926438</v>
      </c>
      <c r="R47" s="62">
        <f t="shared" si="3"/>
        <v>-7.777185526</v>
      </c>
      <c r="S47" s="58"/>
      <c r="T47" s="63">
        <f t="shared" si="4"/>
        <v>782.4774451</v>
      </c>
      <c r="U47" s="63">
        <f t="shared" si="14"/>
        <v>87.36213063</v>
      </c>
      <c r="V47" s="59">
        <f t="shared" si="6"/>
        <v>0.9783689815</v>
      </c>
      <c r="W47" s="58">
        <f t="shared" si="7"/>
        <v>1</v>
      </c>
      <c r="X47" s="58">
        <f t="shared" si="8"/>
        <v>42</v>
      </c>
      <c r="Y47" s="89"/>
      <c r="Z47" s="79">
        <f t="shared" si="9"/>
        <v>-0.143282</v>
      </c>
      <c r="AA47" s="89"/>
      <c r="AB47" s="89"/>
      <c r="AC47" s="89"/>
      <c r="AD47" s="89"/>
      <c r="AE47" s="89"/>
      <c r="AF47" s="89"/>
      <c r="AG47" s="89"/>
      <c r="AH47" s="89"/>
      <c r="AI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-1.25766931818181E-7</v>
      </c>
      <c r="L48" s="96">
        <v>1.08266295110717E-8</v>
      </c>
      <c r="M48" s="95">
        <f t="shared" si="1"/>
        <v>-0.1257669318</v>
      </c>
      <c r="N48" s="95">
        <v>0.001286359</v>
      </c>
      <c r="O48" s="95">
        <v>-0.143548876</v>
      </c>
      <c r="P48" s="95">
        <v>0.001317935</v>
      </c>
      <c r="Q48" s="97">
        <f t="shared" si="2"/>
        <v>0.1413880734</v>
      </c>
      <c r="R48" s="98">
        <f t="shared" si="3"/>
        <v>-9.655445361</v>
      </c>
      <c r="S48" s="94"/>
      <c r="T48" s="99">
        <f t="shared" si="4"/>
        <v>0.6868258922</v>
      </c>
      <c r="U48" s="99">
        <f t="shared" ref="U48:U54" si="15">K48/$K$49</f>
        <v>0.04321739178</v>
      </c>
      <c r="V48" s="95">
        <f t="shared" si="6"/>
        <v>0.876126204</v>
      </c>
      <c r="W48" s="94">
        <f t="shared" si="7"/>
        <v>0</v>
      </c>
      <c r="X48" s="94">
        <f t="shared" si="8"/>
        <v>43</v>
      </c>
      <c r="Y48" s="100"/>
      <c r="Z48" s="68">
        <f t="shared" si="9"/>
        <v>-0.0001257669318</v>
      </c>
      <c r="AA48" s="100"/>
      <c r="AB48" s="100"/>
      <c r="AC48" s="100"/>
      <c r="AD48" s="100"/>
      <c r="AE48" s="100"/>
      <c r="AF48" s="100"/>
      <c r="AG48" s="100"/>
      <c r="AH48" s="100"/>
      <c r="AI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-2.9101E-6</v>
      </c>
      <c r="L49" s="96">
        <v>5.72415579766654E-8</v>
      </c>
      <c r="M49" s="95">
        <f t="shared" si="1"/>
        <v>-2.9101</v>
      </c>
      <c r="N49" s="95">
        <v>0.006231784</v>
      </c>
      <c r="O49" s="95">
        <v>-2.931609392</v>
      </c>
      <c r="P49" s="95">
        <v>0.006236652</v>
      </c>
      <c r="Q49" s="97">
        <f t="shared" si="2"/>
        <v>0.007391289646</v>
      </c>
      <c r="R49" s="98">
        <f t="shared" si="3"/>
        <v>-2.439670185</v>
      </c>
      <c r="S49" s="94"/>
      <c r="T49" s="99">
        <f t="shared" si="4"/>
        <v>15.89234944</v>
      </c>
      <c r="U49" s="99">
        <f t="shared" si="15"/>
        <v>1</v>
      </c>
      <c r="V49" s="95">
        <f t="shared" si="6"/>
        <v>0.9926629407</v>
      </c>
      <c r="W49" s="94">
        <f t="shared" si="7"/>
        <v>1</v>
      </c>
      <c r="X49" s="94">
        <f t="shared" si="8"/>
        <v>44</v>
      </c>
      <c r="Y49" s="100"/>
      <c r="Z49" s="69">
        <f t="shared" si="9"/>
        <v>-0.0029101</v>
      </c>
      <c r="AA49" s="100"/>
      <c r="AB49" s="100"/>
      <c r="AC49" s="100"/>
      <c r="AD49" s="100"/>
      <c r="AE49" s="100"/>
      <c r="AF49" s="100"/>
      <c r="AG49" s="100"/>
      <c r="AH49" s="100"/>
      <c r="AI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-2.09744E-5</v>
      </c>
      <c r="L50" s="96">
        <v>3.37484215867343E-7</v>
      </c>
      <c r="M50" s="95">
        <f t="shared" si="1"/>
        <v>-20.9744</v>
      </c>
      <c r="N50" s="95">
        <v>0.031671921</v>
      </c>
      <c r="O50" s="95">
        <v>-21.029003143</v>
      </c>
      <c r="P50" s="95">
        <v>0.046922736</v>
      </c>
      <c r="Q50" s="97">
        <f t="shared" si="2"/>
        <v>0.002603323242</v>
      </c>
      <c r="R50" s="98">
        <f t="shared" si="3"/>
        <v>-0.9645251026</v>
      </c>
      <c r="S50" s="94"/>
      <c r="T50" s="99">
        <f t="shared" si="4"/>
        <v>114.5433127</v>
      </c>
      <c r="U50" s="99">
        <f t="shared" si="15"/>
        <v>7.207449916</v>
      </c>
      <c r="V50" s="95">
        <f t="shared" si="6"/>
        <v>0.9974034365</v>
      </c>
      <c r="W50" s="94">
        <f t="shared" si="7"/>
        <v>1</v>
      </c>
      <c r="X50" s="94">
        <f t="shared" si="8"/>
        <v>45</v>
      </c>
      <c r="Y50" s="100"/>
      <c r="Z50" s="70">
        <f t="shared" si="9"/>
        <v>-0.0209744</v>
      </c>
      <c r="AA50" s="100"/>
      <c r="AB50" s="100"/>
      <c r="AC50" s="100"/>
      <c r="AD50" s="100"/>
      <c r="AE50" s="100"/>
      <c r="AF50" s="100"/>
      <c r="AG50" s="100"/>
      <c r="AH50" s="100"/>
      <c r="AI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-5.52815999999999E-5</v>
      </c>
      <c r="L51" s="96">
        <v>8.02118054738437E-7</v>
      </c>
      <c r="M51" s="95">
        <f t="shared" si="1"/>
        <v>-55.2816</v>
      </c>
      <c r="N51" s="95">
        <v>0.085245898</v>
      </c>
      <c r="O51" s="95">
        <v>-55.802177429</v>
      </c>
      <c r="P51" s="95">
        <v>0.126725895</v>
      </c>
      <c r="Q51" s="97">
        <f t="shared" si="2"/>
        <v>0.009416829994</v>
      </c>
      <c r="R51" s="98">
        <f t="shared" si="3"/>
        <v>-3.408491856</v>
      </c>
      <c r="S51" s="94"/>
      <c r="T51" s="99">
        <f t="shared" si="4"/>
        <v>301.8983901</v>
      </c>
      <c r="U51" s="99">
        <f t="shared" si="15"/>
        <v>18.9964606</v>
      </c>
      <c r="V51" s="95">
        <f t="shared" si="6"/>
        <v>0.9906710194</v>
      </c>
      <c r="W51" s="94">
        <f t="shared" si="7"/>
        <v>1</v>
      </c>
      <c r="X51" s="94">
        <f t="shared" si="8"/>
        <v>46</v>
      </c>
      <c r="Y51" s="100"/>
      <c r="Z51" s="70">
        <f t="shared" si="9"/>
        <v>-0.0552816</v>
      </c>
      <c r="AA51" s="100"/>
      <c r="AB51" s="100"/>
      <c r="AC51" s="100"/>
      <c r="AD51" s="100"/>
      <c r="AE51" s="100"/>
      <c r="AF51" s="100"/>
      <c r="AG51" s="100"/>
      <c r="AH51" s="100"/>
      <c r="AI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-1.05321E-4</v>
      </c>
      <c r="L52" s="96">
        <v>1.6150988961808E-6</v>
      </c>
      <c r="M52" s="95">
        <f t="shared" si="1"/>
        <v>-105.321</v>
      </c>
      <c r="N52" s="95">
        <v>0.166045387</v>
      </c>
      <c r="O52" s="95">
        <v>-107.300392151</v>
      </c>
      <c r="P52" s="95">
        <v>0.245536394</v>
      </c>
      <c r="Q52" s="97">
        <f t="shared" si="2"/>
        <v>0.01879389819</v>
      </c>
      <c r="R52" s="98">
        <f t="shared" si="3"/>
        <v>-6.677874347</v>
      </c>
      <c r="S52" s="94"/>
      <c r="T52" s="99">
        <f t="shared" si="4"/>
        <v>575.1685976</v>
      </c>
      <c r="U52" s="99">
        <f t="shared" si="15"/>
        <v>36.19153981</v>
      </c>
      <c r="V52" s="95">
        <f t="shared" si="6"/>
        <v>0.9815527967</v>
      </c>
      <c r="W52" s="94">
        <f t="shared" si="7"/>
        <v>1</v>
      </c>
      <c r="X52" s="94">
        <f t="shared" si="8"/>
        <v>47</v>
      </c>
      <c r="Y52" s="100"/>
      <c r="Z52" s="79">
        <f t="shared" si="9"/>
        <v>-0.105321</v>
      </c>
      <c r="AA52" s="100"/>
      <c r="AB52" s="100"/>
      <c r="AC52" s="100"/>
      <c r="AD52" s="100"/>
      <c r="AE52" s="100"/>
      <c r="AF52" s="100"/>
      <c r="AG52" s="100"/>
      <c r="AH52" s="100"/>
      <c r="AI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-1.70153E-4</v>
      </c>
      <c r="L53" s="96">
        <v>3.15919229544451E-6</v>
      </c>
      <c r="M53" s="95">
        <f t="shared" si="1"/>
        <v>-170.153</v>
      </c>
      <c r="N53" s="95">
        <v>0.274920115</v>
      </c>
      <c r="O53" s="95">
        <v>-175.477630615</v>
      </c>
      <c r="P53" s="95">
        <v>0.403346394</v>
      </c>
      <c r="Q53" s="97">
        <f t="shared" si="2"/>
        <v>0.03129319269</v>
      </c>
      <c r="R53" s="98">
        <f t="shared" si="3"/>
        <v>-10.90825708</v>
      </c>
      <c r="S53" s="94"/>
      <c r="T53" s="99">
        <f t="shared" si="4"/>
        <v>929.2226847</v>
      </c>
      <c r="U53" s="99">
        <f t="shared" si="15"/>
        <v>58.46981203</v>
      </c>
      <c r="V53" s="95">
        <f t="shared" si="6"/>
        <v>0.9696563568</v>
      </c>
      <c r="W53" s="94">
        <f t="shared" si="7"/>
        <v>1</v>
      </c>
      <c r="X53" s="94">
        <f t="shared" si="8"/>
        <v>48</v>
      </c>
      <c r="Y53" s="100"/>
      <c r="Z53" s="79">
        <f t="shared" si="9"/>
        <v>-0.170153</v>
      </c>
      <c r="AA53" s="100"/>
      <c r="AB53" s="100"/>
      <c r="AC53" s="100"/>
      <c r="AD53" s="100"/>
      <c r="AE53" s="100"/>
      <c r="AF53" s="100"/>
      <c r="AG53" s="100"/>
      <c r="AH53" s="100"/>
      <c r="AI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-2.49034E-4</v>
      </c>
      <c r="L54" s="96">
        <v>4.35076261746551E-6</v>
      </c>
      <c r="M54" s="95">
        <f t="shared" si="1"/>
        <v>-249.034</v>
      </c>
      <c r="N54" s="95">
        <v>0.408765959</v>
      </c>
      <c r="O54" s="95">
        <v>-260.377227783</v>
      </c>
      <c r="P54" s="95">
        <v>0.6001542</v>
      </c>
      <c r="Q54" s="97">
        <f t="shared" si="2"/>
        <v>0.04554891213</v>
      </c>
      <c r="R54" s="98">
        <f t="shared" si="3"/>
        <v>-15.62133686</v>
      </c>
      <c r="S54" s="94"/>
      <c r="T54" s="99">
        <f t="shared" si="4"/>
        <v>1359.999777</v>
      </c>
      <c r="U54" s="99">
        <f t="shared" si="15"/>
        <v>85.57575341</v>
      </c>
      <c r="V54" s="95">
        <f t="shared" si="6"/>
        <v>0.9564354077</v>
      </c>
      <c r="W54" s="94">
        <f t="shared" si="7"/>
        <v>1</v>
      </c>
      <c r="X54" s="94">
        <f t="shared" si="8"/>
        <v>49</v>
      </c>
      <c r="Y54" s="100"/>
      <c r="Z54" s="79">
        <f t="shared" si="9"/>
        <v>-0.249034</v>
      </c>
      <c r="AA54" s="100"/>
      <c r="AB54" s="100"/>
      <c r="AC54" s="100"/>
      <c r="AD54" s="100"/>
      <c r="AE54" s="100"/>
      <c r="AF54" s="100"/>
      <c r="AG54" s="100"/>
      <c r="AH54" s="100"/>
      <c r="AI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-1.68847191011235E-7</v>
      </c>
      <c r="L55" s="103">
        <v>1.69254856912159E-8</v>
      </c>
      <c r="M55" s="102">
        <f t="shared" si="1"/>
        <v>-0.168847191</v>
      </c>
      <c r="N55" s="102">
        <v>0.001924298</v>
      </c>
      <c r="O55" s="102">
        <v>-0.224293232</v>
      </c>
      <c r="P55" s="102">
        <v>0.002059274</v>
      </c>
      <c r="Q55" s="104">
        <f t="shared" si="2"/>
        <v>0.3283800024</v>
      </c>
      <c r="R55" s="106">
        <f t="shared" si="3"/>
        <v>-19.67268833</v>
      </c>
      <c r="S55" s="101"/>
      <c r="T55" s="108">
        <f t="shared" si="4"/>
        <v>0.9220915302</v>
      </c>
      <c r="U55" s="108">
        <f t="shared" ref="U55:U61" si="16">K55/$K$56</f>
        <v>0.03774307647</v>
      </c>
      <c r="V55" s="102">
        <f t="shared" si="6"/>
        <v>0.7527966382</v>
      </c>
      <c r="W55" s="101">
        <f t="shared" si="7"/>
        <v>0</v>
      </c>
      <c r="X55" s="101">
        <f t="shared" si="8"/>
        <v>50</v>
      </c>
      <c r="Y55" s="110"/>
      <c r="Z55" s="68">
        <f t="shared" si="9"/>
        <v>-0.000168847191</v>
      </c>
      <c r="AA55" s="110"/>
      <c r="AB55" s="110"/>
      <c r="AC55" s="110"/>
      <c r="AD55" s="110"/>
      <c r="AE55" s="110"/>
      <c r="AF55" s="110"/>
      <c r="AG55" s="110"/>
      <c r="AH55" s="110"/>
      <c r="AI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-4.47359374999999E-6</v>
      </c>
      <c r="L56" s="103">
        <v>9.6468219814665E-8</v>
      </c>
      <c r="M56" s="102">
        <f t="shared" si="1"/>
        <v>-4.47359375</v>
      </c>
      <c r="N56" s="102">
        <v>0.009927521</v>
      </c>
      <c r="O56" s="102">
        <v>-4.576874733</v>
      </c>
      <c r="P56" s="102">
        <v>0.009744769</v>
      </c>
      <c r="Q56" s="104">
        <f t="shared" si="2"/>
        <v>0.02308680421</v>
      </c>
      <c r="R56" s="106">
        <f t="shared" si="3"/>
        <v>-7.424405837</v>
      </c>
      <c r="S56" s="101"/>
      <c r="T56" s="108">
        <f t="shared" si="4"/>
        <v>24.43074642</v>
      </c>
      <c r="U56" s="108">
        <f t="shared" si="16"/>
        <v>1</v>
      </c>
      <c r="V56" s="102">
        <f t="shared" si="6"/>
        <v>0.9774341687</v>
      </c>
      <c r="W56" s="101">
        <f t="shared" si="7"/>
        <v>1</v>
      </c>
      <c r="X56" s="101">
        <f t="shared" si="8"/>
        <v>51</v>
      </c>
      <c r="Y56" s="110"/>
      <c r="Z56" s="69">
        <f t="shared" si="9"/>
        <v>-0.00447359375</v>
      </c>
      <c r="AA56" s="110"/>
      <c r="AB56" s="110"/>
      <c r="AC56" s="110"/>
      <c r="AD56" s="110"/>
      <c r="AE56" s="110"/>
      <c r="AF56" s="110"/>
      <c r="AG56" s="110"/>
      <c r="AH56" s="110"/>
      <c r="AI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-3.23992999999999E-5</v>
      </c>
      <c r="L57" s="103">
        <v>4.90353933193137E-7</v>
      </c>
      <c r="M57" s="102">
        <f t="shared" si="1"/>
        <v>-32.3993</v>
      </c>
      <c r="N57" s="102">
        <v>0.04998419</v>
      </c>
      <c r="O57" s="102">
        <v>-32.852478027</v>
      </c>
      <c r="P57" s="102">
        <v>0.073316775</v>
      </c>
      <c r="Q57" s="104">
        <f t="shared" si="2"/>
        <v>0.01398727834</v>
      </c>
      <c r="R57" s="106">
        <f t="shared" si="3"/>
        <v>-5.107137101</v>
      </c>
      <c r="S57" s="101"/>
      <c r="T57" s="108">
        <f t="shared" si="4"/>
        <v>176.9358432</v>
      </c>
      <c r="U57" s="108">
        <f t="shared" si="16"/>
        <v>7.242342915</v>
      </c>
      <c r="V57" s="102">
        <f t="shared" si="6"/>
        <v>0.9862056668</v>
      </c>
      <c r="W57" s="101">
        <f t="shared" si="7"/>
        <v>1</v>
      </c>
      <c r="X57" s="101">
        <f t="shared" si="8"/>
        <v>52</v>
      </c>
      <c r="Y57" s="110"/>
      <c r="Z57" s="70">
        <f t="shared" si="9"/>
        <v>-0.0323993</v>
      </c>
      <c r="AA57" s="110"/>
      <c r="AB57" s="110"/>
      <c r="AC57" s="110"/>
      <c r="AD57" s="110"/>
      <c r="AE57" s="110"/>
      <c r="AF57" s="110"/>
      <c r="AG57" s="110"/>
      <c r="AH57" s="110"/>
      <c r="AI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-8.52313999999999E-5</v>
      </c>
      <c r="L58" s="103">
        <v>1.21562804983907E-6</v>
      </c>
      <c r="M58" s="102">
        <f t="shared" si="1"/>
        <v>-85.2314</v>
      </c>
      <c r="N58" s="102">
        <v>0.1345661</v>
      </c>
      <c r="O58" s="102">
        <v>-87.202232361</v>
      </c>
      <c r="P58" s="102">
        <v>0.198009211</v>
      </c>
      <c r="Q58" s="104">
        <f t="shared" si="2"/>
        <v>0.02312331325</v>
      </c>
      <c r="R58" s="106">
        <f t="shared" si="3"/>
        <v>-8.232143818</v>
      </c>
      <c r="S58" s="101"/>
      <c r="T58" s="108">
        <f t="shared" si="4"/>
        <v>465.4572669</v>
      </c>
      <c r="U58" s="108">
        <f t="shared" si="16"/>
        <v>19.05210995</v>
      </c>
      <c r="V58" s="102">
        <f t="shared" si="6"/>
        <v>0.97739929</v>
      </c>
      <c r="W58" s="101">
        <f t="shared" si="7"/>
        <v>1</v>
      </c>
      <c r="X58" s="101">
        <f t="shared" si="8"/>
        <v>53</v>
      </c>
      <c r="Y58" s="110"/>
      <c r="Z58" s="70">
        <f t="shared" si="9"/>
        <v>-0.0852314</v>
      </c>
      <c r="AA58" s="110"/>
      <c r="AB58" s="110"/>
      <c r="AC58" s="110"/>
      <c r="AD58" s="110"/>
      <c r="AE58" s="110"/>
      <c r="AF58" s="110"/>
      <c r="AG58" s="110"/>
      <c r="AH58" s="110"/>
      <c r="AI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-1.6232E-4</v>
      </c>
      <c r="L59" s="103">
        <v>2.36865047031111E-6</v>
      </c>
      <c r="M59" s="102">
        <f t="shared" si="1"/>
        <v>-162.32</v>
      </c>
      <c r="N59" s="102">
        <v>0.262377457</v>
      </c>
      <c r="O59" s="102">
        <v>-167.6381073</v>
      </c>
      <c r="P59" s="102">
        <v>0.383650616</v>
      </c>
      <c r="Q59" s="104">
        <f t="shared" si="2"/>
        <v>0.03276310559</v>
      </c>
      <c r="R59" s="106">
        <f t="shared" si="3"/>
        <v>-11.44195773</v>
      </c>
      <c r="S59" s="101"/>
      <c r="T59" s="108">
        <f t="shared" si="4"/>
        <v>886.4458822</v>
      </c>
      <c r="U59" s="108">
        <f t="shared" si="16"/>
        <v>36.2840278</v>
      </c>
      <c r="V59" s="102">
        <f t="shared" si="6"/>
        <v>0.9682762626</v>
      </c>
      <c r="W59" s="101">
        <f t="shared" si="7"/>
        <v>1</v>
      </c>
      <c r="X59" s="101">
        <f t="shared" si="8"/>
        <v>54</v>
      </c>
      <c r="Y59" s="110"/>
      <c r="Z59" s="79">
        <f t="shared" si="9"/>
        <v>-0.16232</v>
      </c>
      <c r="AA59" s="110"/>
      <c r="AB59" s="110"/>
      <c r="AC59" s="110"/>
      <c r="AD59" s="110"/>
      <c r="AE59" s="110"/>
      <c r="AF59" s="110"/>
      <c r="AG59" s="110"/>
      <c r="AH59" s="110"/>
      <c r="AI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-2.61493E-4</v>
      </c>
      <c r="L60" s="103">
        <v>4.09005334483993E-6</v>
      </c>
      <c r="M60" s="102">
        <f t="shared" si="1"/>
        <v>-261.493</v>
      </c>
      <c r="N60" s="102">
        <v>0.430195983</v>
      </c>
      <c r="O60" s="102">
        <v>-274.310546875</v>
      </c>
      <c r="P60" s="102">
        <v>0.630228741</v>
      </c>
      <c r="Q60" s="104">
        <f t="shared" si="2"/>
        <v>0.04901678773</v>
      </c>
      <c r="R60" s="106">
        <f t="shared" si="3"/>
        <v>-16.79761454</v>
      </c>
      <c r="S60" s="101"/>
      <c r="T60" s="108">
        <f t="shared" si="4"/>
        <v>1428.039632</v>
      </c>
      <c r="U60" s="108">
        <f t="shared" si="16"/>
        <v>58.45255842</v>
      </c>
      <c r="V60" s="102">
        <f t="shared" si="6"/>
        <v>0.9532735907</v>
      </c>
      <c r="W60" s="101">
        <f t="shared" si="7"/>
        <v>1</v>
      </c>
      <c r="X60" s="101">
        <f t="shared" si="8"/>
        <v>55</v>
      </c>
      <c r="Y60" s="110"/>
      <c r="Z60" s="79">
        <f t="shared" si="9"/>
        <v>-0.261493</v>
      </c>
      <c r="AA60" s="110"/>
      <c r="AB60" s="110"/>
      <c r="AC60" s="110"/>
      <c r="AD60" s="110"/>
      <c r="AE60" s="110"/>
      <c r="AF60" s="110"/>
      <c r="AG60" s="110"/>
      <c r="AH60" s="110"/>
      <c r="AI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-3.83726999999999E-4</v>
      </c>
      <c r="L61" s="103">
        <v>6.1559342315059E-6</v>
      </c>
      <c r="M61" s="102">
        <f t="shared" si="1"/>
        <v>-383.727</v>
      </c>
      <c r="N61" s="102">
        <v>0.637139749</v>
      </c>
      <c r="O61" s="102">
        <v>-406.921936035</v>
      </c>
      <c r="P61" s="102">
        <v>0.937740937</v>
      </c>
      <c r="Q61" s="104">
        <f t="shared" si="2"/>
        <v>0.06044645291</v>
      </c>
      <c r="R61" s="106">
        <f t="shared" si="3"/>
        <v>-20.45926651</v>
      </c>
      <c r="S61" s="101"/>
      <c r="T61" s="108">
        <f t="shared" si="4"/>
        <v>2095.571827</v>
      </c>
      <c r="U61" s="108">
        <f t="shared" si="16"/>
        <v>85.77600503</v>
      </c>
      <c r="V61" s="102">
        <f t="shared" si="6"/>
        <v>0.9429990522</v>
      </c>
      <c r="W61" s="101">
        <f t="shared" si="7"/>
        <v>1</v>
      </c>
      <c r="X61" s="101">
        <f t="shared" si="8"/>
        <v>56</v>
      </c>
      <c r="Y61" s="110"/>
      <c r="Z61" s="79">
        <f t="shared" si="9"/>
        <v>-0.383727</v>
      </c>
      <c r="AA61" s="110"/>
      <c r="AB61" s="110"/>
      <c r="AC61" s="110"/>
      <c r="AD61" s="110"/>
      <c r="AE61" s="110"/>
      <c r="AF61" s="110"/>
      <c r="AG61" s="110"/>
      <c r="AH61" s="110"/>
      <c r="AI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-1.83629E-7</v>
      </c>
      <c r="L62" s="117">
        <v>3.35707589813792E-9</v>
      </c>
      <c r="M62" s="116">
        <f t="shared" si="1"/>
        <v>-0.183629</v>
      </c>
      <c r="N62" s="116">
        <v>3.86279E-4</v>
      </c>
      <c r="O62" s="116">
        <v>-0.183225587</v>
      </c>
      <c r="P62" s="116">
        <v>3.89791E-4</v>
      </c>
      <c r="Q62" s="118">
        <f t="shared" si="2"/>
        <v>-0.002196891559</v>
      </c>
      <c r="R62" s="119">
        <f t="shared" si="3"/>
        <v>0.7351222109</v>
      </c>
      <c r="T62" s="120">
        <f t="shared" si="4"/>
        <v>1.002816479</v>
      </c>
      <c r="V62" s="1">
        <f t="shared" si="6"/>
        <v>1.002201729</v>
      </c>
      <c r="W62" s="121">
        <f t="shared" si="7"/>
        <v>1</v>
      </c>
      <c r="X62" s="121">
        <f t="shared" si="8"/>
        <v>57</v>
      </c>
      <c r="Z62" s="68">
        <f t="shared" si="9"/>
        <v>-0.000183629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-1.83629E-7</v>
      </c>
      <c r="L63" s="117">
        <v>3.35707589813792E-9</v>
      </c>
      <c r="M63" s="116">
        <f t="shared" si="1"/>
        <v>-0.183629</v>
      </c>
      <c r="N63" s="116">
        <v>3.86279E-4</v>
      </c>
      <c r="O63" s="116">
        <v>-0.183225587</v>
      </c>
      <c r="P63" s="116">
        <v>3.89791E-4</v>
      </c>
      <c r="Q63" s="118">
        <f t="shared" si="2"/>
        <v>-0.002196891559</v>
      </c>
      <c r="R63" s="119">
        <f t="shared" si="3"/>
        <v>0.7351222109</v>
      </c>
      <c r="T63" s="120">
        <f t="shared" si="4"/>
        <v>1.002816479</v>
      </c>
      <c r="V63" s="1">
        <f t="shared" si="6"/>
        <v>1.002201729</v>
      </c>
      <c r="W63" s="121">
        <f t="shared" si="7"/>
        <v>1</v>
      </c>
      <c r="X63" s="121">
        <f t="shared" si="8"/>
        <v>58</v>
      </c>
      <c r="Z63" s="68">
        <f t="shared" si="9"/>
        <v>-0.000183629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-3.28927E-6</v>
      </c>
      <c r="L64" s="117">
        <v>4.46145908551419E-8</v>
      </c>
      <c r="M64" s="116">
        <f t="shared" si="1"/>
        <v>-3.28927</v>
      </c>
      <c r="N64" s="116">
        <v>0.004889417</v>
      </c>
      <c r="O64" s="116">
        <v>-3.262229681</v>
      </c>
      <c r="P64" s="116">
        <v>0.007616548</v>
      </c>
      <c r="Q64" s="118">
        <f t="shared" si="2"/>
        <v>-0.008220766006</v>
      </c>
      <c r="R64" s="119">
        <f t="shared" si="3"/>
        <v>2.987594181</v>
      </c>
      <c r="T64" s="120">
        <f t="shared" si="4"/>
        <v>17.96303503</v>
      </c>
      <c r="V64" s="1">
        <f t="shared" si="6"/>
        <v>1.008288907</v>
      </c>
      <c r="W64" s="121">
        <f t="shared" si="7"/>
        <v>1</v>
      </c>
      <c r="X64" s="121">
        <f t="shared" si="8"/>
        <v>59</v>
      </c>
      <c r="Z64" s="69">
        <f t="shared" si="9"/>
        <v>-0.00328927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-1.83535E-7</v>
      </c>
      <c r="L65" s="117">
        <v>3.65365114189445E-9</v>
      </c>
      <c r="M65" s="116">
        <f t="shared" si="1"/>
        <v>-0.183535</v>
      </c>
      <c r="N65" s="116">
        <v>3.87429E-4</v>
      </c>
      <c r="O65" s="116">
        <v>-0.183385551</v>
      </c>
      <c r="P65" s="116">
        <v>4.21516E-4</v>
      </c>
      <c r="Q65" s="118">
        <f t="shared" si="2"/>
        <v>-0.0008142806549</v>
      </c>
      <c r="R65" s="119">
        <f t="shared" si="3"/>
        <v>0.2610380379</v>
      </c>
      <c r="T65" s="120">
        <f t="shared" si="4"/>
        <v>1.002303136</v>
      </c>
      <c r="V65" s="1">
        <f t="shared" si="6"/>
        <v>1.000814944</v>
      </c>
      <c r="W65" s="121">
        <f t="shared" si="7"/>
        <v>1</v>
      </c>
      <c r="X65" s="121">
        <f t="shared" si="8"/>
        <v>60</v>
      </c>
      <c r="Z65" s="68">
        <f t="shared" si="9"/>
        <v>-0.000183535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-1.83586E-7</v>
      </c>
      <c r="L66" s="117">
        <v>4.03101661488698E-9</v>
      </c>
      <c r="M66" s="116">
        <f t="shared" si="1"/>
        <v>-0.183586</v>
      </c>
      <c r="N66" s="116">
        <v>3.87202E-4</v>
      </c>
      <c r="O66" s="116">
        <v>-0.183386579</v>
      </c>
      <c r="P66" s="116">
        <v>4.21917E-4</v>
      </c>
      <c r="Q66" s="118">
        <f t="shared" si="2"/>
        <v>-0.001086253854</v>
      </c>
      <c r="R66" s="119">
        <f t="shared" si="3"/>
        <v>0.3482363708</v>
      </c>
      <c r="T66" s="120">
        <f t="shared" si="4"/>
        <v>1.002581652</v>
      </c>
      <c r="V66" s="1">
        <f t="shared" si="6"/>
        <v>1.001087435</v>
      </c>
      <c r="W66" s="121">
        <f t="shared" si="7"/>
        <v>1</v>
      </c>
      <c r="X66" s="121">
        <f t="shared" si="8"/>
        <v>61</v>
      </c>
      <c r="Z66" s="68">
        <f t="shared" si="9"/>
        <v>-0.000183586</v>
      </c>
    </row>
    <row r="67">
      <c r="K67" s="1"/>
      <c r="L67" s="2"/>
      <c r="M67" s="1"/>
      <c r="O67" s="1"/>
      <c r="W67" s="122">
        <f>(SUM(W6:W61)-1)/55</f>
        <v>0.9636363636</v>
      </c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16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52</v>
      </c>
      <c r="B1" s="188" t="s">
        <v>41</v>
      </c>
      <c r="C1" s="189"/>
      <c r="E1" s="189"/>
      <c r="F1" s="189"/>
      <c r="I1" s="179"/>
      <c r="J1" s="189"/>
      <c r="K1" s="189"/>
      <c r="M1" s="189"/>
      <c r="N1" s="189"/>
      <c r="Q1" s="179"/>
      <c r="R1" s="4"/>
      <c r="S1" s="188" t="s">
        <v>46</v>
      </c>
      <c r="T1" s="189"/>
      <c r="V1" s="189"/>
      <c r="W1" s="189"/>
      <c r="Z1" s="179"/>
      <c r="AA1" s="189"/>
      <c r="AB1" s="189"/>
      <c r="AD1" s="189"/>
      <c r="AE1" s="189"/>
      <c r="AH1" s="179"/>
      <c r="AI1" s="4"/>
      <c r="AJ1" s="190" t="s">
        <v>47</v>
      </c>
      <c r="AK1" s="191"/>
      <c r="AM1" s="191"/>
      <c r="AN1" s="191"/>
      <c r="AQ1" s="179"/>
      <c r="AR1" s="192"/>
      <c r="AS1" s="192"/>
      <c r="AU1" s="192"/>
      <c r="AV1" s="192"/>
      <c r="AY1" s="179"/>
      <c r="AZ1" s="4"/>
      <c r="BA1" s="193" t="s">
        <v>48</v>
      </c>
      <c r="BB1" s="192"/>
      <c r="BD1" s="192"/>
      <c r="BE1" s="192"/>
      <c r="BH1" s="179"/>
      <c r="BI1" s="192"/>
      <c r="BJ1" s="192"/>
      <c r="BL1" s="192"/>
      <c r="BM1" s="192"/>
      <c r="BP1" s="179"/>
    </row>
    <row r="2">
      <c r="A2" s="4"/>
      <c r="B2" s="188" t="s">
        <v>53</v>
      </c>
      <c r="C2" s="189"/>
      <c r="E2" s="189"/>
      <c r="F2" s="189"/>
      <c r="I2" s="179"/>
      <c r="J2" s="188" t="s">
        <v>54</v>
      </c>
      <c r="K2" s="189"/>
      <c r="M2" s="189"/>
      <c r="N2" s="189"/>
      <c r="Q2" s="179"/>
      <c r="R2" s="4"/>
      <c r="S2" s="188" t="s">
        <v>53</v>
      </c>
      <c r="T2" s="189"/>
      <c r="V2" s="189"/>
      <c r="W2" s="189"/>
      <c r="Z2" s="179"/>
      <c r="AA2" s="188" t="s">
        <v>54</v>
      </c>
      <c r="AB2" s="189"/>
      <c r="AD2" s="189"/>
      <c r="AE2" s="189"/>
      <c r="AH2" s="179"/>
      <c r="AI2" s="4"/>
      <c r="AJ2" s="188" t="s">
        <v>53</v>
      </c>
      <c r="AK2" s="189"/>
      <c r="AM2" s="189"/>
      <c r="AN2" s="189"/>
      <c r="AQ2" s="179"/>
      <c r="AR2" s="188" t="s">
        <v>54</v>
      </c>
      <c r="AS2" s="192"/>
      <c r="AU2" s="192"/>
      <c r="AV2" s="192"/>
      <c r="AY2" s="179"/>
      <c r="AZ2" s="4"/>
      <c r="BA2" s="188" t="s">
        <v>53</v>
      </c>
      <c r="BB2" s="189"/>
      <c r="BD2" s="189"/>
      <c r="BE2" s="189"/>
      <c r="BH2" s="179"/>
      <c r="BI2" s="188" t="s">
        <v>54</v>
      </c>
      <c r="BJ2" s="192"/>
      <c r="BL2" s="192"/>
      <c r="BM2" s="192"/>
      <c r="BP2" s="179"/>
    </row>
    <row r="3">
      <c r="A3" s="4"/>
      <c r="B3" s="188" t="s">
        <v>55</v>
      </c>
      <c r="C3" s="188" t="s">
        <v>56</v>
      </c>
      <c r="D3" s="4">
        <v>1.0</v>
      </c>
      <c r="E3" s="188" t="s">
        <v>57</v>
      </c>
      <c r="F3" s="188" t="s">
        <v>56</v>
      </c>
      <c r="H3" s="4" t="s">
        <v>58</v>
      </c>
      <c r="I3" s="194" t="s">
        <v>59</v>
      </c>
      <c r="J3" s="188" t="s">
        <v>55</v>
      </c>
      <c r="K3" s="188" t="s">
        <v>56</v>
      </c>
      <c r="M3" s="188" t="s">
        <v>57</v>
      </c>
      <c r="N3" s="188" t="s">
        <v>56</v>
      </c>
      <c r="O3" s="4"/>
      <c r="P3" s="4" t="s">
        <v>58</v>
      </c>
      <c r="Q3" s="194" t="s">
        <v>59</v>
      </c>
      <c r="R3" s="4"/>
      <c r="S3" s="188" t="s">
        <v>55</v>
      </c>
      <c r="T3" s="188" t="s">
        <v>56</v>
      </c>
      <c r="U3" s="4"/>
      <c r="V3" s="188" t="s">
        <v>57</v>
      </c>
      <c r="W3" s="188" t="s">
        <v>56</v>
      </c>
      <c r="X3" s="4"/>
      <c r="Y3" s="4" t="s">
        <v>58</v>
      </c>
      <c r="Z3" s="194" t="s">
        <v>59</v>
      </c>
      <c r="AA3" s="188" t="s">
        <v>55</v>
      </c>
      <c r="AB3" s="188" t="s">
        <v>56</v>
      </c>
      <c r="AC3" s="4"/>
      <c r="AD3" s="188" t="s">
        <v>57</v>
      </c>
      <c r="AE3" s="188" t="s">
        <v>56</v>
      </c>
      <c r="AF3" s="4"/>
      <c r="AG3" s="4" t="s">
        <v>58</v>
      </c>
      <c r="AH3" s="194" t="s">
        <v>59</v>
      </c>
      <c r="AI3" s="4"/>
      <c r="AJ3" s="190" t="s">
        <v>55</v>
      </c>
      <c r="AK3" s="190" t="s">
        <v>56</v>
      </c>
      <c r="AL3" s="4"/>
      <c r="AM3" s="190" t="s">
        <v>57</v>
      </c>
      <c r="AN3" s="190" t="s">
        <v>56</v>
      </c>
      <c r="AO3" s="4"/>
      <c r="AP3" s="4" t="s">
        <v>58</v>
      </c>
      <c r="AQ3" s="194" t="s">
        <v>59</v>
      </c>
      <c r="AR3" s="193" t="s">
        <v>55</v>
      </c>
      <c r="AS3" s="193" t="s">
        <v>56</v>
      </c>
      <c r="AT3" s="4"/>
      <c r="AU3" s="193" t="s">
        <v>57</v>
      </c>
      <c r="AV3" s="193" t="s">
        <v>56</v>
      </c>
      <c r="AW3" s="4"/>
      <c r="AX3" s="4" t="s">
        <v>58</v>
      </c>
      <c r="AY3" s="194" t="s">
        <v>59</v>
      </c>
      <c r="AZ3" s="4"/>
      <c r="BA3" s="193" t="s">
        <v>55</v>
      </c>
      <c r="BB3" s="193" t="s">
        <v>56</v>
      </c>
      <c r="BC3" s="4"/>
      <c r="BD3" s="193" t="s">
        <v>57</v>
      </c>
      <c r="BE3" s="193" t="s">
        <v>56</v>
      </c>
      <c r="BF3" s="4"/>
      <c r="BG3" s="4" t="s">
        <v>58</v>
      </c>
      <c r="BH3" s="194" t="s">
        <v>59</v>
      </c>
      <c r="BI3" s="193" t="s">
        <v>55</v>
      </c>
      <c r="BJ3" s="193" t="s">
        <v>56</v>
      </c>
      <c r="BK3" s="4"/>
      <c r="BL3" s="193" t="s">
        <v>57</v>
      </c>
      <c r="BM3" s="193" t="s">
        <v>56</v>
      </c>
      <c r="BN3" s="4"/>
      <c r="BO3" s="4" t="s">
        <v>58</v>
      </c>
      <c r="BP3" s="194" t="s">
        <v>59</v>
      </c>
    </row>
    <row r="4">
      <c r="A4" s="4">
        <v>1.0</v>
      </c>
      <c r="B4" s="188">
        <v>3.56678E-4</v>
      </c>
      <c r="C4" s="188">
        <v>1.683E-6</v>
      </c>
      <c r="D4" s="4">
        <f t="shared" ref="D4:D64" si="1">IF(abs(C4/B4)&gt;$D$3,1,0)</f>
        <v>0</v>
      </c>
      <c r="E4" s="188">
        <v>-5.339E-6</v>
      </c>
      <c r="F4" s="188">
        <v>1.386E-6</v>
      </c>
      <c r="G4" s="4">
        <f t="shared" ref="G4:G64" si="2">IF(abs(F4/E4)&gt;$D$3,1,0)</f>
        <v>0</v>
      </c>
      <c r="H4" s="189">
        <f t="shared" ref="H4:H64" si="3">B4+E4</f>
        <v>0.000351339</v>
      </c>
      <c r="I4" s="179">
        <f t="shared" ref="I4:I64" si="4">(B4/H4-1)*100</f>
        <v>1.519614959</v>
      </c>
      <c r="J4" s="188">
        <v>6.21E-6</v>
      </c>
      <c r="K4" s="188">
        <v>2.63E-7</v>
      </c>
      <c r="L4" s="4">
        <f t="shared" ref="L4:L64" si="5">IF(abs(K4/J4)&gt;$D$3,1,0)</f>
        <v>0</v>
      </c>
      <c r="M4" s="188">
        <v>-7.786E-6</v>
      </c>
      <c r="N4" s="188">
        <v>1.055E-6</v>
      </c>
      <c r="O4" s="4">
        <f t="shared" ref="O4:O64" si="6">IF(abs(N4/M4)&gt;$D$3,1,0)</f>
        <v>0</v>
      </c>
      <c r="P4" s="195">
        <f t="shared" ref="P4:P64" si="7">J4+M4</f>
        <v>-0.000001576</v>
      </c>
      <c r="Q4" s="196">
        <f t="shared" ref="Q4:Q64" si="8">(J4/P4-1)*100</f>
        <v>-494.035533</v>
      </c>
      <c r="R4" s="4">
        <v>1.0</v>
      </c>
      <c r="S4" s="188">
        <v>5.9002E-5</v>
      </c>
      <c r="T4" s="188">
        <v>3.03E-7</v>
      </c>
      <c r="U4" s="4">
        <f t="shared" ref="U4:U64" si="9">IF(abs(T4/S4)&gt;$D$3,1,0)</f>
        <v>0</v>
      </c>
      <c r="V4" s="188">
        <v>-3.472E-6</v>
      </c>
      <c r="W4" s="188">
        <v>6.33E-7</v>
      </c>
      <c r="X4" s="4">
        <f t="shared" ref="X4:X64" si="10">IF(abs(W4/V4)&gt;$D$3,1,0)</f>
        <v>0</v>
      </c>
      <c r="Y4" s="189">
        <f t="shared" ref="Y4:Y64" si="11">S4+V4</f>
        <v>0.00005553</v>
      </c>
      <c r="Z4" s="179">
        <f t="shared" ref="Z4:Z64" si="12">(S4/Y4-1)*100</f>
        <v>6.252476139</v>
      </c>
      <c r="AA4" s="188">
        <v>8.4E-7</v>
      </c>
      <c r="AB4" s="188">
        <v>5.1E-8</v>
      </c>
      <c r="AC4" s="4">
        <f t="shared" ref="AC4:AC64" si="13">IF(abs(AB4/AA4)&gt;$D$3,1,0)</f>
        <v>0</v>
      </c>
      <c r="AD4" s="188">
        <v>-4.104E-6</v>
      </c>
      <c r="AE4" s="188">
        <v>5.59E-7</v>
      </c>
      <c r="AF4" s="4">
        <f t="shared" ref="AF4:AF64" si="14">IF(abs(AE4/AD4)&gt;$D$3,1,0)</f>
        <v>0</v>
      </c>
      <c r="AG4" s="195">
        <f t="shared" ref="AG4:AG64" si="15">AA4+AD4</f>
        <v>-0.000003264</v>
      </c>
      <c r="AH4" s="196">
        <f t="shared" ref="AH4:AH64" si="16">(AA4/AG4-1)*100</f>
        <v>-125.7352941</v>
      </c>
      <c r="AI4" s="4">
        <v>1.0</v>
      </c>
      <c r="AJ4" s="190">
        <v>1.1468E-5</v>
      </c>
      <c r="AK4" s="190">
        <v>7.2E-8</v>
      </c>
      <c r="AL4" s="4">
        <f t="shared" ref="AL4:AL64" si="17">IF(abs(AK4/AJ4)&gt;$D$3,1,0)</f>
        <v>0</v>
      </c>
      <c r="AM4" s="190">
        <v>-3.361E-6</v>
      </c>
      <c r="AN4" s="190">
        <v>3.8E-7</v>
      </c>
      <c r="AO4" s="4">
        <f t="shared" ref="AO4:AO64" si="18">IF(abs(AN4/AM4)&gt;$D$3,1,0)</f>
        <v>0</v>
      </c>
      <c r="AP4" s="191">
        <f t="shared" ref="AP4:AP64" si="19">AJ4+AM4</f>
        <v>0.000008107</v>
      </c>
      <c r="AQ4" s="196">
        <f t="shared" ref="AQ4:AQ64" si="20">(AJ4/AP4-1)*100</f>
        <v>41.45799926</v>
      </c>
      <c r="AR4" s="193">
        <v>2.49E-7</v>
      </c>
      <c r="AS4" s="193">
        <v>1.6E-8</v>
      </c>
      <c r="AT4" s="4">
        <f t="shared" ref="AT4:AT64" si="21">IF(abs(AS4/AR4)&gt;$D$3,1,0)</f>
        <v>0</v>
      </c>
      <c r="AU4" s="193">
        <v>-3.54E-6</v>
      </c>
      <c r="AV4" s="193">
        <v>4.2E-7</v>
      </c>
      <c r="AW4" s="4">
        <f t="shared" ref="AW4:AW64" si="22">IF(abs(AV4/AU4)&gt;$D$3,1,0)</f>
        <v>0</v>
      </c>
      <c r="AX4" s="197">
        <f t="shared" ref="AX4:AX64" si="23">AR4+AU4</f>
        <v>-0.000003291</v>
      </c>
      <c r="AY4" s="196">
        <f t="shared" ref="AY4:AY64" si="24">(AR4/AX4-1)*100</f>
        <v>-107.5660893</v>
      </c>
      <c r="AZ4" s="4">
        <v>1.0</v>
      </c>
      <c r="BA4" s="193">
        <v>2.669E-6</v>
      </c>
      <c r="BB4" s="193">
        <v>2.2E-8</v>
      </c>
      <c r="BC4" s="4">
        <f t="shared" ref="BC4:BC64" si="25">IF(abs(BB4/BA4)&gt;$D$3,1,0)</f>
        <v>0</v>
      </c>
      <c r="BD4" s="193">
        <v>-2.498E-6</v>
      </c>
      <c r="BE4" s="193">
        <v>2.51E-7</v>
      </c>
      <c r="BF4" s="4">
        <f t="shared" ref="BF4:BF64" si="26">IF(abs(BE4/BD4)&gt;$D$3,1,0)</f>
        <v>0</v>
      </c>
      <c r="BG4" s="192">
        <f t="shared" ref="BG4:BG64" si="27">BA4+BD4</f>
        <v>0.000000171</v>
      </c>
      <c r="BH4" s="196">
        <f t="shared" ref="BH4:BH64" si="28">(BA4/BG4-1)*100</f>
        <v>1460.818713</v>
      </c>
      <c r="BI4" s="193">
        <v>1.18E-7</v>
      </c>
      <c r="BJ4" s="193">
        <v>7.0E-9</v>
      </c>
      <c r="BK4" s="4">
        <f t="shared" ref="BK4:BK64" si="29">IF(abs(BJ4/BI4)&gt;$D$3,1,0)</f>
        <v>0</v>
      </c>
      <c r="BL4" s="193">
        <v>-2.382E-6</v>
      </c>
      <c r="BM4" s="193">
        <v>2.83E-7</v>
      </c>
      <c r="BN4" s="4">
        <f t="shared" ref="BN4:BN64" si="30">IF(abs(BM4/BL4)&gt;$D$3,1,0)</f>
        <v>0</v>
      </c>
      <c r="BO4" s="197">
        <f t="shared" ref="BO4:BO64" si="31">BI4+BL4</f>
        <v>-0.000002264</v>
      </c>
      <c r="BP4" s="196">
        <f t="shared" ref="BP4:BP64" si="32">(BI4/BO4-1)*100</f>
        <v>-105.2120141</v>
      </c>
    </row>
    <row r="5">
      <c r="A5" s="4">
        <v>2.0</v>
      </c>
      <c r="B5" s="188">
        <v>0.003543378</v>
      </c>
      <c r="C5" s="188">
        <v>1.4255E-5</v>
      </c>
      <c r="D5" s="4">
        <f t="shared" si="1"/>
        <v>0</v>
      </c>
      <c r="E5" s="188">
        <v>-1.3457E-5</v>
      </c>
      <c r="F5" s="188">
        <v>3.461E-6</v>
      </c>
      <c r="G5" s="4">
        <f t="shared" si="2"/>
        <v>0</v>
      </c>
      <c r="H5" s="189">
        <f t="shared" si="3"/>
        <v>0.003529921</v>
      </c>
      <c r="I5" s="179">
        <f t="shared" si="4"/>
        <v>0.381226662</v>
      </c>
      <c r="J5" s="188">
        <v>1.19487E-4</v>
      </c>
      <c r="K5" s="188">
        <v>3.232E-6</v>
      </c>
      <c r="L5" s="4">
        <f t="shared" si="5"/>
        <v>0</v>
      </c>
      <c r="M5" s="188">
        <v>-2.7602E-5</v>
      </c>
      <c r="N5" s="188">
        <v>4.236E-6</v>
      </c>
      <c r="O5" s="4">
        <f t="shared" si="6"/>
        <v>0</v>
      </c>
      <c r="P5" s="189">
        <f t="shared" si="7"/>
        <v>0.000091885</v>
      </c>
      <c r="Q5" s="196">
        <f t="shared" si="8"/>
        <v>30.03972357</v>
      </c>
      <c r="R5" s="4">
        <v>2.0</v>
      </c>
      <c r="S5" s="188">
        <v>3.17023E-4</v>
      </c>
      <c r="T5" s="188">
        <v>1.817E-6</v>
      </c>
      <c r="U5" s="4">
        <f t="shared" si="9"/>
        <v>0</v>
      </c>
      <c r="V5" s="188">
        <v>-7.789E-6</v>
      </c>
      <c r="W5" s="188">
        <v>1.685E-6</v>
      </c>
      <c r="X5" s="4">
        <f t="shared" si="10"/>
        <v>0</v>
      </c>
      <c r="Y5" s="189">
        <f t="shared" si="11"/>
        <v>0.000309234</v>
      </c>
      <c r="Z5" s="179">
        <f t="shared" si="12"/>
        <v>2.51880453</v>
      </c>
      <c r="AA5" s="188">
        <v>1.3599E-5</v>
      </c>
      <c r="AB5" s="188">
        <v>5.78E-7</v>
      </c>
      <c r="AC5" s="4">
        <f t="shared" si="13"/>
        <v>0</v>
      </c>
      <c r="AD5" s="188">
        <v>-1.6792E-5</v>
      </c>
      <c r="AE5" s="188">
        <v>2.698E-6</v>
      </c>
      <c r="AF5" s="4">
        <f t="shared" si="14"/>
        <v>0</v>
      </c>
      <c r="AG5" s="195">
        <f t="shared" si="15"/>
        <v>-0.000003193</v>
      </c>
      <c r="AH5" s="196">
        <f t="shared" si="16"/>
        <v>-525.9004071</v>
      </c>
      <c r="AI5" s="4">
        <v>2.0</v>
      </c>
      <c r="AJ5" s="190">
        <v>4.185E-5</v>
      </c>
      <c r="AK5" s="190">
        <v>3.88E-7</v>
      </c>
      <c r="AL5" s="4">
        <f t="shared" si="17"/>
        <v>0</v>
      </c>
      <c r="AM5" s="190">
        <v>-5.515E-6</v>
      </c>
      <c r="AN5" s="190">
        <v>9.29E-7</v>
      </c>
      <c r="AO5" s="4">
        <f t="shared" si="18"/>
        <v>0</v>
      </c>
      <c r="AP5" s="191">
        <f t="shared" si="19"/>
        <v>0.000036335</v>
      </c>
      <c r="AQ5" s="196">
        <f t="shared" si="20"/>
        <v>15.17820283</v>
      </c>
      <c r="AR5" s="193">
        <v>5.143E-6</v>
      </c>
      <c r="AS5" s="193">
        <v>2.23E-7</v>
      </c>
      <c r="AT5" s="4">
        <f t="shared" si="21"/>
        <v>0</v>
      </c>
      <c r="AU5" s="193">
        <v>-1.1618E-5</v>
      </c>
      <c r="AV5" s="193">
        <v>1.794E-6</v>
      </c>
      <c r="AW5" s="4">
        <f t="shared" si="22"/>
        <v>0</v>
      </c>
      <c r="AX5" s="197">
        <f t="shared" si="23"/>
        <v>-0.000006475</v>
      </c>
      <c r="AY5" s="196">
        <f t="shared" si="24"/>
        <v>-179.4285714</v>
      </c>
      <c r="AZ5" s="4">
        <v>2.0</v>
      </c>
      <c r="BA5" s="193">
        <v>7.463E-6</v>
      </c>
      <c r="BB5" s="193">
        <v>1.11E-7</v>
      </c>
      <c r="BC5" s="4">
        <f t="shared" si="25"/>
        <v>0</v>
      </c>
      <c r="BD5" s="193">
        <v>-2.135E-6</v>
      </c>
      <c r="BE5" s="193">
        <v>6.01E-7</v>
      </c>
      <c r="BF5" s="4">
        <f t="shared" si="26"/>
        <v>0</v>
      </c>
      <c r="BG5" s="192">
        <f t="shared" si="27"/>
        <v>0.000005328</v>
      </c>
      <c r="BH5" s="196">
        <f t="shared" si="28"/>
        <v>40.07132132</v>
      </c>
      <c r="BI5" s="193">
        <v>2.539E-6</v>
      </c>
      <c r="BJ5" s="193">
        <v>1.05E-7</v>
      </c>
      <c r="BK5" s="4">
        <f t="shared" si="29"/>
        <v>0</v>
      </c>
      <c r="BL5" s="193">
        <v>-7.122E-6</v>
      </c>
      <c r="BM5" s="193">
        <v>1.114E-6</v>
      </c>
      <c r="BN5" s="4">
        <f t="shared" si="30"/>
        <v>0</v>
      </c>
      <c r="BO5" s="197">
        <f t="shared" si="31"/>
        <v>-0.000004583</v>
      </c>
      <c r="BP5" s="196">
        <f t="shared" si="32"/>
        <v>-155.4003928</v>
      </c>
    </row>
    <row r="6">
      <c r="A6" s="4">
        <v>3.0</v>
      </c>
      <c r="B6" s="188">
        <v>0.014047516</v>
      </c>
      <c r="C6" s="188">
        <v>8.0221E-5</v>
      </c>
      <c r="D6" s="4">
        <f t="shared" si="1"/>
        <v>0</v>
      </c>
      <c r="E6" s="188">
        <v>-3.2238E-5</v>
      </c>
      <c r="F6" s="188">
        <v>1.5498E-5</v>
      </c>
      <c r="G6" s="4">
        <f t="shared" si="2"/>
        <v>0</v>
      </c>
      <c r="H6" s="189">
        <f t="shared" si="3"/>
        <v>0.014015278</v>
      </c>
      <c r="I6" s="179">
        <f t="shared" si="4"/>
        <v>0.2300204106</v>
      </c>
      <c r="J6" s="188">
        <v>5.79626E-4</v>
      </c>
      <c r="K6" s="188">
        <v>2.0551E-5</v>
      </c>
      <c r="L6" s="4">
        <f t="shared" si="5"/>
        <v>0</v>
      </c>
      <c r="M6" s="188">
        <v>-7.38E-5</v>
      </c>
      <c r="N6" s="188">
        <v>2.3593E-5</v>
      </c>
      <c r="O6" s="4">
        <f t="shared" si="6"/>
        <v>0</v>
      </c>
      <c r="P6" s="189">
        <f t="shared" si="7"/>
        <v>0.000505826</v>
      </c>
      <c r="Q6" s="196">
        <f t="shared" si="8"/>
        <v>14.58999735</v>
      </c>
      <c r="R6" s="4">
        <v>3.0</v>
      </c>
      <c r="S6" s="188">
        <v>0.001268046</v>
      </c>
      <c r="T6" s="188">
        <v>1.1608E-5</v>
      </c>
      <c r="U6" s="4">
        <f t="shared" si="9"/>
        <v>0</v>
      </c>
      <c r="V6" s="188">
        <v>-6.795E-6</v>
      </c>
      <c r="W6" s="188">
        <v>6.149E-6</v>
      </c>
      <c r="X6" s="4">
        <f t="shared" si="10"/>
        <v>0</v>
      </c>
      <c r="Y6" s="189">
        <f t="shared" si="11"/>
        <v>0.001261251</v>
      </c>
      <c r="Z6" s="179">
        <f t="shared" si="12"/>
        <v>0.5387508117</v>
      </c>
      <c r="AA6" s="188">
        <v>8.2461E-5</v>
      </c>
      <c r="AB6" s="188">
        <v>4.481E-6</v>
      </c>
      <c r="AC6" s="4">
        <f t="shared" si="13"/>
        <v>0</v>
      </c>
      <c r="AD6" s="188">
        <v>-3.7518E-5</v>
      </c>
      <c r="AE6" s="188">
        <v>1.0833E-5</v>
      </c>
      <c r="AF6" s="4">
        <f t="shared" si="14"/>
        <v>0</v>
      </c>
      <c r="AG6" s="189">
        <f t="shared" si="15"/>
        <v>0.000044943</v>
      </c>
      <c r="AH6" s="196">
        <f t="shared" si="16"/>
        <v>83.47907349</v>
      </c>
      <c r="AI6" s="4">
        <v>3.0</v>
      </c>
      <c r="AJ6" s="190">
        <v>1.63187E-4</v>
      </c>
      <c r="AK6" s="190">
        <v>2.612E-6</v>
      </c>
      <c r="AL6" s="4">
        <f t="shared" si="17"/>
        <v>0</v>
      </c>
      <c r="AM6" s="190">
        <v>-1.1026E-5</v>
      </c>
      <c r="AN6" s="190">
        <v>4.637E-6</v>
      </c>
      <c r="AO6" s="4">
        <f t="shared" si="18"/>
        <v>0</v>
      </c>
      <c r="AP6" s="191">
        <f t="shared" si="19"/>
        <v>0.000152161</v>
      </c>
      <c r="AQ6" s="179">
        <f t="shared" si="20"/>
        <v>7.246272041</v>
      </c>
      <c r="AR6" s="193">
        <v>3.621E-5</v>
      </c>
      <c r="AS6" s="193">
        <v>2.018E-6</v>
      </c>
      <c r="AT6" s="4">
        <f t="shared" si="21"/>
        <v>0</v>
      </c>
      <c r="AU6" s="193">
        <v>-3.2667E-5</v>
      </c>
      <c r="AV6" s="193">
        <v>8.393E-6</v>
      </c>
      <c r="AW6" s="4">
        <f t="shared" si="22"/>
        <v>0</v>
      </c>
      <c r="AX6" s="192">
        <f t="shared" si="23"/>
        <v>0.000003543</v>
      </c>
      <c r="AY6" s="196">
        <f t="shared" si="24"/>
        <v>922.0152413</v>
      </c>
      <c r="AZ6" s="4">
        <v>3.0</v>
      </c>
      <c r="BA6" s="193">
        <v>3.1553E-5</v>
      </c>
      <c r="BB6" s="193">
        <v>8.06E-7</v>
      </c>
      <c r="BC6" s="4">
        <f t="shared" si="25"/>
        <v>0</v>
      </c>
      <c r="BD6" s="193">
        <v>-4.451E-6</v>
      </c>
      <c r="BE6" s="193">
        <v>2.204E-6</v>
      </c>
      <c r="BF6" s="4">
        <f t="shared" si="26"/>
        <v>0</v>
      </c>
      <c r="BG6" s="192">
        <f t="shared" si="27"/>
        <v>0.000027102</v>
      </c>
      <c r="BH6" s="196">
        <f t="shared" si="28"/>
        <v>16.4231422</v>
      </c>
      <c r="BI6" s="193">
        <v>1.7819E-5</v>
      </c>
      <c r="BJ6" s="193">
        <v>9.23E-7</v>
      </c>
      <c r="BK6" s="4">
        <f t="shared" si="29"/>
        <v>0</v>
      </c>
      <c r="BL6" s="193">
        <v>-4.1727E-5</v>
      </c>
      <c r="BM6" s="193">
        <v>6.863E-6</v>
      </c>
      <c r="BN6" s="4">
        <f t="shared" si="30"/>
        <v>0</v>
      </c>
      <c r="BO6" s="197">
        <f t="shared" si="31"/>
        <v>-0.000023908</v>
      </c>
      <c r="BP6" s="196">
        <f t="shared" si="32"/>
        <v>-174.5315376</v>
      </c>
    </row>
    <row r="7">
      <c r="A7" s="4">
        <v>4.0</v>
      </c>
      <c r="B7" s="188">
        <v>0.018378614</v>
      </c>
      <c r="C7" s="188">
        <v>1.81573E-4</v>
      </c>
      <c r="D7" s="4">
        <f t="shared" si="1"/>
        <v>0</v>
      </c>
      <c r="E7" s="188">
        <v>-1.9227E-5</v>
      </c>
      <c r="F7" s="188">
        <v>2.5099E-5</v>
      </c>
      <c r="G7" s="4">
        <f t="shared" si="2"/>
        <v>1</v>
      </c>
      <c r="H7" s="189">
        <f t="shared" si="3"/>
        <v>0.018359387</v>
      </c>
      <c r="I7" s="179">
        <f t="shared" si="4"/>
        <v>0.1047257188</v>
      </c>
      <c r="J7" s="188">
        <v>9.9377E-4</v>
      </c>
      <c r="K7" s="188">
        <v>5.627E-5</v>
      </c>
      <c r="L7" s="4">
        <f t="shared" si="5"/>
        <v>0</v>
      </c>
      <c r="M7" s="188">
        <v>-6.6244E-5</v>
      </c>
      <c r="N7" s="188">
        <v>3.1252E-5</v>
      </c>
      <c r="O7" s="4">
        <f t="shared" si="6"/>
        <v>0</v>
      </c>
      <c r="P7" s="189">
        <f t="shared" si="7"/>
        <v>0.000927526</v>
      </c>
      <c r="Q7" s="179">
        <f t="shared" si="8"/>
        <v>7.142010035</v>
      </c>
      <c r="R7" s="4">
        <v>4.0</v>
      </c>
      <c r="S7" s="188">
        <v>0.001811503</v>
      </c>
      <c r="T7" s="188">
        <v>3.0209E-5</v>
      </c>
      <c r="U7" s="4">
        <f t="shared" si="9"/>
        <v>0</v>
      </c>
      <c r="V7" s="188">
        <v>-1.3918E-5</v>
      </c>
      <c r="W7" s="188">
        <v>9.38E-6</v>
      </c>
      <c r="X7" s="4">
        <f t="shared" si="10"/>
        <v>0</v>
      </c>
      <c r="Y7" s="189">
        <f t="shared" si="11"/>
        <v>0.001797585</v>
      </c>
      <c r="Z7" s="179">
        <f t="shared" si="12"/>
        <v>0.7742610224</v>
      </c>
      <c r="AA7" s="188">
        <v>2.33265E-4</v>
      </c>
      <c r="AB7" s="188">
        <v>1.6628E-5</v>
      </c>
      <c r="AC7" s="4">
        <f t="shared" si="13"/>
        <v>0</v>
      </c>
      <c r="AD7" s="188">
        <v>-3.873E-5</v>
      </c>
      <c r="AE7" s="188">
        <v>1.7998E-5</v>
      </c>
      <c r="AF7" s="4">
        <f t="shared" si="14"/>
        <v>0</v>
      </c>
      <c r="AG7" s="189">
        <f t="shared" si="15"/>
        <v>0.000194535</v>
      </c>
      <c r="AH7" s="196">
        <f t="shared" si="16"/>
        <v>19.9090138</v>
      </c>
      <c r="AI7" s="4">
        <v>4.0</v>
      </c>
      <c r="AJ7" s="190">
        <v>2.41635E-4</v>
      </c>
      <c r="AK7" s="190">
        <v>7.019E-6</v>
      </c>
      <c r="AL7" s="4">
        <f t="shared" si="17"/>
        <v>0</v>
      </c>
      <c r="AM7" s="190">
        <v>-1.7039E-5</v>
      </c>
      <c r="AN7" s="190">
        <v>7.408E-6</v>
      </c>
      <c r="AO7" s="4">
        <f t="shared" si="18"/>
        <v>0</v>
      </c>
      <c r="AP7" s="191">
        <f t="shared" si="19"/>
        <v>0.000224596</v>
      </c>
      <c r="AQ7" s="179">
        <f t="shared" si="20"/>
        <v>7.586510891</v>
      </c>
      <c r="AR7" s="193">
        <v>1.13219E-4</v>
      </c>
      <c r="AS7" s="193">
        <v>7.57E-6</v>
      </c>
      <c r="AT7" s="4">
        <f t="shared" si="21"/>
        <v>0</v>
      </c>
      <c r="AU7" s="193">
        <v>-7.8157E-5</v>
      </c>
      <c r="AV7" s="193">
        <v>2.047E-5</v>
      </c>
      <c r="AW7" s="4">
        <f t="shared" si="22"/>
        <v>0</v>
      </c>
      <c r="AX7" s="192">
        <f t="shared" si="23"/>
        <v>0.000035062</v>
      </c>
      <c r="AY7" s="196">
        <f t="shared" si="24"/>
        <v>222.9108436</v>
      </c>
      <c r="AZ7" s="4">
        <v>4.0</v>
      </c>
      <c r="BA7" s="193">
        <v>5.4749E-5</v>
      </c>
      <c r="BB7" s="193">
        <v>2.404E-6</v>
      </c>
      <c r="BC7" s="4">
        <f t="shared" si="25"/>
        <v>0</v>
      </c>
      <c r="BD7" s="193">
        <v>-3.36E-6</v>
      </c>
      <c r="BE7" s="193">
        <v>4.696E-6</v>
      </c>
      <c r="BF7" s="4">
        <f t="shared" si="26"/>
        <v>1</v>
      </c>
      <c r="BG7" s="192">
        <f t="shared" si="27"/>
        <v>0.000051389</v>
      </c>
      <c r="BH7" s="179">
        <f t="shared" si="28"/>
        <v>6.538364241</v>
      </c>
      <c r="BI7" s="193">
        <v>5.6488E-5</v>
      </c>
      <c r="BJ7" s="193">
        <v>3.688E-6</v>
      </c>
      <c r="BK7" s="4">
        <f t="shared" si="29"/>
        <v>0</v>
      </c>
      <c r="BL7" s="193">
        <v>-5.8033E-5</v>
      </c>
      <c r="BM7" s="193">
        <v>1.5291E-5</v>
      </c>
      <c r="BN7" s="4">
        <f t="shared" si="30"/>
        <v>0</v>
      </c>
      <c r="BO7" s="197">
        <f t="shared" si="31"/>
        <v>-0.000001545</v>
      </c>
      <c r="BP7" s="196">
        <f t="shared" si="32"/>
        <v>-3756.18123</v>
      </c>
    </row>
    <row r="8">
      <c r="A8" s="4">
        <v>5.0</v>
      </c>
      <c r="B8" s="188">
        <v>0.017372856</v>
      </c>
      <c r="C8" s="188">
        <v>3.07757E-4</v>
      </c>
      <c r="D8" s="4">
        <f t="shared" si="1"/>
        <v>0</v>
      </c>
      <c r="E8" s="188">
        <v>-1.19197E-4</v>
      </c>
      <c r="F8" s="188">
        <v>5.3996E-5</v>
      </c>
      <c r="G8" s="4">
        <f t="shared" si="2"/>
        <v>0</v>
      </c>
      <c r="H8" s="189">
        <f t="shared" si="3"/>
        <v>0.017253659</v>
      </c>
      <c r="I8" s="179">
        <f t="shared" si="4"/>
        <v>0.690850561</v>
      </c>
      <c r="J8" s="188">
        <v>0.001431071</v>
      </c>
      <c r="K8" s="188">
        <v>1.20853E-4</v>
      </c>
      <c r="L8" s="4">
        <f t="shared" si="5"/>
        <v>0</v>
      </c>
      <c r="M8" s="188">
        <v>-1.35056E-4</v>
      </c>
      <c r="N8" s="188">
        <v>7.9765E-5</v>
      </c>
      <c r="O8" s="4">
        <f t="shared" si="6"/>
        <v>0</v>
      </c>
      <c r="P8" s="189">
        <f t="shared" si="7"/>
        <v>0.001296015</v>
      </c>
      <c r="Q8" s="196">
        <f t="shared" si="8"/>
        <v>10.42086704</v>
      </c>
      <c r="R8" s="4">
        <v>5.0</v>
      </c>
      <c r="S8" s="188">
        <v>0.00182683</v>
      </c>
      <c r="T8" s="188">
        <v>5.4654E-5</v>
      </c>
      <c r="U8" s="4">
        <f t="shared" si="9"/>
        <v>0</v>
      </c>
      <c r="V8" s="188">
        <v>-5.7344E-5</v>
      </c>
      <c r="W8" s="188">
        <v>2.8562E-5</v>
      </c>
      <c r="X8" s="4">
        <f t="shared" si="10"/>
        <v>0</v>
      </c>
      <c r="Y8" s="189">
        <f t="shared" si="11"/>
        <v>0.001769486</v>
      </c>
      <c r="Z8" s="179">
        <f t="shared" si="12"/>
        <v>3.2407151</v>
      </c>
      <c r="AA8" s="188">
        <v>5.0091E-4</v>
      </c>
      <c r="AB8" s="188">
        <v>4.2604E-5</v>
      </c>
      <c r="AC8" s="4">
        <f t="shared" si="13"/>
        <v>0</v>
      </c>
      <c r="AD8" s="188">
        <v>-1.31373E-4</v>
      </c>
      <c r="AE8" s="188">
        <v>5.0529E-5</v>
      </c>
      <c r="AF8" s="4">
        <f t="shared" si="14"/>
        <v>0</v>
      </c>
      <c r="AG8" s="189">
        <f t="shared" si="15"/>
        <v>0.000369537</v>
      </c>
      <c r="AH8" s="196">
        <f t="shared" si="16"/>
        <v>35.55070264</v>
      </c>
      <c r="AI8" s="4">
        <v>5.0</v>
      </c>
      <c r="AJ8" s="190">
        <v>3.19403E-4</v>
      </c>
      <c r="AK8" s="190">
        <v>1.5152E-5</v>
      </c>
      <c r="AL8" s="4">
        <f t="shared" si="17"/>
        <v>0</v>
      </c>
      <c r="AM8" s="190">
        <v>-2.207E-5</v>
      </c>
      <c r="AN8" s="190">
        <v>1.769E-5</v>
      </c>
      <c r="AO8" s="4">
        <f t="shared" si="18"/>
        <v>0</v>
      </c>
      <c r="AP8" s="191">
        <f t="shared" si="19"/>
        <v>0.000297333</v>
      </c>
      <c r="AQ8" s="179">
        <f t="shared" si="20"/>
        <v>7.422654061</v>
      </c>
      <c r="AR8" s="193">
        <v>1.89425E-4</v>
      </c>
      <c r="AS8" s="193">
        <v>1.7556E-5</v>
      </c>
      <c r="AT8" s="4">
        <f t="shared" si="21"/>
        <v>0</v>
      </c>
      <c r="AU8" s="193">
        <v>-5.7847E-5</v>
      </c>
      <c r="AV8" s="193">
        <v>2.9788E-5</v>
      </c>
      <c r="AW8" s="4">
        <f t="shared" si="22"/>
        <v>0</v>
      </c>
      <c r="AX8" s="192">
        <f t="shared" si="23"/>
        <v>0.000131578</v>
      </c>
      <c r="AY8" s="196">
        <f t="shared" si="24"/>
        <v>43.96403654</v>
      </c>
      <c r="AZ8" s="4">
        <v>5.0</v>
      </c>
      <c r="BA8" s="193">
        <v>7.0834E-5</v>
      </c>
      <c r="BB8" s="193">
        <v>5.253E-6</v>
      </c>
      <c r="BC8" s="4">
        <f t="shared" si="25"/>
        <v>0</v>
      </c>
      <c r="BD8" s="193">
        <v>-1.4263E-5</v>
      </c>
      <c r="BE8" s="193">
        <v>7.225E-6</v>
      </c>
      <c r="BF8" s="4">
        <f t="shared" si="26"/>
        <v>0</v>
      </c>
      <c r="BG8" s="192">
        <f t="shared" si="27"/>
        <v>0.000056571</v>
      </c>
      <c r="BH8" s="196">
        <f t="shared" si="28"/>
        <v>25.21256474</v>
      </c>
      <c r="BI8" s="193">
        <v>8.7428E-5</v>
      </c>
      <c r="BJ8" s="193">
        <v>7.705E-6</v>
      </c>
      <c r="BK8" s="4">
        <f t="shared" si="29"/>
        <v>0</v>
      </c>
      <c r="BL8" s="193">
        <v>-3.3053E-5</v>
      </c>
      <c r="BM8" s="193">
        <v>2.2421E-5</v>
      </c>
      <c r="BN8" s="4">
        <f t="shared" si="30"/>
        <v>0</v>
      </c>
      <c r="BO8" s="192">
        <f t="shared" si="31"/>
        <v>0.000054375</v>
      </c>
      <c r="BP8" s="196">
        <f t="shared" si="32"/>
        <v>60.78712644</v>
      </c>
    </row>
    <row r="9">
      <c r="A9" s="4">
        <v>6.0</v>
      </c>
      <c r="B9" s="188">
        <v>0.016340462</v>
      </c>
      <c r="C9" s="188">
        <v>4.5575E-4</v>
      </c>
      <c r="D9" s="4">
        <f t="shared" si="1"/>
        <v>0</v>
      </c>
      <c r="E9" s="188">
        <v>-9.116E-6</v>
      </c>
      <c r="F9" s="188">
        <v>5.4742E-5</v>
      </c>
      <c r="G9" s="4">
        <f t="shared" si="2"/>
        <v>1</v>
      </c>
      <c r="H9" s="189">
        <f t="shared" si="3"/>
        <v>0.016331346</v>
      </c>
      <c r="I9" s="179">
        <f t="shared" si="4"/>
        <v>0.05581903659</v>
      </c>
      <c r="J9" s="188">
        <v>0.002372432</v>
      </c>
      <c r="K9" s="188">
        <v>2.51448E-4</v>
      </c>
      <c r="L9" s="4">
        <f t="shared" si="5"/>
        <v>0</v>
      </c>
      <c r="M9" s="188">
        <v>-7.3605E-5</v>
      </c>
      <c r="N9" s="188">
        <v>1.06623E-4</v>
      </c>
      <c r="O9" s="4">
        <f t="shared" si="6"/>
        <v>1</v>
      </c>
      <c r="P9" s="189">
        <f t="shared" si="7"/>
        <v>0.002298827</v>
      </c>
      <c r="Q9" s="179">
        <f t="shared" si="8"/>
        <v>3.201850335</v>
      </c>
      <c r="R9" s="4">
        <v>6.0</v>
      </c>
      <c r="S9" s="188">
        <v>0.001972548</v>
      </c>
      <c r="T9" s="188">
        <v>9.1287E-5</v>
      </c>
      <c r="U9" s="4">
        <f t="shared" si="9"/>
        <v>0</v>
      </c>
      <c r="V9" s="188">
        <v>-7.5501E-5</v>
      </c>
      <c r="W9" s="188">
        <v>3.3547E-5</v>
      </c>
      <c r="X9" s="4">
        <f t="shared" si="10"/>
        <v>0</v>
      </c>
      <c r="Y9" s="189">
        <f t="shared" si="11"/>
        <v>0.001897047</v>
      </c>
      <c r="Z9" s="179">
        <f t="shared" si="12"/>
        <v>3.97992248</v>
      </c>
      <c r="AA9" s="188">
        <v>5.74904E-4</v>
      </c>
      <c r="AB9" s="188">
        <v>7.4339E-5</v>
      </c>
      <c r="AC9" s="4">
        <f t="shared" si="13"/>
        <v>0</v>
      </c>
      <c r="AD9" s="188">
        <v>-1.22137E-4</v>
      </c>
      <c r="AE9" s="188">
        <v>5.0774E-5</v>
      </c>
      <c r="AF9" s="4">
        <f t="shared" si="14"/>
        <v>0</v>
      </c>
      <c r="AG9" s="189">
        <f t="shared" si="15"/>
        <v>0.000452767</v>
      </c>
      <c r="AH9" s="196">
        <f t="shared" si="16"/>
        <v>26.97568507</v>
      </c>
      <c r="AI9" s="4">
        <v>6.0</v>
      </c>
      <c r="AJ9" s="190">
        <v>3.24482E-4</v>
      </c>
      <c r="AK9" s="190">
        <v>2.4056E-5</v>
      </c>
      <c r="AL9" s="4">
        <f t="shared" si="17"/>
        <v>0</v>
      </c>
      <c r="AM9" s="190">
        <v>-2.8406E-5</v>
      </c>
      <c r="AN9" s="190">
        <v>1.6247E-5</v>
      </c>
      <c r="AO9" s="4">
        <f t="shared" si="18"/>
        <v>0</v>
      </c>
      <c r="AP9" s="191">
        <f t="shared" si="19"/>
        <v>0.000296076</v>
      </c>
      <c r="AQ9" s="179">
        <f t="shared" si="20"/>
        <v>9.594158257</v>
      </c>
      <c r="AR9" s="193">
        <v>2.89904E-4</v>
      </c>
      <c r="AS9" s="193">
        <v>3.3063E-5</v>
      </c>
      <c r="AT9" s="4">
        <f t="shared" si="21"/>
        <v>0</v>
      </c>
      <c r="AU9" s="193">
        <v>-2.03642E-4</v>
      </c>
      <c r="AV9" s="193">
        <v>5.776E-5</v>
      </c>
      <c r="AW9" s="4">
        <f t="shared" si="22"/>
        <v>0</v>
      </c>
      <c r="AX9" s="192">
        <f t="shared" si="23"/>
        <v>0.000086262</v>
      </c>
      <c r="AY9" s="196">
        <f t="shared" si="24"/>
        <v>236.0738216</v>
      </c>
      <c r="AZ9" s="4">
        <v>6.0</v>
      </c>
      <c r="BA9" s="193">
        <v>8.4136E-5</v>
      </c>
      <c r="BB9" s="193">
        <v>9.303E-6</v>
      </c>
      <c r="BC9" s="4">
        <f t="shared" si="25"/>
        <v>0</v>
      </c>
      <c r="BD9" s="193">
        <v>-1.8438E-5</v>
      </c>
      <c r="BE9" s="193">
        <v>1.3336E-5</v>
      </c>
      <c r="BF9" s="4">
        <f t="shared" si="26"/>
        <v>0</v>
      </c>
      <c r="BG9" s="192">
        <f t="shared" si="27"/>
        <v>0.000065698</v>
      </c>
      <c r="BH9" s="196">
        <f t="shared" si="28"/>
        <v>28.06478127</v>
      </c>
      <c r="BI9" s="193">
        <v>1.61468E-4</v>
      </c>
      <c r="BJ9" s="193">
        <v>1.705E-5</v>
      </c>
      <c r="BK9" s="4">
        <f t="shared" si="29"/>
        <v>0</v>
      </c>
      <c r="BL9" s="193">
        <v>-1.08507E-4</v>
      </c>
      <c r="BM9" s="193">
        <v>3.5522E-5</v>
      </c>
      <c r="BN9" s="4">
        <f t="shared" si="30"/>
        <v>0</v>
      </c>
      <c r="BO9" s="192">
        <f t="shared" si="31"/>
        <v>0.000052961</v>
      </c>
      <c r="BP9" s="196">
        <f t="shared" si="32"/>
        <v>204.8809501</v>
      </c>
    </row>
    <row r="10">
      <c r="A10" s="4">
        <v>7.0</v>
      </c>
      <c r="B10" s="188">
        <v>0.0148002</v>
      </c>
      <c r="C10" s="188">
        <v>6.4693E-4</v>
      </c>
      <c r="D10" s="4">
        <f t="shared" si="1"/>
        <v>0</v>
      </c>
      <c r="E10" s="188">
        <v>2.2205E-5</v>
      </c>
      <c r="F10" s="188">
        <v>9.7035E-5</v>
      </c>
      <c r="G10" s="4">
        <f t="shared" si="2"/>
        <v>1</v>
      </c>
      <c r="H10" s="189">
        <f t="shared" si="3"/>
        <v>0.014822405</v>
      </c>
      <c r="I10" s="179">
        <f t="shared" si="4"/>
        <v>-0.1498069983</v>
      </c>
      <c r="J10" s="188">
        <v>0.003246863</v>
      </c>
      <c r="K10" s="188">
        <v>4.34422E-4</v>
      </c>
      <c r="L10" s="4">
        <f t="shared" si="5"/>
        <v>0</v>
      </c>
      <c r="M10" s="188">
        <v>-5.00648E-4</v>
      </c>
      <c r="N10" s="188">
        <v>1.78129E-4</v>
      </c>
      <c r="O10" s="4">
        <f t="shared" si="6"/>
        <v>0</v>
      </c>
      <c r="P10" s="189">
        <f t="shared" si="7"/>
        <v>0.002746215</v>
      </c>
      <c r="Q10" s="196">
        <f t="shared" si="8"/>
        <v>18.23047358</v>
      </c>
      <c r="R10" s="4">
        <v>7.0</v>
      </c>
      <c r="S10" s="188">
        <v>0.002047285</v>
      </c>
      <c r="T10" s="188">
        <v>1.3789E-4</v>
      </c>
      <c r="U10" s="4">
        <f t="shared" si="9"/>
        <v>0</v>
      </c>
      <c r="V10" s="188">
        <v>1.2097E-5</v>
      </c>
      <c r="W10" s="188">
        <v>2.6554E-5</v>
      </c>
      <c r="X10" s="4">
        <f t="shared" si="10"/>
        <v>1</v>
      </c>
      <c r="Y10" s="189">
        <f t="shared" si="11"/>
        <v>0.002059382</v>
      </c>
      <c r="Z10" s="179">
        <f t="shared" si="12"/>
        <v>-0.5874092325</v>
      </c>
      <c r="AA10" s="188">
        <v>0.001070729</v>
      </c>
      <c r="AB10" s="188">
        <v>1.52088E-4</v>
      </c>
      <c r="AC10" s="4">
        <f t="shared" si="13"/>
        <v>0</v>
      </c>
      <c r="AD10" s="188">
        <v>-3.51492E-4</v>
      </c>
      <c r="AE10" s="188">
        <v>9.6213E-5</v>
      </c>
      <c r="AF10" s="4">
        <f t="shared" si="14"/>
        <v>0</v>
      </c>
      <c r="AG10" s="189">
        <f t="shared" si="15"/>
        <v>0.000719237</v>
      </c>
      <c r="AH10" s="196">
        <f t="shared" si="16"/>
        <v>48.87012209</v>
      </c>
      <c r="AI10" s="4">
        <v>7.0</v>
      </c>
      <c r="AJ10" s="190">
        <v>3.86616E-4</v>
      </c>
      <c r="AK10" s="190">
        <v>3.8938E-5</v>
      </c>
      <c r="AL10" s="4">
        <f t="shared" si="17"/>
        <v>0</v>
      </c>
      <c r="AM10" s="190">
        <v>-3.8307E-5</v>
      </c>
      <c r="AN10" s="190">
        <v>1.9481E-5</v>
      </c>
      <c r="AO10" s="4">
        <f t="shared" si="18"/>
        <v>0</v>
      </c>
      <c r="AP10" s="191">
        <f t="shared" si="19"/>
        <v>0.000348309</v>
      </c>
      <c r="AQ10" s="196">
        <f t="shared" si="20"/>
        <v>10.99799316</v>
      </c>
      <c r="AR10" s="193">
        <v>5.52447E-4</v>
      </c>
      <c r="AS10" s="193">
        <v>6.6791E-5</v>
      </c>
      <c r="AT10" s="4">
        <f t="shared" si="21"/>
        <v>0</v>
      </c>
      <c r="AU10" s="193">
        <v>-1.2603E-4</v>
      </c>
      <c r="AV10" s="193">
        <v>6.1735E-5</v>
      </c>
      <c r="AW10" s="4">
        <f t="shared" si="22"/>
        <v>0</v>
      </c>
      <c r="AX10" s="192">
        <f t="shared" si="23"/>
        <v>0.000426417</v>
      </c>
      <c r="AY10" s="196">
        <f t="shared" si="24"/>
        <v>29.55557588</v>
      </c>
      <c r="AZ10" s="4">
        <v>7.0</v>
      </c>
      <c r="BA10" s="193">
        <v>1.2118E-4</v>
      </c>
      <c r="BB10" s="193">
        <v>1.5974E-5</v>
      </c>
      <c r="BC10" s="4">
        <f t="shared" si="25"/>
        <v>0</v>
      </c>
      <c r="BD10" s="193">
        <v>-1.2764E-5</v>
      </c>
      <c r="BE10" s="193">
        <v>1.5168E-5</v>
      </c>
      <c r="BF10" s="4">
        <f t="shared" si="26"/>
        <v>1</v>
      </c>
      <c r="BG10" s="192">
        <f t="shared" si="27"/>
        <v>0.000108416</v>
      </c>
      <c r="BH10" s="196">
        <f t="shared" si="28"/>
        <v>11.77317001</v>
      </c>
      <c r="BI10" s="193">
        <v>2.42393E-4</v>
      </c>
      <c r="BJ10" s="193">
        <v>3.0707E-5</v>
      </c>
      <c r="BK10" s="4">
        <f t="shared" si="29"/>
        <v>0</v>
      </c>
      <c r="BL10" s="193">
        <v>-1.19143E-4</v>
      </c>
      <c r="BM10" s="193">
        <v>6.0928E-5</v>
      </c>
      <c r="BN10" s="4">
        <f t="shared" si="30"/>
        <v>0</v>
      </c>
      <c r="BO10" s="192">
        <f t="shared" si="31"/>
        <v>0.00012325</v>
      </c>
      <c r="BP10" s="196">
        <f t="shared" si="32"/>
        <v>96.66774848</v>
      </c>
    </row>
    <row r="11">
      <c r="A11" s="4">
        <v>8.0</v>
      </c>
      <c r="B11" s="188">
        <v>0.001157232</v>
      </c>
      <c r="C11" s="188">
        <v>8.158E-6</v>
      </c>
      <c r="D11" s="4">
        <f t="shared" si="1"/>
        <v>0</v>
      </c>
      <c r="E11" s="188">
        <v>-2.8853E-5</v>
      </c>
      <c r="F11" s="188">
        <v>5.309E-6</v>
      </c>
      <c r="G11" s="4">
        <f t="shared" si="2"/>
        <v>0</v>
      </c>
      <c r="H11" s="189">
        <f t="shared" si="3"/>
        <v>0.001128379</v>
      </c>
      <c r="I11" s="179">
        <f t="shared" si="4"/>
        <v>2.557030927</v>
      </c>
      <c r="J11" s="188">
        <v>3.7771E-5</v>
      </c>
      <c r="K11" s="188">
        <v>1.957E-6</v>
      </c>
      <c r="L11" s="4">
        <f t="shared" si="5"/>
        <v>0</v>
      </c>
      <c r="M11" s="188">
        <v>-3.7011E-5</v>
      </c>
      <c r="N11" s="188">
        <v>4.962E-6</v>
      </c>
      <c r="O11" s="4">
        <f t="shared" si="6"/>
        <v>0</v>
      </c>
      <c r="P11" s="189">
        <f t="shared" si="7"/>
        <v>0.00000076</v>
      </c>
      <c r="Q11" s="196">
        <f t="shared" si="8"/>
        <v>4869.868421</v>
      </c>
      <c r="R11" s="4">
        <v>8.0</v>
      </c>
      <c r="S11" s="188">
        <v>2.19551E-4</v>
      </c>
      <c r="T11" s="188">
        <v>1.821E-6</v>
      </c>
      <c r="U11" s="4">
        <f t="shared" si="9"/>
        <v>0</v>
      </c>
      <c r="V11" s="188">
        <v>-1.8624E-5</v>
      </c>
      <c r="W11" s="188">
        <v>2.57E-6</v>
      </c>
      <c r="X11" s="4">
        <f t="shared" si="10"/>
        <v>0</v>
      </c>
      <c r="Y11" s="189">
        <f t="shared" si="11"/>
        <v>0.000200927</v>
      </c>
      <c r="Z11" s="179">
        <f t="shared" si="12"/>
        <v>9.269038009</v>
      </c>
      <c r="AA11" s="188">
        <v>9.584E-6</v>
      </c>
      <c r="AB11" s="188">
        <v>5.37E-7</v>
      </c>
      <c r="AC11" s="4">
        <f t="shared" si="13"/>
        <v>0</v>
      </c>
      <c r="AD11" s="188">
        <v>-2.1035E-5</v>
      </c>
      <c r="AE11" s="188">
        <v>2.576E-6</v>
      </c>
      <c r="AF11" s="4">
        <f t="shared" si="14"/>
        <v>0</v>
      </c>
      <c r="AG11" s="195">
        <f t="shared" si="15"/>
        <v>-0.000011451</v>
      </c>
      <c r="AH11" s="196">
        <f t="shared" si="16"/>
        <v>-183.6957471</v>
      </c>
      <c r="AI11" s="4">
        <v>8.0</v>
      </c>
      <c r="AJ11" s="190">
        <v>4.714E-5</v>
      </c>
      <c r="AK11" s="190">
        <v>5.13E-7</v>
      </c>
      <c r="AL11" s="4">
        <f t="shared" si="17"/>
        <v>0</v>
      </c>
      <c r="AM11" s="190">
        <v>-1.0688E-5</v>
      </c>
      <c r="AN11" s="190">
        <v>1.397E-6</v>
      </c>
      <c r="AO11" s="4">
        <f t="shared" si="18"/>
        <v>0</v>
      </c>
      <c r="AP11" s="191">
        <f t="shared" si="19"/>
        <v>0.000036452</v>
      </c>
      <c r="AQ11" s="196">
        <f t="shared" si="20"/>
        <v>29.32075058</v>
      </c>
      <c r="AR11" s="193">
        <v>3.938E-6</v>
      </c>
      <c r="AS11" s="193">
        <v>2.26E-7</v>
      </c>
      <c r="AT11" s="4">
        <f t="shared" si="21"/>
        <v>0</v>
      </c>
      <c r="AU11" s="193">
        <v>-1.426E-5</v>
      </c>
      <c r="AV11" s="193">
        <v>1.811E-6</v>
      </c>
      <c r="AW11" s="4">
        <f t="shared" si="22"/>
        <v>0</v>
      </c>
      <c r="AX11" s="197">
        <f t="shared" si="23"/>
        <v>-0.000010322</v>
      </c>
      <c r="AY11" s="196">
        <f t="shared" si="24"/>
        <v>-138.151521</v>
      </c>
      <c r="AZ11" s="4">
        <v>8.0</v>
      </c>
      <c r="BA11" s="193">
        <v>1.2423E-5</v>
      </c>
      <c r="BB11" s="193">
        <v>1.77E-7</v>
      </c>
      <c r="BC11" s="4">
        <f t="shared" si="25"/>
        <v>0</v>
      </c>
      <c r="BD11" s="193">
        <v>-9.161E-6</v>
      </c>
      <c r="BE11" s="193">
        <v>9.86E-7</v>
      </c>
      <c r="BF11" s="4">
        <f t="shared" si="26"/>
        <v>0</v>
      </c>
      <c r="BG11" s="192">
        <f t="shared" si="27"/>
        <v>0.000003262</v>
      </c>
      <c r="BH11" s="196">
        <f t="shared" si="28"/>
        <v>280.8399755</v>
      </c>
      <c r="BI11" s="193">
        <v>2.076E-6</v>
      </c>
      <c r="BJ11" s="193">
        <v>1.08E-7</v>
      </c>
      <c r="BK11" s="4">
        <f t="shared" si="29"/>
        <v>0</v>
      </c>
      <c r="BL11" s="193">
        <v>-1.0783E-5</v>
      </c>
      <c r="BM11" s="193">
        <v>1.273E-6</v>
      </c>
      <c r="BN11" s="4">
        <f t="shared" si="30"/>
        <v>0</v>
      </c>
      <c r="BO11" s="197">
        <f t="shared" si="31"/>
        <v>-0.000008707</v>
      </c>
      <c r="BP11" s="196">
        <f t="shared" si="32"/>
        <v>-123.842885</v>
      </c>
    </row>
    <row r="12">
      <c r="A12" s="4">
        <v>9.0</v>
      </c>
      <c r="B12" s="188">
        <v>0.00557903</v>
      </c>
      <c r="C12" s="188">
        <v>5.1809E-5</v>
      </c>
      <c r="D12" s="4">
        <f t="shared" si="1"/>
        <v>0</v>
      </c>
      <c r="E12" s="188">
        <v>-3.9771E-5</v>
      </c>
      <c r="F12" s="188">
        <v>1.131E-5</v>
      </c>
      <c r="G12" s="4">
        <f t="shared" si="2"/>
        <v>0</v>
      </c>
      <c r="H12" s="189">
        <f t="shared" si="3"/>
        <v>0.005539259</v>
      </c>
      <c r="I12" s="179">
        <f t="shared" si="4"/>
        <v>0.7179841203</v>
      </c>
      <c r="J12" s="188">
        <v>6.19367E-4</v>
      </c>
      <c r="K12" s="188">
        <v>2.4774E-5</v>
      </c>
      <c r="L12" s="4">
        <f t="shared" si="5"/>
        <v>0</v>
      </c>
      <c r="M12" s="188">
        <v>-1.37659E-4</v>
      </c>
      <c r="N12" s="188">
        <v>2.0088E-5</v>
      </c>
      <c r="O12" s="4">
        <f t="shared" si="6"/>
        <v>0</v>
      </c>
      <c r="P12" s="189">
        <f t="shared" si="7"/>
        <v>0.000481708</v>
      </c>
      <c r="Q12" s="196">
        <f t="shared" si="8"/>
        <v>28.57727088</v>
      </c>
      <c r="R12" s="4">
        <v>9.0</v>
      </c>
      <c r="S12" s="188">
        <v>6.84227E-4</v>
      </c>
      <c r="T12" s="188">
        <v>9.912E-6</v>
      </c>
      <c r="U12" s="4">
        <f t="shared" si="9"/>
        <v>0</v>
      </c>
      <c r="V12" s="188">
        <v>-2.7576E-5</v>
      </c>
      <c r="W12" s="188">
        <v>6.406E-6</v>
      </c>
      <c r="X12" s="4">
        <f t="shared" si="10"/>
        <v>0</v>
      </c>
      <c r="Y12" s="189">
        <f t="shared" si="11"/>
        <v>0.000656651</v>
      </c>
      <c r="Z12" s="179">
        <f t="shared" si="12"/>
        <v>4.199491054</v>
      </c>
      <c r="AA12" s="188">
        <v>1.81933E-4</v>
      </c>
      <c r="AB12" s="188">
        <v>7.85E-6</v>
      </c>
      <c r="AC12" s="4">
        <f t="shared" si="13"/>
        <v>0</v>
      </c>
      <c r="AD12" s="188">
        <v>-7.8784E-5</v>
      </c>
      <c r="AE12" s="188">
        <v>1.1285E-5</v>
      </c>
      <c r="AF12" s="4">
        <f t="shared" si="14"/>
        <v>0</v>
      </c>
      <c r="AG12" s="189">
        <f t="shared" si="15"/>
        <v>0.000103149</v>
      </c>
      <c r="AH12" s="196">
        <f t="shared" si="16"/>
        <v>76.37883062</v>
      </c>
      <c r="AI12" s="4">
        <v>9.0</v>
      </c>
      <c r="AJ12" s="190">
        <v>1.24247E-4</v>
      </c>
      <c r="AK12" s="190">
        <v>2.713E-6</v>
      </c>
      <c r="AL12" s="4">
        <f t="shared" si="17"/>
        <v>0</v>
      </c>
      <c r="AM12" s="190">
        <v>-3.2579E-5</v>
      </c>
      <c r="AN12" s="190">
        <v>4.434E-6</v>
      </c>
      <c r="AO12" s="4">
        <f t="shared" si="18"/>
        <v>0</v>
      </c>
      <c r="AP12" s="191">
        <f t="shared" si="19"/>
        <v>0.000091668</v>
      </c>
      <c r="AQ12" s="196">
        <f t="shared" si="20"/>
        <v>35.54021032</v>
      </c>
      <c r="AR12" s="193">
        <v>8.1989E-5</v>
      </c>
      <c r="AS12" s="193">
        <v>3.443E-6</v>
      </c>
      <c r="AT12" s="4">
        <f t="shared" si="21"/>
        <v>0</v>
      </c>
      <c r="AU12" s="193">
        <v>-5.0132E-5</v>
      </c>
      <c r="AV12" s="193">
        <v>6.863E-6</v>
      </c>
      <c r="AW12" s="4">
        <f t="shared" si="22"/>
        <v>0</v>
      </c>
      <c r="AX12" s="192">
        <f t="shared" si="23"/>
        <v>0.000031857</v>
      </c>
      <c r="AY12" s="196">
        <f t="shared" si="24"/>
        <v>157.3657281</v>
      </c>
      <c r="AZ12" s="4">
        <v>9.0</v>
      </c>
      <c r="BA12" s="193">
        <v>3.2576E-5</v>
      </c>
      <c r="BB12" s="193">
        <v>9.99E-7</v>
      </c>
      <c r="BC12" s="4">
        <f t="shared" si="25"/>
        <v>0</v>
      </c>
      <c r="BD12" s="193">
        <v>-1.6467E-5</v>
      </c>
      <c r="BE12" s="193">
        <v>2.878E-6</v>
      </c>
      <c r="BF12" s="4">
        <f t="shared" si="26"/>
        <v>0</v>
      </c>
      <c r="BG12" s="192">
        <f t="shared" si="27"/>
        <v>0.000016109</v>
      </c>
      <c r="BH12" s="196">
        <f t="shared" si="28"/>
        <v>102.2223602</v>
      </c>
      <c r="BI12" s="193">
        <v>3.934E-5</v>
      </c>
      <c r="BJ12" s="193">
        <v>1.641E-6</v>
      </c>
      <c r="BK12" s="4">
        <f t="shared" si="29"/>
        <v>0</v>
      </c>
      <c r="BL12" s="193">
        <v>-3.3772E-5</v>
      </c>
      <c r="BM12" s="193">
        <v>5.438E-6</v>
      </c>
      <c r="BN12" s="4">
        <f t="shared" si="30"/>
        <v>0</v>
      </c>
      <c r="BO12" s="192">
        <f t="shared" si="31"/>
        <v>0.000005568</v>
      </c>
      <c r="BP12" s="196">
        <f t="shared" si="32"/>
        <v>606.5373563</v>
      </c>
    </row>
    <row r="13">
      <c r="A13" s="4">
        <v>10.0</v>
      </c>
      <c r="B13" s="188">
        <v>0.022019166</v>
      </c>
      <c r="C13" s="188">
        <v>3.42429E-4</v>
      </c>
      <c r="D13" s="4">
        <f t="shared" si="1"/>
        <v>0</v>
      </c>
      <c r="E13" s="188">
        <v>-6.1771E-5</v>
      </c>
      <c r="F13" s="188">
        <v>3.3521E-5</v>
      </c>
      <c r="G13" s="4">
        <f t="shared" si="2"/>
        <v>0</v>
      </c>
      <c r="H13" s="189">
        <f t="shared" si="3"/>
        <v>0.021957395</v>
      </c>
      <c r="I13" s="179">
        <f t="shared" si="4"/>
        <v>0.2813220785</v>
      </c>
      <c r="J13" s="188">
        <v>0.003833746</v>
      </c>
      <c r="K13" s="188">
        <v>2.134E-4</v>
      </c>
      <c r="L13" s="4">
        <f t="shared" si="5"/>
        <v>0</v>
      </c>
      <c r="M13" s="188">
        <v>-4.32979E-4</v>
      </c>
      <c r="N13" s="188">
        <v>1.24183E-4</v>
      </c>
      <c r="O13" s="4">
        <f t="shared" si="6"/>
        <v>0</v>
      </c>
      <c r="P13" s="189">
        <f t="shared" si="7"/>
        <v>0.003400767</v>
      </c>
      <c r="Q13" s="196">
        <f t="shared" si="8"/>
        <v>12.73180433</v>
      </c>
      <c r="R13" s="4">
        <v>10.0</v>
      </c>
      <c r="S13" s="188">
        <v>0.002670411</v>
      </c>
      <c r="T13" s="188">
        <v>6.7568E-5</v>
      </c>
      <c r="U13" s="4">
        <f t="shared" si="9"/>
        <v>0</v>
      </c>
      <c r="V13" s="188">
        <v>-6.543E-5</v>
      </c>
      <c r="W13" s="188">
        <v>1.9463E-5</v>
      </c>
      <c r="X13" s="4">
        <f t="shared" si="10"/>
        <v>0</v>
      </c>
      <c r="Y13" s="189">
        <f t="shared" si="11"/>
        <v>0.002604981</v>
      </c>
      <c r="Z13" s="179">
        <f t="shared" si="12"/>
        <v>2.511726573</v>
      </c>
      <c r="AA13" s="188">
        <v>0.001240303</v>
      </c>
      <c r="AB13" s="188">
        <v>6.7735E-5</v>
      </c>
      <c r="AC13" s="4">
        <f t="shared" si="13"/>
        <v>0</v>
      </c>
      <c r="AD13" s="188">
        <v>-2.44033E-4</v>
      </c>
      <c r="AE13" s="188">
        <v>5.2067E-5</v>
      </c>
      <c r="AF13" s="4">
        <f t="shared" si="14"/>
        <v>0</v>
      </c>
      <c r="AG13" s="189">
        <f t="shared" si="15"/>
        <v>0.00099627</v>
      </c>
      <c r="AH13" s="196">
        <f t="shared" si="16"/>
        <v>24.4946651</v>
      </c>
      <c r="AI13" s="4">
        <v>10.0</v>
      </c>
      <c r="AJ13" s="190">
        <v>5.1094E-4</v>
      </c>
      <c r="AK13" s="190">
        <v>1.974E-5</v>
      </c>
      <c r="AL13" s="4">
        <f t="shared" si="17"/>
        <v>0</v>
      </c>
      <c r="AM13" s="190">
        <v>-5.8388E-5</v>
      </c>
      <c r="AN13" s="190">
        <v>1.5931E-5</v>
      </c>
      <c r="AO13" s="4">
        <f t="shared" si="18"/>
        <v>0</v>
      </c>
      <c r="AP13" s="191">
        <f t="shared" si="19"/>
        <v>0.000452552</v>
      </c>
      <c r="AQ13" s="196">
        <f t="shared" si="20"/>
        <v>12.90194276</v>
      </c>
      <c r="AR13" s="193">
        <v>6.44739E-4</v>
      </c>
      <c r="AS13" s="193">
        <v>3.1619E-5</v>
      </c>
      <c r="AT13" s="4">
        <f t="shared" si="21"/>
        <v>0</v>
      </c>
      <c r="AU13" s="193">
        <v>-1.30658E-4</v>
      </c>
      <c r="AV13" s="193">
        <v>3.9909E-5</v>
      </c>
      <c r="AW13" s="4">
        <f t="shared" si="22"/>
        <v>0</v>
      </c>
      <c r="AX13" s="192">
        <f t="shared" si="23"/>
        <v>0.000514081</v>
      </c>
      <c r="AY13" s="196">
        <f t="shared" si="24"/>
        <v>25.41583914</v>
      </c>
      <c r="AZ13" s="4">
        <v>10.0</v>
      </c>
      <c r="BA13" s="193">
        <v>1.52768E-4</v>
      </c>
      <c r="BB13" s="193">
        <v>7.682E-6</v>
      </c>
      <c r="BC13" s="4">
        <f t="shared" si="25"/>
        <v>0</v>
      </c>
      <c r="BD13" s="193">
        <v>-4.5547E-5</v>
      </c>
      <c r="BE13" s="193">
        <v>1.2498E-5</v>
      </c>
      <c r="BF13" s="4">
        <f t="shared" si="26"/>
        <v>0</v>
      </c>
      <c r="BG13" s="192">
        <f t="shared" si="27"/>
        <v>0.000107221</v>
      </c>
      <c r="BH13" s="196">
        <f t="shared" si="28"/>
        <v>42.47955158</v>
      </c>
      <c r="BI13" s="193">
        <v>2.9415E-4</v>
      </c>
      <c r="BJ13" s="193">
        <v>1.4708E-5</v>
      </c>
      <c r="BK13" s="4">
        <f t="shared" si="29"/>
        <v>0</v>
      </c>
      <c r="BL13" s="193">
        <v>-8.197E-5</v>
      </c>
      <c r="BM13" s="193">
        <v>2.0728E-5</v>
      </c>
      <c r="BN13" s="4">
        <f t="shared" si="30"/>
        <v>0</v>
      </c>
      <c r="BO13" s="192">
        <f t="shared" si="31"/>
        <v>0.00021218</v>
      </c>
      <c r="BP13" s="196">
        <f t="shared" si="32"/>
        <v>38.63229334</v>
      </c>
    </row>
    <row r="14">
      <c r="A14" s="4">
        <v>11.0</v>
      </c>
      <c r="B14" s="188">
        <v>0.033127338</v>
      </c>
      <c r="C14" s="188">
        <v>9.18717E-4</v>
      </c>
      <c r="D14" s="4">
        <f t="shared" si="1"/>
        <v>0</v>
      </c>
      <c r="E14" s="188">
        <v>-1.8626E-4</v>
      </c>
      <c r="F14" s="188">
        <v>7.2787E-5</v>
      </c>
      <c r="G14" s="4">
        <f t="shared" si="2"/>
        <v>0</v>
      </c>
      <c r="H14" s="189">
        <f t="shared" si="3"/>
        <v>0.032941078</v>
      </c>
      <c r="I14" s="179">
        <f t="shared" si="4"/>
        <v>0.5654338331</v>
      </c>
      <c r="J14" s="188">
        <v>0.011244704</v>
      </c>
      <c r="K14" s="188">
        <v>8.32291E-4</v>
      </c>
      <c r="L14" s="4">
        <f t="shared" si="5"/>
        <v>0</v>
      </c>
      <c r="M14" s="188">
        <v>-4.62588E-4</v>
      </c>
      <c r="N14" s="188">
        <v>2.10982E-4</v>
      </c>
      <c r="O14" s="4">
        <f t="shared" si="6"/>
        <v>0</v>
      </c>
      <c r="P14" s="189">
        <f t="shared" si="7"/>
        <v>0.010782116</v>
      </c>
      <c r="Q14" s="179">
        <f t="shared" si="8"/>
        <v>4.290326685</v>
      </c>
      <c r="R14" s="4">
        <v>11.0</v>
      </c>
      <c r="S14" s="188">
        <v>0.004364309</v>
      </c>
      <c r="T14" s="188">
        <v>1.91217E-4</v>
      </c>
      <c r="U14" s="4">
        <f t="shared" si="9"/>
        <v>0</v>
      </c>
      <c r="V14" s="188">
        <v>-3.3693E-5</v>
      </c>
      <c r="W14" s="188">
        <v>2.4074E-5</v>
      </c>
      <c r="X14" s="4">
        <f t="shared" si="10"/>
        <v>0</v>
      </c>
      <c r="Y14" s="189">
        <f t="shared" si="11"/>
        <v>0.004330616</v>
      </c>
      <c r="Z14" s="179">
        <f t="shared" si="12"/>
        <v>0.7780186468</v>
      </c>
      <c r="AA14" s="188">
        <v>0.003239006</v>
      </c>
      <c r="AB14" s="188">
        <v>2.39842E-4</v>
      </c>
      <c r="AC14" s="4">
        <f t="shared" si="13"/>
        <v>0</v>
      </c>
      <c r="AD14" s="188">
        <v>-4.38178E-4</v>
      </c>
      <c r="AE14" s="188">
        <v>1.387E-4</v>
      </c>
      <c r="AF14" s="4">
        <f t="shared" si="14"/>
        <v>0</v>
      </c>
      <c r="AG14" s="189">
        <f t="shared" si="15"/>
        <v>0.002800828</v>
      </c>
      <c r="AH14" s="196">
        <f t="shared" si="16"/>
        <v>15.64458796</v>
      </c>
      <c r="AI14" s="4">
        <v>11.0</v>
      </c>
      <c r="AJ14" s="190">
        <v>9.34736E-4</v>
      </c>
      <c r="AK14" s="190">
        <v>5.9714E-5</v>
      </c>
      <c r="AL14" s="4">
        <f t="shared" si="17"/>
        <v>0</v>
      </c>
      <c r="AM14" s="190">
        <v>-6.8796E-5</v>
      </c>
      <c r="AN14" s="190">
        <v>2.833E-5</v>
      </c>
      <c r="AO14" s="4">
        <f t="shared" si="18"/>
        <v>0</v>
      </c>
      <c r="AP14" s="191">
        <f t="shared" si="19"/>
        <v>0.00086594</v>
      </c>
      <c r="AQ14" s="179">
        <f t="shared" si="20"/>
        <v>7.944661293</v>
      </c>
      <c r="AR14" s="193">
        <v>0.001677724</v>
      </c>
      <c r="AS14" s="193">
        <v>1.15668E-4</v>
      </c>
      <c r="AT14" s="4">
        <f t="shared" si="21"/>
        <v>0</v>
      </c>
      <c r="AU14" s="193">
        <v>-2.5101E-4</v>
      </c>
      <c r="AV14" s="193">
        <v>7.1971E-5</v>
      </c>
      <c r="AW14" s="4">
        <f t="shared" si="22"/>
        <v>0</v>
      </c>
      <c r="AX14" s="192">
        <f t="shared" si="23"/>
        <v>0.001426714</v>
      </c>
      <c r="AY14" s="196">
        <f t="shared" si="24"/>
        <v>17.59357517</v>
      </c>
      <c r="AZ14" s="4">
        <v>11.0</v>
      </c>
      <c r="BA14" s="193">
        <v>3.29435E-4</v>
      </c>
      <c r="BB14" s="193">
        <v>2.6844E-5</v>
      </c>
      <c r="BC14" s="4">
        <f t="shared" si="25"/>
        <v>0</v>
      </c>
      <c r="BD14" s="193">
        <v>-5.0817E-5</v>
      </c>
      <c r="BE14" s="193">
        <v>2.1926E-5</v>
      </c>
      <c r="BF14" s="4">
        <f t="shared" si="26"/>
        <v>0</v>
      </c>
      <c r="BG14" s="192">
        <f t="shared" si="27"/>
        <v>0.000278618</v>
      </c>
      <c r="BH14" s="196">
        <f t="shared" si="28"/>
        <v>18.23895082</v>
      </c>
      <c r="BI14" s="193">
        <v>7.75407E-4</v>
      </c>
      <c r="BJ14" s="193">
        <v>5.3976E-5</v>
      </c>
      <c r="BK14" s="4">
        <f t="shared" si="29"/>
        <v>0</v>
      </c>
      <c r="BL14" s="193">
        <v>-7.9021E-5</v>
      </c>
      <c r="BM14" s="193">
        <v>4.129E-5</v>
      </c>
      <c r="BN14" s="4">
        <f t="shared" si="30"/>
        <v>0</v>
      </c>
      <c r="BO14" s="192">
        <f t="shared" si="31"/>
        <v>0.000696386</v>
      </c>
      <c r="BP14" s="196">
        <f t="shared" si="32"/>
        <v>11.34729877</v>
      </c>
    </row>
    <row r="15">
      <c r="A15" s="4">
        <v>12.0</v>
      </c>
      <c r="B15" s="188">
        <v>0.039153639</v>
      </c>
      <c r="C15" s="188">
        <v>0.001871944</v>
      </c>
      <c r="D15" s="4">
        <f t="shared" si="1"/>
        <v>0</v>
      </c>
      <c r="E15" s="188">
        <v>-1.26833E-4</v>
      </c>
      <c r="F15" s="188">
        <v>1.03186E-4</v>
      </c>
      <c r="G15" s="4">
        <f t="shared" si="2"/>
        <v>0</v>
      </c>
      <c r="H15" s="189">
        <f t="shared" si="3"/>
        <v>0.039026806</v>
      </c>
      <c r="I15" s="179">
        <f t="shared" si="4"/>
        <v>0.3249894444</v>
      </c>
      <c r="J15" s="188">
        <v>0.016750773</v>
      </c>
      <c r="K15" s="188">
        <v>0.001701213</v>
      </c>
      <c r="L15" s="4">
        <f t="shared" si="5"/>
        <v>0</v>
      </c>
      <c r="M15" s="188">
        <v>-6.63103E-4</v>
      </c>
      <c r="N15" s="188">
        <v>3.81349E-4</v>
      </c>
      <c r="O15" s="4">
        <f t="shared" si="6"/>
        <v>0</v>
      </c>
      <c r="P15" s="189">
        <f t="shared" si="7"/>
        <v>0.01608767</v>
      </c>
      <c r="Q15" s="179">
        <f t="shared" si="8"/>
        <v>4.121808814</v>
      </c>
      <c r="R15" s="4">
        <v>12.0</v>
      </c>
      <c r="S15" s="188">
        <v>0.006068703</v>
      </c>
      <c r="T15" s="188">
        <v>4.37802E-4</v>
      </c>
      <c r="U15" s="4">
        <f t="shared" si="9"/>
        <v>0</v>
      </c>
      <c r="V15" s="188">
        <v>-5.0239E-5</v>
      </c>
      <c r="W15" s="188">
        <v>3.5542E-5</v>
      </c>
      <c r="X15" s="4">
        <f t="shared" si="10"/>
        <v>0</v>
      </c>
      <c r="Y15" s="189">
        <f t="shared" si="11"/>
        <v>0.006018464</v>
      </c>
      <c r="Z15" s="179">
        <f t="shared" si="12"/>
        <v>0.8347478692</v>
      </c>
      <c r="AA15" s="188">
        <v>0.007167753</v>
      </c>
      <c r="AB15" s="188">
        <v>6.62571E-4</v>
      </c>
      <c r="AC15" s="4">
        <f t="shared" si="13"/>
        <v>0</v>
      </c>
      <c r="AD15" s="188">
        <v>-1.94952E-4</v>
      </c>
      <c r="AE15" s="188">
        <v>1.86477E-4</v>
      </c>
      <c r="AF15" s="4">
        <f t="shared" si="14"/>
        <v>0</v>
      </c>
      <c r="AG15" s="189">
        <f t="shared" si="15"/>
        <v>0.006972801</v>
      </c>
      <c r="AH15" s="179">
        <f t="shared" si="16"/>
        <v>2.79589221</v>
      </c>
      <c r="AI15" s="4">
        <v>12.0</v>
      </c>
      <c r="AJ15" s="190">
        <v>0.001460281</v>
      </c>
      <c r="AK15" s="190">
        <v>1.40397E-4</v>
      </c>
      <c r="AL15" s="4">
        <f t="shared" si="17"/>
        <v>0</v>
      </c>
      <c r="AM15" s="190">
        <v>-1.62106E-4</v>
      </c>
      <c r="AN15" s="190">
        <v>5.2707E-5</v>
      </c>
      <c r="AO15" s="4">
        <f t="shared" si="18"/>
        <v>0</v>
      </c>
      <c r="AP15" s="191">
        <f t="shared" si="19"/>
        <v>0.001298175</v>
      </c>
      <c r="AQ15" s="196">
        <f t="shared" si="20"/>
        <v>12.48722245</v>
      </c>
      <c r="AR15" s="193">
        <v>0.003399093</v>
      </c>
      <c r="AS15" s="193">
        <v>2.83902E-4</v>
      </c>
      <c r="AT15" s="4">
        <f t="shared" si="21"/>
        <v>0</v>
      </c>
      <c r="AU15" s="193">
        <v>-4.46669E-4</v>
      </c>
      <c r="AV15" s="193">
        <v>1.38337E-4</v>
      </c>
      <c r="AW15" s="4">
        <f t="shared" si="22"/>
        <v>0</v>
      </c>
      <c r="AX15" s="192">
        <f t="shared" si="23"/>
        <v>0.002952424</v>
      </c>
      <c r="AY15" s="196">
        <f t="shared" si="24"/>
        <v>15.1288907</v>
      </c>
      <c r="AZ15" s="4">
        <v>12.0</v>
      </c>
      <c r="BA15" s="193">
        <v>4.0012E-4</v>
      </c>
      <c r="BB15" s="193">
        <v>4.8542E-5</v>
      </c>
      <c r="BC15" s="4">
        <f t="shared" si="25"/>
        <v>0</v>
      </c>
      <c r="BD15" s="193">
        <v>-7.8229E-5</v>
      </c>
      <c r="BE15" s="193">
        <v>3.1293E-5</v>
      </c>
      <c r="BF15" s="4">
        <f t="shared" si="26"/>
        <v>0</v>
      </c>
      <c r="BG15" s="192">
        <f t="shared" si="27"/>
        <v>0.000321891</v>
      </c>
      <c r="BH15" s="196">
        <f t="shared" si="28"/>
        <v>24.30294727</v>
      </c>
      <c r="BI15" s="193">
        <v>0.001632204</v>
      </c>
      <c r="BJ15" s="193">
        <v>1.43208E-4</v>
      </c>
      <c r="BK15" s="4">
        <f t="shared" si="29"/>
        <v>0</v>
      </c>
      <c r="BL15" s="193">
        <v>-3.24956E-4</v>
      </c>
      <c r="BM15" s="193">
        <v>1.07302E-4</v>
      </c>
      <c r="BN15" s="4">
        <f t="shared" si="30"/>
        <v>0</v>
      </c>
      <c r="BO15" s="192">
        <f t="shared" si="31"/>
        <v>0.001307248</v>
      </c>
      <c r="BP15" s="196">
        <f t="shared" si="32"/>
        <v>24.85802235</v>
      </c>
    </row>
    <row r="16">
      <c r="A16" s="4">
        <v>13.0</v>
      </c>
      <c r="B16" s="188">
        <v>0.047605664</v>
      </c>
      <c r="C16" s="188">
        <v>0.003333141</v>
      </c>
      <c r="D16" s="4">
        <f t="shared" si="1"/>
        <v>0</v>
      </c>
      <c r="E16" s="188">
        <v>-3.70962E-4</v>
      </c>
      <c r="F16" s="188">
        <v>1.87574E-4</v>
      </c>
      <c r="G16" s="4">
        <f t="shared" si="2"/>
        <v>0</v>
      </c>
      <c r="H16" s="189">
        <f t="shared" si="3"/>
        <v>0.047234702</v>
      </c>
      <c r="I16" s="179">
        <f t="shared" si="4"/>
        <v>0.7853590354</v>
      </c>
      <c r="J16" s="188">
        <v>0.024501113</v>
      </c>
      <c r="K16" s="188">
        <v>0.003290129</v>
      </c>
      <c r="L16" s="4">
        <f t="shared" si="5"/>
        <v>0</v>
      </c>
      <c r="M16" s="188">
        <v>5.4301E-5</v>
      </c>
      <c r="N16" s="188">
        <v>4.50097E-4</v>
      </c>
      <c r="O16" s="4">
        <f t="shared" si="6"/>
        <v>1</v>
      </c>
      <c r="P16" s="189">
        <f t="shared" si="7"/>
        <v>0.024555414</v>
      </c>
      <c r="Q16" s="179">
        <f t="shared" si="8"/>
        <v>-0.2211365689</v>
      </c>
      <c r="R16" s="4">
        <v>13.0</v>
      </c>
      <c r="S16" s="188">
        <v>0.007895735</v>
      </c>
      <c r="T16" s="188">
        <v>7.85884E-4</v>
      </c>
      <c r="U16" s="4">
        <f t="shared" si="9"/>
        <v>0</v>
      </c>
      <c r="V16" s="188">
        <v>-4.8947E-5</v>
      </c>
      <c r="W16" s="188">
        <v>1.11489E-4</v>
      </c>
      <c r="X16" s="4">
        <f t="shared" si="10"/>
        <v>1</v>
      </c>
      <c r="Y16" s="189">
        <f t="shared" si="11"/>
        <v>0.007846788</v>
      </c>
      <c r="Z16" s="179">
        <f t="shared" si="12"/>
        <v>0.6237838973</v>
      </c>
      <c r="AA16" s="188">
        <v>0.008915674</v>
      </c>
      <c r="AB16" s="188">
        <v>0.001136353</v>
      </c>
      <c r="AC16" s="4">
        <f t="shared" si="13"/>
        <v>0</v>
      </c>
      <c r="AD16" s="188">
        <v>-4.47382E-4</v>
      </c>
      <c r="AE16" s="188">
        <v>2.47301E-4</v>
      </c>
      <c r="AF16" s="4">
        <f t="shared" si="14"/>
        <v>0</v>
      </c>
      <c r="AG16" s="189">
        <f t="shared" si="15"/>
        <v>0.008468292</v>
      </c>
      <c r="AH16" s="179">
        <f t="shared" si="16"/>
        <v>5.283025196</v>
      </c>
      <c r="AI16" s="4">
        <v>13.0</v>
      </c>
      <c r="AJ16" s="190">
        <v>0.00183672</v>
      </c>
      <c r="AK16" s="190">
        <v>2.37601E-4</v>
      </c>
      <c r="AL16" s="4">
        <f t="shared" si="17"/>
        <v>0</v>
      </c>
      <c r="AM16" s="190">
        <v>-1.54306E-4</v>
      </c>
      <c r="AN16" s="190">
        <v>8.5243E-5</v>
      </c>
      <c r="AO16" s="4">
        <f t="shared" si="18"/>
        <v>0</v>
      </c>
      <c r="AP16" s="191">
        <f t="shared" si="19"/>
        <v>0.001682414</v>
      </c>
      <c r="AQ16" s="179">
        <f t="shared" si="20"/>
        <v>9.17170209</v>
      </c>
      <c r="AR16" s="193">
        <v>0.005367184</v>
      </c>
      <c r="AS16" s="193">
        <v>5.85872E-4</v>
      </c>
      <c r="AT16" s="4">
        <f t="shared" si="21"/>
        <v>0</v>
      </c>
      <c r="AU16" s="193">
        <v>-7.41872E-4</v>
      </c>
      <c r="AV16" s="193">
        <v>2.15803E-4</v>
      </c>
      <c r="AW16" s="4">
        <f t="shared" si="22"/>
        <v>0</v>
      </c>
      <c r="AX16" s="192">
        <f t="shared" si="23"/>
        <v>0.004625312</v>
      </c>
      <c r="AY16" s="196">
        <f t="shared" si="24"/>
        <v>16.03939367</v>
      </c>
      <c r="AZ16" s="4">
        <v>13.0</v>
      </c>
      <c r="BA16" s="193">
        <v>7.86329E-4</v>
      </c>
      <c r="BB16" s="193">
        <v>1.1095E-4</v>
      </c>
      <c r="BC16" s="4">
        <f t="shared" si="25"/>
        <v>0</v>
      </c>
      <c r="BD16" s="193">
        <v>-3.6418E-5</v>
      </c>
      <c r="BE16" s="193">
        <v>2.6418E-5</v>
      </c>
      <c r="BF16" s="4">
        <f t="shared" si="26"/>
        <v>0</v>
      </c>
      <c r="BG16" s="192">
        <f t="shared" si="27"/>
        <v>0.000749911</v>
      </c>
      <c r="BH16" s="179">
        <f t="shared" si="28"/>
        <v>4.856309615</v>
      </c>
      <c r="BI16" s="193">
        <v>0.002380866</v>
      </c>
      <c r="BJ16" s="193">
        <v>2.69648E-4</v>
      </c>
      <c r="BK16" s="4">
        <f t="shared" si="29"/>
        <v>0</v>
      </c>
      <c r="BL16" s="193">
        <v>-4.58153E-4</v>
      </c>
      <c r="BM16" s="193">
        <v>1.32163E-4</v>
      </c>
      <c r="BN16" s="4">
        <f t="shared" si="30"/>
        <v>0</v>
      </c>
      <c r="BO16" s="192">
        <f t="shared" si="31"/>
        <v>0.001922713</v>
      </c>
      <c r="BP16" s="196">
        <f t="shared" si="32"/>
        <v>23.8284653</v>
      </c>
    </row>
    <row r="17">
      <c r="A17" s="4">
        <v>14.0</v>
      </c>
      <c r="B17" s="188">
        <v>0.045928072</v>
      </c>
      <c r="C17" s="188">
        <v>0.004635871</v>
      </c>
      <c r="D17" s="4">
        <f t="shared" si="1"/>
        <v>0</v>
      </c>
      <c r="E17" s="188">
        <v>-5.99536E-4</v>
      </c>
      <c r="F17" s="188">
        <v>3.01473E-4</v>
      </c>
      <c r="G17" s="4">
        <f t="shared" si="2"/>
        <v>0</v>
      </c>
      <c r="H17" s="189">
        <f t="shared" si="3"/>
        <v>0.045328536</v>
      </c>
      <c r="I17" s="179">
        <f t="shared" si="4"/>
        <v>1.322645849</v>
      </c>
      <c r="J17" s="188">
        <v>0.041531082</v>
      </c>
      <c r="K17" s="188">
        <v>0.006278415</v>
      </c>
      <c r="L17" s="4">
        <f t="shared" si="5"/>
        <v>0</v>
      </c>
      <c r="M17" s="188">
        <v>-0.001174155</v>
      </c>
      <c r="N17" s="188">
        <v>8.19679E-4</v>
      </c>
      <c r="O17" s="4">
        <f t="shared" si="6"/>
        <v>0</v>
      </c>
      <c r="P17" s="189">
        <f t="shared" si="7"/>
        <v>0.040356927</v>
      </c>
      <c r="Q17" s="179">
        <f t="shared" si="8"/>
        <v>2.909426181</v>
      </c>
      <c r="R17" s="4">
        <v>14.0</v>
      </c>
      <c r="S17" s="188">
        <v>0.009021657</v>
      </c>
      <c r="T17" s="188">
        <v>0.001250209</v>
      </c>
      <c r="U17" s="4">
        <f t="shared" si="9"/>
        <v>0</v>
      </c>
      <c r="V17" s="188">
        <v>9.167E-5</v>
      </c>
      <c r="W17" s="188">
        <v>1.08269E-4</v>
      </c>
      <c r="X17" s="4">
        <f t="shared" si="10"/>
        <v>1</v>
      </c>
      <c r="Y17" s="189">
        <f t="shared" si="11"/>
        <v>0.009113327</v>
      </c>
      <c r="Z17" s="179">
        <f t="shared" si="12"/>
        <v>-1.005889507</v>
      </c>
      <c r="AA17" s="188">
        <v>0.014420455</v>
      </c>
      <c r="AB17" s="188">
        <v>0.002083456</v>
      </c>
      <c r="AC17" s="4">
        <f t="shared" si="13"/>
        <v>0</v>
      </c>
      <c r="AD17" s="188">
        <v>-5.57405E-4</v>
      </c>
      <c r="AE17" s="188">
        <v>3.17354E-4</v>
      </c>
      <c r="AF17" s="4">
        <f t="shared" si="14"/>
        <v>0</v>
      </c>
      <c r="AG17" s="189">
        <f t="shared" si="15"/>
        <v>0.01386305</v>
      </c>
      <c r="AH17" s="179">
        <f t="shared" si="16"/>
        <v>4.020796289</v>
      </c>
      <c r="AI17" s="4">
        <v>14.0</v>
      </c>
      <c r="AJ17" s="190">
        <v>0.003362241</v>
      </c>
      <c r="AK17" s="190">
        <v>5.507E-4</v>
      </c>
      <c r="AL17" s="4">
        <f t="shared" si="17"/>
        <v>0</v>
      </c>
      <c r="AM17" s="190">
        <v>-9.139E-6</v>
      </c>
      <c r="AN17" s="190">
        <v>4.9124E-5</v>
      </c>
      <c r="AO17" s="4">
        <f t="shared" si="18"/>
        <v>1</v>
      </c>
      <c r="AP17" s="191">
        <f t="shared" si="19"/>
        <v>0.003353102</v>
      </c>
      <c r="AQ17" s="179">
        <f t="shared" si="20"/>
        <v>0.2725535937</v>
      </c>
      <c r="AR17" s="193">
        <v>0.007436517</v>
      </c>
      <c r="AS17" s="193">
        <v>9.87672E-4</v>
      </c>
      <c r="AT17" s="4">
        <f t="shared" si="21"/>
        <v>0</v>
      </c>
      <c r="AU17" s="193">
        <v>1.61607E-4</v>
      </c>
      <c r="AV17" s="193">
        <v>2.63485E-4</v>
      </c>
      <c r="AW17" s="4">
        <f t="shared" si="22"/>
        <v>1</v>
      </c>
      <c r="AX17" s="192">
        <f t="shared" si="23"/>
        <v>0.007598124</v>
      </c>
      <c r="AY17" s="179">
        <f t="shared" si="24"/>
        <v>-2.126932911</v>
      </c>
      <c r="AZ17" s="4">
        <v>14.0</v>
      </c>
      <c r="BA17" s="193">
        <v>0.001407033</v>
      </c>
      <c r="BB17" s="193">
        <v>2.34026E-4</v>
      </c>
      <c r="BC17" s="4">
        <f t="shared" si="25"/>
        <v>0</v>
      </c>
      <c r="BD17" s="193">
        <v>-2.6752E-5</v>
      </c>
      <c r="BE17" s="193">
        <v>6.5919E-5</v>
      </c>
      <c r="BF17" s="4">
        <f t="shared" si="26"/>
        <v>1</v>
      </c>
      <c r="BG17" s="192">
        <f t="shared" si="27"/>
        <v>0.001380281</v>
      </c>
      <c r="BH17" s="179">
        <f t="shared" si="28"/>
        <v>1.938156071</v>
      </c>
      <c r="BI17" s="193">
        <v>0.003278742</v>
      </c>
      <c r="BJ17" s="193">
        <v>4.33372E-4</v>
      </c>
      <c r="BK17" s="4">
        <f t="shared" si="29"/>
        <v>0</v>
      </c>
      <c r="BL17" s="193">
        <v>-4.10946E-4</v>
      </c>
      <c r="BM17" s="193">
        <v>1.51254E-4</v>
      </c>
      <c r="BN17" s="4">
        <f t="shared" si="30"/>
        <v>0</v>
      </c>
      <c r="BO17" s="192">
        <f t="shared" si="31"/>
        <v>0.002867796</v>
      </c>
      <c r="BP17" s="196">
        <f t="shared" si="32"/>
        <v>14.32968035</v>
      </c>
    </row>
    <row r="18">
      <c r="A18" s="4">
        <v>15.0</v>
      </c>
      <c r="B18" s="188">
        <v>0.002505283</v>
      </c>
      <c r="C18" s="188">
        <v>2.4184E-5</v>
      </c>
      <c r="D18" s="4">
        <f t="shared" si="1"/>
        <v>0</v>
      </c>
      <c r="E18" s="188">
        <v>-6.2241E-5</v>
      </c>
      <c r="F18" s="188">
        <v>1.5009E-5</v>
      </c>
      <c r="G18" s="4">
        <f t="shared" si="2"/>
        <v>0</v>
      </c>
      <c r="H18" s="189">
        <f t="shared" si="3"/>
        <v>0.002443042</v>
      </c>
      <c r="I18" s="179">
        <f t="shared" si="4"/>
        <v>2.547684403</v>
      </c>
      <c r="J18" s="188">
        <v>1.16527E-4</v>
      </c>
      <c r="K18" s="188">
        <v>7.079E-6</v>
      </c>
      <c r="L18" s="4">
        <f t="shared" si="5"/>
        <v>0</v>
      </c>
      <c r="M18" s="188">
        <v>-7.7982E-5</v>
      </c>
      <c r="N18" s="188">
        <v>1.569E-5</v>
      </c>
      <c r="O18" s="4">
        <f t="shared" si="6"/>
        <v>0</v>
      </c>
      <c r="P18" s="189">
        <f t="shared" si="7"/>
        <v>0.000038545</v>
      </c>
      <c r="Q18" s="196">
        <f t="shared" si="8"/>
        <v>202.3141782</v>
      </c>
      <c r="R18" s="4">
        <v>15.0</v>
      </c>
      <c r="S18" s="188">
        <v>5.02079E-4</v>
      </c>
      <c r="T18" s="188">
        <v>5.836E-6</v>
      </c>
      <c r="U18" s="4">
        <f t="shared" si="9"/>
        <v>0</v>
      </c>
      <c r="V18" s="188">
        <v>-3.6414E-5</v>
      </c>
      <c r="W18" s="188">
        <v>7.394E-6</v>
      </c>
      <c r="X18" s="4">
        <f t="shared" si="10"/>
        <v>0</v>
      </c>
      <c r="Y18" s="189">
        <f t="shared" si="11"/>
        <v>0.000465665</v>
      </c>
      <c r="Z18" s="179">
        <f t="shared" si="12"/>
        <v>7.819784609</v>
      </c>
      <c r="AA18" s="188">
        <v>4.5607E-5</v>
      </c>
      <c r="AB18" s="188">
        <v>2.609E-6</v>
      </c>
      <c r="AC18" s="4">
        <f t="shared" si="13"/>
        <v>0</v>
      </c>
      <c r="AD18" s="188">
        <v>-3.2234E-5</v>
      </c>
      <c r="AE18" s="188">
        <v>7.822E-6</v>
      </c>
      <c r="AF18" s="4">
        <f t="shared" si="14"/>
        <v>0</v>
      </c>
      <c r="AG18" s="189">
        <f t="shared" si="15"/>
        <v>0.000013373</v>
      </c>
      <c r="AH18" s="196">
        <f t="shared" si="16"/>
        <v>241.0379122</v>
      </c>
      <c r="AI18" s="4">
        <v>15.0</v>
      </c>
      <c r="AJ18" s="190">
        <v>1.15256E-4</v>
      </c>
      <c r="AK18" s="190">
        <v>1.75E-6</v>
      </c>
      <c r="AL18" s="4">
        <f t="shared" si="17"/>
        <v>0</v>
      </c>
      <c r="AM18" s="190">
        <v>-2.8021E-5</v>
      </c>
      <c r="AN18" s="190">
        <v>4.641E-6</v>
      </c>
      <c r="AO18" s="4">
        <f t="shared" si="18"/>
        <v>0</v>
      </c>
      <c r="AP18" s="191">
        <f t="shared" si="19"/>
        <v>0.000087235</v>
      </c>
      <c r="AQ18" s="196">
        <f t="shared" si="20"/>
        <v>32.1212816</v>
      </c>
      <c r="AR18" s="193">
        <v>2.1744E-5</v>
      </c>
      <c r="AS18" s="193">
        <v>1.146E-6</v>
      </c>
      <c r="AT18" s="4">
        <f t="shared" si="21"/>
        <v>0</v>
      </c>
      <c r="AU18" s="193">
        <v>-3.0482E-5</v>
      </c>
      <c r="AV18" s="193">
        <v>5.225E-6</v>
      </c>
      <c r="AW18" s="4">
        <f t="shared" si="22"/>
        <v>0</v>
      </c>
      <c r="AX18" s="197">
        <f t="shared" si="23"/>
        <v>-0.000008738</v>
      </c>
      <c r="AY18" s="196">
        <f t="shared" si="24"/>
        <v>-348.8441291</v>
      </c>
      <c r="AZ18" s="4">
        <v>15.0</v>
      </c>
      <c r="BA18" s="193">
        <v>3.4849E-5</v>
      </c>
      <c r="BB18" s="193">
        <v>6.68E-7</v>
      </c>
      <c r="BC18" s="4">
        <f t="shared" si="25"/>
        <v>0</v>
      </c>
      <c r="BD18" s="193">
        <v>-2.0157E-5</v>
      </c>
      <c r="BE18" s="193">
        <v>3.236E-6</v>
      </c>
      <c r="BF18" s="4">
        <f t="shared" si="26"/>
        <v>0</v>
      </c>
      <c r="BG18" s="192">
        <f t="shared" si="27"/>
        <v>0.000014692</v>
      </c>
      <c r="BH18" s="196">
        <f t="shared" si="28"/>
        <v>137.1971141</v>
      </c>
      <c r="BI18" s="193">
        <v>1.0267E-5</v>
      </c>
      <c r="BJ18" s="193">
        <v>5.38E-7</v>
      </c>
      <c r="BK18" s="4">
        <f t="shared" si="29"/>
        <v>0</v>
      </c>
      <c r="BL18" s="193">
        <v>-2.1089E-5</v>
      </c>
      <c r="BM18" s="193">
        <v>3.7E-6</v>
      </c>
      <c r="BN18" s="4">
        <f t="shared" si="30"/>
        <v>0</v>
      </c>
      <c r="BO18" s="197">
        <f t="shared" si="31"/>
        <v>-0.000010822</v>
      </c>
      <c r="BP18" s="196">
        <f t="shared" si="32"/>
        <v>-194.8715579</v>
      </c>
    </row>
    <row r="19">
      <c r="A19" s="4">
        <v>16.0</v>
      </c>
      <c r="B19" s="188">
        <v>0.00910272</v>
      </c>
      <c r="C19" s="188">
        <v>1.43713E-4</v>
      </c>
      <c r="D19" s="4">
        <f t="shared" si="1"/>
        <v>0</v>
      </c>
      <c r="E19" s="188">
        <v>-4.6347E-5</v>
      </c>
      <c r="F19" s="188">
        <v>3.5594E-5</v>
      </c>
      <c r="G19" s="4">
        <f t="shared" si="2"/>
        <v>0</v>
      </c>
      <c r="H19" s="189">
        <f t="shared" si="3"/>
        <v>0.009056373</v>
      </c>
      <c r="I19" s="179">
        <f t="shared" si="4"/>
        <v>0.5117611653</v>
      </c>
      <c r="J19" s="188">
        <v>0.002465197</v>
      </c>
      <c r="K19" s="188">
        <v>1.13301E-4</v>
      </c>
      <c r="L19" s="4">
        <f t="shared" si="5"/>
        <v>0</v>
      </c>
      <c r="M19" s="188">
        <v>-1.70783E-4</v>
      </c>
      <c r="N19" s="188">
        <v>4.4855E-5</v>
      </c>
      <c r="O19" s="4">
        <f t="shared" si="6"/>
        <v>0</v>
      </c>
      <c r="P19" s="189">
        <f t="shared" si="7"/>
        <v>0.002294414</v>
      </c>
      <c r="Q19" s="179">
        <f t="shared" si="8"/>
        <v>7.443425642</v>
      </c>
      <c r="R19" s="4">
        <v>16.0</v>
      </c>
      <c r="S19" s="188">
        <v>0.001337813</v>
      </c>
      <c r="T19" s="188">
        <v>3.0922E-5</v>
      </c>
      <c r="U19" s="4">
        <f t="shared" si="9"/>
        <v>0</v>
      </c>
      <c r="V19" s="188">
        <v>-6.4065E-5</v>
      </c>
      <c r="W19" s="188">
        <v>1.5139E-5</v>
      </c>
      <c r="X19" s="4">
        <f t="shared" si="10"/>
        <v>0</v>
      </c>
      <c r="Y19" s="189">
        <f t="shared" si="11"/>
        <v>0.001273748</v>
      </c>
      <c r="Z19" s="179">
        <f t="shared" si="12"/>
        <v>5.029644796</v>
      </c>
      <c r="AA19" s="188">
        <v>9.28786E-4</v>
      </c>
      <c r="AB19" s="188">
        <v>4.0013E-5</v>
      </c>
      <c r="AC19" s="4">
        <f t="shared" si="13"/>
        <v>0</v>
      </c>
      <c r="AD19" s="188">
        <v>-1.52046E-4</v>
      </c>
      <c r="AE19" s="188">
        <v>3.3462E-5</v>
      </c>
      <c r="AF19" s="4">
        <f t="shared" si="14"/>
        <v>0</v>
      </c>
      <c r="AG19" s="189">
        <f t="shared" si="15"/>
        <v>0.00077674</v>
      </c>
      <c r="AH19" s="196">
        <f t="shared" si="16"/>
        <v>19.57488992</v>
      </c>
      <c r="AI19" s="4">
        <v>16.0</v>
      </c>
      <c r="AJ19" s="190">
        <v>3.17055E-4</v>
      </c>
      <c r="AK19" s="190">
        <v>1.0345E-5</v>
      </c>
      <c r="AL19" s="4">
        <f t="shared" si="17"/>
        <v>0</v>
      </c>
      <c r="AM19" s="190">
        <v>-3.7745E-5</v>
      </c>
      <c r="AN19" s="190">
        <v>9.997E-6</v>
      </c>
      <c r="AO19" s="4">
        <f t="shared" si="18"/>
        <v>0</v>
      </c>
      <c r="AP19" s="191">
        <f t="shared" si="19"/>
        <v>0.00027931</v>
      </c>
      <c r="AQ19" s="196">
        <f t="shared" si="20"/>
        <v>13.51365866</v>
      </c>
      <c r="AR19" s="193">
        <v>3.84434E-4</v>
      </c>
      <c r="AS19" s="193">
        <v>1.6346E-5</v>
      </c>
      <c r="AT19" s="4">
        <f t="shared" si="21"/>
        <v>0</v>
      </c>
      <c r="AU19" s="193">
        <v>-1.20517E-4</v>
      </c>
      <c r="AV19" s="193">
        <v>2.3692E-5</v>
      </c>
      <c r="AW19" s="4">
        <f t="shared" si="22"/>
        <v>0</v>
      </c>
      <c r="AX19" s="192">
        <f t="shared" si="23"/>
        <v>0.000263917</v>
      </c>
      <c r="AY19" s="196">
        <f t="shared" si="24"/>
        <v>45.6647355</v>
      </c>
      <c r="AZ19" s="4">
        <v>16.0</v>
      </c>
      <c r="BA19" s="193">
        <v>9.6159E-5</v>
      </c>
      <c r="BB19" s="193">
        <v>3.96E-6</v>
      </c>
      <c r="BC19" s="4">
        <f t="shared" si="25"/>
        <v>0</v>
      </c>
      <c r="BD19" s="193">
        <v>-3.2436E-5</v>
      </c>
      <c r="BE19" s="193">
        <v>8.182E-6</v>
      </c>
      <c r="BF19" s="4">
        <f t="shared" si="26"/>
        <v>0</v>
      </c>
      <c r="BG19" s="192">
        <f t="shared" si="27"/>
        <v>0.000063723</v>
      </c>
      <c r="BH19" s="196">
        <f t="shared" si="28"/>
        <v>50.90155831</v>
      </c>
      <c r="BI19" s="193">
        <v>2.11301E-4</v>
      </c>
      <c r="BJ19" s="193">
        <v>8.377E-6</v>
      </c>
      <c r="BK19" s="4">
        <f t="shared" si="29"/>
        <v>0</v>
      </c>
      <c r="BL19" s="193">
        <v>-9.2051E-5</v>
      </c>
      <c r="BM19" s="193">
        <v>2.0133E-5</v>
      </c>
      <c r="BN19" s="4">
        <f t="shared" si="30"/>
        <v>0</v>
      </c>
      <c r="BO19" s="192">
        <f t="shared" si="31"/>
        <v>0.00011925</v>
      </c>
      <c r="BP19" s="196">
        <f t="shared" si="32"/>
        <v>77.19161426</v>
      </c>
    </row>
    <row r="20">
      <c r="A20" s="4">
        <v>17.0</v>
      </c>
      <c r="B20" s="188">
        <v>0.039777644</v>
      </c>
      <c r="C20" s="188">
        <v>0.001057431</v>
      </c>
      <c r="D20" s="4">
        <f t="shared" si="1"/>
        <v>0</v>
      </c>
      <c r="E20" s="188">
        <v>-1.46038E-4</v>
      </c>
      <c r="F20" s="188">
        <v>9.561E-5</v>
      </c>
      <c r="G20" s="4">
        <f t="shared" si="2"/>
        <v>0</v>
      </c>
      <c r="H20" s="189">
        <f t="shared" si="3"/>
        <v>0.039631606</v>
      </c>
      <c r="I20" s="179">
        <f t="shared" si="4"/>
        <v>0.3684887259</v>
      </c>
      <c r="J20" s="188">
        <v>0.017139295</v>
      </c>
      <c r="K20" s="188">
        <v>9.93303E-4</v>
      </c>
      <c r="L20" s="4">
        <f t="shared" si="5"/>
        <v>0</v>
      </c>
      <c r="M20" s="188">
        <v>-4.16166E-4</v>
      </c>
      <c r="N20" s="188">
        <v>2.40724E-4</v>
      </c>
      <c r="O20" s="4">
        <f t="shared" si="6"/>
        <v>0</v>
      </c>
      <c r="P20" s="189">
        <f t="shared" si="7"/>
        <v>0.016723129</v>
      </c>
      <c r="Q20" s="179">
        <f t="shared" si="8"/>
        <v>2.488565387</v>
      </c>
      <c r="R20" s="4">
        <v>17.0</v>
      </c>
      <c r="S20" s="188">
        <v>0.006101235</v>
      </c>
      <c r="T20" s="188">
        <v>2.38839E-4</v>
      </c>
      <c r="U20" s="4">
        <f t="shared" si="9"/>
        <v>0</v>
      </c>
      <c r="V20" s="188">
        <v>1.649E-5</v>
      </c>
      <c r="W20" s="188">
        <v>6.0632E-5</v>
      </c>
      <c r="X20" s="4">
        <f t="shared" si="10"/>
        <v>1</v>
      </c>
      <c r="Y20" s="189">
        <f t="shared" si="11"/>
        <v>0.006117725</v>
      </c>
      <c r="Z20" s="179">
        <f t="shared" si="12"/>
        <v>-0.2695446428</v>
      </c>
      <c r="AA20" s="188">
        <v>0.00615143</v>
      </c>
      <c r="AB20" s="188">
        <v>3.44192E-4</v>
      </c>
      <c r="AC20" s="4">
        <f t="shared" si="13"/>
        <v>0</v>
      </c>
      <c r="AD20" s="188">
        <v>-1.70632E-4</v>
      </c>
      <c r="AE20" s="188">
        <v>1.42763E-4</v>
      </c>
      <c r="AF20" s="4">
        <f t="shared" si="14"/>
        <v>0</v>
      </c>
      <c r="AG20" s="189">
        <f t="shared" si="15"/>
        <v>0.005980798</v>
      </c>
      <c r="AH20" s="179">
        <f t="shared" si="16"/>
        <v>2.852997209</v>
      </c>
      <c r="AI20" s="4">
        <v>17.0</v>
      </c>
      <c r="AJ20" s="190">
        <v>0.00143852</v>
      </c>
      <c r="AK20" s="190">
        <v>7.6841E-5</v>
      </c>
      <c r="AL20" s="4">
        <f t="shared" si="17"/>
        <v>0</v>
      </c>
      <c r="AM20" s="190">
        <v>-8.7845E-5</v>
      </c>
      <c r="AN20" s="190">
        <v>3.753E-5</v>
      </c>
      <c r="AO20" s="4">
        <f t="shared" si="18"/>
        <v>0</v>
      </c>
      <c r="AP20" s="191">
        <f t="shared" si="19"/>
        <v>0.001350675</v>
      </c>
      <c r="AQ20" s="179">
        <f t="shared" si="20"/>
        <v>6.503785144</v>
      </c>
      <c r="AR20" s="193">
        <v>0.002772043</v>
      </c>
      <c r="AS20" s="193">
        <v>1.50802E-4</v>
      </c>
      <c r="AT20" s="4">
        <f t="shared" si="21"/>
        <v>0</v>
      </c>
      <c r="AU20" s="193">
        <v>-1.22142E-4</v>
      </c>
      <c r="AV20" s="193">
        <v>6.5993E-5</v>
      </c>
      <c r="AW20" s="4">
        <f t="shared" si="22"/>
        <v>0</v>
      </c>
      <c r="AX20" s="192">
        <f t="shared" si="23"/>
        <v>0.002649901</v>
      </c>
      <c r="AY20" s="179">
        <f t="shared" si="24"/>
        <v>4.609304272</v>
      </c>
      <c r="AZ20" s="4">
        <v>17.0</v>
      </c>
      <c r="BA20" s="193">
        <v>4.75643E-4</v>
      </c>
      <c r="BB20" s="193">
        <v>3.1163E-5</v>
      </c>
      <c r="BC20" s="4">
        <f t="shared" si="25"/>
        <v>0</v>
      </c>
      <c r="BD20" s="193">
        <v>-9.899E-6</v>
      </c>
      <c r="BE20" s="193">
        <v>2.5021E-5</v>
      </c>
      <c r="BF20" s="4">
        <f t="shared" si="26"/>
        <v>1</v>
      </c>
      <c r="BG20" s="192">
        <f t="shared" si="27"/>
        <v>0.000465744</v>
      </c>
      <c r="BH20" s="179">
        <f t="shared" si="28"/>
        <v>2.125416538</v>
      </c>
      <c r="BI20" s="193">
        <v>0.001338253</v>
      </c>
      <c r="BJ20" s="193">
        <v>7.1815E-5</v>
      </c>
      <c r="BK20" s="4">
        <f t="shared" si="29"/>
        <v>0</v>
      </c>
      <c r="BL20" s="193">
        <v>-1.56705E-4</v>
      </c>
      <c r="BM20" s="193">
        <v>6.9858E-5</v>
      </c>
      <c r="BN20" s="4">
        <f t="shared" si="30"/>
        <v>0</v>
      </c>
      <c r="BO20" s="192">
        <f t="shared" si="31"/>
        <v>0.001181548</v>
      </c>
      <c r="BP20" s="196">
        <f t="shared" si="32"/>
        <v>13.2626859</v>
      </c>
    </row>
    <row r="21">
      <c r="A21" s="4">
        <v>18.0</v>
      </c>
      <c r="B21" s="188">
        <v>0.071730576</v>
      </c>
      <c r="C21" s="188">
        <v>0.00315064</v>
      </c>
      <c r="D21" s="4">
        <f t="shared" si="1"/>
        <v>0</v>
      </c>
      <c r="E21" s="188">
        <v>-2.10233E-4</v>
      </c>
      <c r="F21" s="188">
        <v>1.86363E-4</v>
      </c>
      <c r="G21" s="4">
        <f t="shared" si="2"/>
        <v>0</v>
      </c>
      <c r="H21" s="189">
        <f t="shared" si="3"/>
        <v>0.071520343</v>
      </c>
      <c r="I21" s="179">
        <f t="shared" si="4"/>
        <v>0.2939485343</v>
      </c>
      <c r="J21" s="188">
        <v>0.039855022</v>
      </c>
      <c r="K21" s="188">
        <v>0.003284449</v>
      </c>
      <c r="L21" s="4">
        <f t="shared" si="5"/>
        <v>0</v>
      </c>
      <c r="M21" s="188">
        <v>-0.001009322</v>
      </c>
      <c r="N21" s="188">
        <v>5.97909E-4</v>
      </c>
      <c r="O21" s="4">
        <f t="shared" si="6"/>
        <v>0</v>
      </c>
      <c r="P21" s="189">
        <f t="shared" si="7"/>
        <v>0.0388457</v>
      </c>
      <c r="Q21" s="179">
        <f t="shared" si="8"/>
        <v>2.59828501</v>
      </c>
      <c r="R21" s="4">
        <v>18.0</v>
      </c>
      <c r="S21" s="188">
        <v>0.010124046</v>
      </c>
      <c r="T21" s="188">
        <v>6.68703E-4</v>
      </c>
      <c r="U21" s="4">
        <f t="shared" si="9"/>
        <v>0</v>
      </c>
      <c r="V21" s="188">
        <v>-1.56604E-4</v>
      </c>
      <c r="W21" s="188">
        <v>1.52131E-4</v>
      </c>
      <c r="X21" s="4">
        <f t="shared" si="10"/>
        <v>0</v>
      </c>
      <c r="Y21" s="189">
        <f t="shared" si="11"/>
        <v>0.009967442</v>
      </c>
      <c r="Z21" s="179">
        <f t="shared" si="12"/>
        <v>1.571155368</v>
      </c>
      <c r="AA21" s="188">
        <v>0.0179068</v>
      </c>
      <c r="AB21" s="188">
        <v>0.001344257</v>
      </c>
      <c r="AC21" s="4">
        <f t="shared" si="13"/>
        <v>0</v>
      </c>
      <c r="AD21" s="188">
        <v>-8.88431E-4</v>
      </c>
      <c r="AE21" s="188">
        <v>3.43381E-4</v>
      </c>
      <c r="AF21" s="4">
        <f t="shared" si="14"/>
        <v>0</v>
      </c>
      <c r="AG21" s="189">
        <f t="shared" si="15"/>
        <v>0.017018369</v>
      </c>
      <c r="AH21" s="179">
        <f t="shared" si="16"/>
        <v>5.220423884</v>
      </c>
      <c r="AI21" s="4">
        <v>18.0</v>
      </c>
      <c r="AJ21" s="190">
        <v>0.002868767</v>
      </c>
      <c r="AK21" s="190">
        <v>2.41091E-4</v>
      </c>
      <c r="AL21" s="4">
        <f t="shared" si="17"/>
        <v>0</v>
      </c>
      <c r="AM21" s="190">
        <v>-1.48034E-4</v>
      </c>
      <c r="AN21" s="190">
        <v>9.5095E-5</v>
      </c>
      <c r="AO21" s="4">
        <f t="shared" si="18"/>
        <v>0</v>
      </c>
      <c r="AP21" s="191">
        <f t="shared" si="19"/>
        <v>0.002720733</v>
      </c>
      <c r="AQ21" s="179">
        <f t="shared" si="20"/>
        <v>5.440960212</v>
      </c>
      <c r="AR21" s="193">
        <v>0.007159848</v>
      </c>
      <c r="AS21" s="193">
        <v>5.21083E-4</v>
      </c>
      <c r="AT21" s="4">
        <f t="shared" si="21"/>
        <v>0</v>
      </c>
      <c r="AU21" s="193">
        <v>-7.50767E-4</v>
      </c>
      <c r="AV21" s="193">
        <v>2.42282E-4</v>
      </c>
      <c r="AW21" s="4">
        <f t="shared" si="22"/>
        <v>0</v>
      </c>
      <c r="AX21" s="192">
        <f t="shared" si="23"/>
        <v>0.006409081</v>
      </c>
      <c r="AY21" s="196">
        <f t="shared" si="24"/>
        <v>11.71411315</v>
      </c>
      <c r="AZ21" s="4">
        <v>18.0</v>
      </c>
      <c r="BA21" s="193">
        <v>0.001181141</v>
      </c>
      <c r="BB21" s="193">
        <v>1.12445E-4</v>
      </c>
      <c r="BC21" s="4">
        <f t="shared" si="25"/>
        <v>0</v>
      </c>
      <c r="BD21" s="193">
        <v>-2.44745E-4</v>
      </c>
      <c r="BE21" s="193">
        <v>1.12498E-4</v>
      </c>
      <c r="BF21" s="4">
        <f t="shared" si="26"/>
        <v>0</v>
      </c>
      <c r="BG21" s="192">
        <f t="shared" si="27"/>
        <v>0.000936396</v>
      </c>
      <c r="BH21" s="196">
        <f t="shared" si="28"/>
        <v>26.13691216</v>
      </c>
      <c r="BI21" s="193">
        <v>0.003802945</v>
      </c>
      <c r="BJ21" s="193">
        <v>2.7119E-4</v>
      </c>
      <c r="BK21" s="4">
        <f t="shared" si="29"/>
        <v>0</v>
      </c>
      <c r="BL21" s="193">
        <v>-2.48836E-4</v>
      </c>
      <c r="BM21" s="193">
        <v>1.59702E-4</v>
      </c>
      <c r="BN21" s="4">
        <f t="shared" si="30"/>
        <v>0</v>
      </c>
      <c r="BO21" s="192">
        <f t="shared" si="31"/>
        <v>0.003554109</v>
      </c>
      <c r="BP21" s="179">
        <f t="shared" si="32"/>
        <v>7.00136096</v>
      </c>
    </row>
    <row r="22">
      <c r="A22" s="4">
        <v>19.0</v>
      </c>
      <c r="B22" s="188">
        <v>0.092386983</v>
      </c>
      <c r="C22" s="188">
        <v>0.006544249</v>
      </c>
      <c r="D22" s="4">
        <f t="shared" si="1"/>
        <v>0</v>
      </c>
      <c r="E22" s="188">
        <v>1.90482E-4</v>
      </c>
      <c r="F22" s="188">
        <v>3.77306E-4</v>
      </c>
      <c r="G22" s="4">
        <f t="shared" si="2"/>
        <v>1</v>
      </c>
      <c r="H22" s="189">
        <f t="shared" si="3"/>
        <v>0.092577465</v>
      </c>
      <c r="I22" s="179">
        <f t="shared" si="4"/>
        <v>-0.2057541757</v>
      </c>
      <c r="J22" s="188">
        <v>0.063359335</v>
      </c>
      <c r="K22" s="188">
        <v>0.007446185</v>
      </c>
      <c r="L22" s="4">
        <f t="shared" si="5"/>
        <v>0</v>
      </c>
      <c r="M22" s="188">
        <v>-0.003118119</v>
      </c>
      <c r="N22" s="188">
        <v>0.001070098</v>
      </c>
      <c r="O22" s="4">
        <f t="shared" si="6"/>
        <v>0</v>
      </c>
      <c r="P22" s="189">
        <f t="shared" si="7"/>
        <v>0.060241216</v>
      </c>
      <c r="Q22" s="179">
        <f t="shared" si="8"/>
        <v>5.176055875</v>
      </c>
      <c r="R22" s="4">
        <v>19.0</v>
      </c>
      <c r="S22" s="188">
        <v>0.017905837</v>
      </c>
      <c r="T22" s="188">
        <v>0.001722858</v>
      </c>
      <c r="U22" s="4">
        <f t="shared" si="9"/>
        <v>0</v>
      </c>
      <c r="V22" s="188">
        <v>-1.71275E-4</v>
      </c>
      <c r="W22" s="188">
        <v>1.2111E-4</v>
      </c>
      <c r="X22" s="4">
        <f t="shared" si="10"/>
        <v>0</v>
      </c>
      <c r="Y22" s="189">
        <f t="shared" si="11"/>
        <v>0.017734562</v>
      </c>
      <c r="Z22" s="179">
        <f t="shared" si="12"/>
        <v>0.9657695521</v>
      </c>
      <c r="AA22" s="188">
        <v>0.028079866</v>
      </c>
      <c r="AB22" s="188">
        <v>0.002828227</v>
      </c>
      <c r="AC22" s="4">
        <f t="shared" si="13"/>
        <v>0</v>
      </c>
      <c r="AD22" s="188">
        <v>-0.0016334</v>
      </c>
      <c r="AE22" s="188">
        <v>6.15211E-4</v>
      </c>
      <c r="AF22" s="4">
        <f t="shared" si="14"/>
        <v>0</v>
      </c>
      <c r="AG22" s="189">
        <f t="shared" si="15"/>
        <v>0.026446466</v>
      </c>
      <c r="AH22" s="179">
        <f t="shared" si="16"/>
        <v>6.176250543</v>
      </c>
      <c r="AI22" s="4">
        <v>19.0</v>
      </c>
      <c r="AJ22" s="190">
        <v>0.004549925</v>
      </c>
      <c r="AK22" s="190">
        <v>5.47375E-4</v>
      </c>
      <c r="AL22" s="4">
        <f t="shared" si="17"/>
        <v>0</v>
      </c>
      <c r="AM22" s="190">
        <v>7.6565E-5</v>
      </c>
      <c r="AN22" s="190">
        <v>1.0962E-4</v>
      </c>
      <c r="AO22" s="4">
        <f t="shared" si="18"/>
        <v>1</v>
      </c>
      <c r="AP22" s="191">
        <f t="shared" si="19"/>
        <v>0.00462649</v>
      </c>
      <c r="AQ22" s="179">
        <f t="shared" si="20"/>
        <v>-1.654926305</v>
      </c>
      <c r="AR22" s="193">
        <v>0.012987938</v>
      </c>
      <c r="AS22" s="193">
        <v>0.001285109</v>
      </c>
      <c r="AT22" s="4">
        <f t="shared" si="21"/>
        <v>0</v>
      </c>
      <c r="AU22" s="193">
        <v>-0.001256674</v>
      </c>
      <c r="AV22" s="193">
        <v>4.52931E-4</v>
      </c>
      <c r="AW22" s="4">
        <f t="shared" si="22"/>
        <v>0</v>
      </c>
      <c r="AX22" s="192">
        <f t="shared" si="23"/>
        <v>0.011731264</v>
      </c>
      <c r="AY22" s="196">
        <f t="shared" si="24"/>
        <v>10.71217901</v>
      </c>
      <c r="AZ22" s="4">
        <v>19.0</v>
      </c>
      <c r="BA22" s="193">
        <v>0.002364265</v>
      </c>
      <c r="BB22" s="193">
        <v>2.79586E-4</v>
      </c>
      <c r="BC22" s="4">
        <f t="shared" si="25"/>
        <v>0</v>
      </c>
      <c r="BD22" s="193">
        <v>-2.02642E-4</v>
      </c>
      <c r="BE22" s="193">
        <v>1.17263E-4</v>
      </c>
      <c r="BF22" s="4">
        <f t="shared" si="26"/>
        <v>0</v>
      </c>
      <c r="BG22" s="192">
        <f t="shared" si="27"/>
        <v>0.002161623</v>
      </c>
      <c r="BH22" s="179">
        <f t="shared" si="28"/>
        <v>9.374530156</v>
      </c>
      <c r="BI22" s="193">
        <v>0.007924571</v>
      </c>
      <c r="BJ22" s="193">
        <v>7.24376E-4</v>
      </c>
      <c r="BK22" s="4">
        <f t="shared" si="29"/>
        <v>0</v>
      </c>
      <c r="BL22" s="193">
        <v>-1.06397E-4</v>
      </c>
      <c r="BM22" s="193">
        <v>2.90884E-4</v>
      </c>
      <c r="BN22" s="4">
        <f t="shared" si="30"/>
        <v>1</v>
      </c>
      <c r="BO22" s="192">
        <f t="shared" si="31"/>
        <v>0.007818174</v>
      </c>
      <c r="BP22" s="179">
        <f t="shared" si="32"/>
        <v>1.360893221</v>
      </c>
    </row>
    <row r="23">
      <c r="A23" s="4">
        <v>20.0</v>
      </c>
      <c r="B23" s="188">
        <v>0.323514044</v>
      </c>
      <c r="C23" s="188">
        <v>0.02124631</v>
      </c>
      <c r="D23" s="4">
        <f t="shared" si="1"/>
        <v>0</v>
      </c>
      <c r="E23" s="188">
        <v>-0.001169645</v>
      </c>
      <c r="F23" s="188">
        <v>9.2513E-4</v>
      </c>
      <c r="G23" s="4">
        <f t="shared" si="2"/>
        <v>0</v>
      </c>
      <c r="H23" s="189">
        <f t="shared" si="3"/>
        <v>0.322344399</v>
      </c>
      <c r="I23" s="179">
        <f t="shared" si="4"/>
        <v>0.3628556921</v>
      </c>
      <c r="J23" s="188">
        <v>0.188795269</v>
      </c>
      <c r="K23" s="188">
        <v>0.020856065</v>
      </c>
      <c r="L23" s="4">
        <f t="shared" si="5"/>
        <v>0</v>
      </c>
      <c r="M23" s="188">
        <v>-0.002435606</v>
      </c>
      <c r="N23" s="188">
        <v>0.001435171</v>
      </c>
      <c r="O23" s="4">
        <f t="shared" si="6"/>
        <v>0</v>
      </c>
      <c r="P23" s="189">
        <f t="shared" si="7"/>
        <v>0.186359663</v>
      </c>
      <c r="Q23" s="179">
        <f t="shared" si="8"/>
        <v>1.306938401</v>
      </c>
      <c r="R23" s="4">
        <v>20.0</v>
      </c>
      <c r="S23" s="188">
        <v>0.069156095</v>
      </c>
      <c r="T23" s="188">
        <v>0.005492021</v>
      </c>
      <c r="U23" s="4">
        <f t="shared" si="9"/>
        <v>0</v>
      </c>
      <c r="V23" s="188">
        <v>-1.84054E-4</v>
      </c>
      <c r="W23" s="188">
        <v>1.84054E-4</v>
      </c>
      <c r="X23" s="4">
        <f t="shared" si="10"/>
        <v>0</v>
      </c>
      <c r="Y23" s="189">
        <f t="shared" si="11"/>
        <v>0.068972041</v>
      </c>
      <c r="Z23" s="179">
        <f t="shared" si="12"/>
        <v>0.2668530572</v>
      </c>
      <c r="AA23" s="188">
        <v>0.04759606</v>
      </c>
      <c r="AB23" s="188">
        <v>0.00561502</v>
      </c>
      <c r="AC23" s="4">
        <f t="shared" si="13"/>
        <v>0</v>
      </c>
      <c r="AD23" s="188">
        <v>-8.2207E-4</v>
      </c>
      <c r="AE23" s="188">
        <v>8.34158E-4</v>
      </c>
      <c r="AF23" s="4">
        <f t="shared" si="14"/>
        <v>1</v>
      </c>
      <c r="AG23" s="189">
        <f t="shared" si="15"/>
        <v>0.04677399</v>
      </c>
      <c r="AH23" s="179">
        <f t="shared" si="16"/>
        <v>1.757536614</v>
      </c>
      <c r="AI23" s="4">
        <v>20.0</v>
      </c>
      <c r="AJ23" s="190">
        <v>0.013159168</v>
      </c>
      <c r="AK23" s="190">
        <v>0.00154494</v>
      </c>
      <c r="AL23" s="4">
        <f t="shared" si="17"/>
        <v>0</v>
      </c>
      <c r="AM23" s="190">
        <v>-7.2714E-5</v>
      </c>
      <c r="AN23" s="190">
        <v>2.88502E-4</v>
      </c>
      <c r="AO23" s="4">
        <f t="shared" si="18"/>
        <v>1</v>
      </c>
      <c r="AP23" s="191">
        <f t="shared" si="19"/>
        <v>0.013086454</v>
      </c>
      <c r="AQ23" s="179">
        <f t="shared" si="20"/>
        <v>0.5556432629</v>
      </c>
      <c r="AR23" s="193">
        <v>0.026954539</v>
      </c>
      <c r="AS23" s="193">
        <v>0.002857403</v>
      </c>
      <c r="AT23" s="4">
        <f t="shared" si="21"/>
        <v>0</v>
      </c>
      <c r="AU23" s="193">
        <v>-8.7686E-4</v>
      </c>
      <c r="AV23" s="193">
        <v>6.83205E-4</v>
      </c>
      <c r="AW23" s="4">
        <f t="shared" si="22"/>
        <v>0</v>
      </c>
      <c r="AX23" s="192">
        <f t="shared" si="23"/>
        <v>0.026077679</v>
      </c>
      <c r="AY23" s="179">
        <f t="shared" si="24"/>
        <v>3.362492498</v>
      </c>
      <c r="AZ23" s="4">
        <v>20.0</v>
      </c>
      <c r="BA23" s="193">
        <v>0.004907278</v>
      </c>
      <c r="BB23" s="193">
        <v>7.0272E-4</v>
      </c>
      <c r="BC23" s="4">
        <f t="shared" si="25"/>
        <v>0</v>
      </c>
      <c r="BD23" s="193">
        <v>-2.78842E-4</v>
      </c>
      <c r="BE23" s="193">
        <v>2.46003E-4</v>
      </c>
      <c r="BF23" s="4">
        <f t="shared" si="26"/>
        <v>0</v>
      </c>
      <c r="BG23" s="192">
        <f t="shared" si="27"/>
        <v>0.004628436</v>
      </c>
      <c r="BH23" s="179">
        <f t="shared" si="28"/>
        <v>6.024540471</v>
      </c>
      <c r="BI23" s="193">
        <v>0.013824405</v>
      </c>
      <c r="BJ23" s="193">
        <v>0.001403039</v>
      </c>
      <c r="BK23" s="4">
        <f t="shared" si="29"/>
        <v>0</v>
      </c>
      <c r="BL23" s="193">
        <v>-0.001058171</v>
      </c>
      <c r="BM23" s="193">
        <v>4.34201E-4</v>
      </c>
      <c r="BN23" s="4">
        <f t="shared" si="30"/>
        <v>0</v>
      </c>
      <c r="BO23" s="192">
        <f t="shared" si="31"/>
        <v>0.012766234</v>
      </c>
      <c r="BP23" s="179">
        <f t="shared" si="32"/>
        <v>8.288826603</v>
      </c>
    </row>
    <row r="24">
      <c r="A24" s="4">
        <v>21.0</v>
      </c>
      <c r="B24" s="188">
        <v>0.391908109</v>
      </c>
      <c r="C24" s="188">
        <v>0.035892915</v>
      </c>
      <c r="D24" s="4">
        <f t="shared" si="1"/>
        <v>0</v>
      </c>
      <c r="E24" s="188">
        <v>-8.48731E-4</v>
      </c>
      <c r="F24" s="188">
        <v>6.04594E-4</v>
      </c>
      <c r="G24" s="4">
        <f t="shared" si="2"/>
        <v>0</v>
      </c>
      <c r="H24" s="189">
        <f t="shared" si="3"/>
        <v>0.391059378</v>
      </c>
      <c r="I24" s="179">
        <f t="shared" si="4"/>
        <v>0.2170337928</v>
      </c>
      <c r="J24" s="188">
        <v>0.211702466</v>
      </c>
      <c r="K24" s="188">
        <v>0.031695985</v>
      </c>
      <c r="L24" s="4">
        <f t="shared" si="5"/>
        <v>0</v>
      </c>
      <c r="M24" s="188">
        <v>-0.00483258</v>
      </c>
      <c r="N24" s="188">
        <v>0.002449944</v>
      </c>
      <c r="O24" s="4">
        <f t="shared" si="6"/>
        <v>0</v>
      </c>
      <c r="P24" s="189">
        <f t="shared" si="7"/>
        <v>0.206869886</v>
      </c>
      <c r="Q24" s="179">
        <f t="shared" si="8"/>
        <v>2.33604808</v>
      </c>
      <c r="R24" s="4">
        <v>21.0</v>
      </c>
      <c r="S24" s="188">
        <v>0.071672246</v>
      </c>
      <c r="T24" s="188">
        <v>0.008262578</v>
      </c>
      <c r="U24" s="4">
        <f t="shared" si="9"/>
        <v>0</v>
      </c>
      <c r="V24" s="188">
        <v>-4.7505E-4</v>
      </c>
      <c r="W24" s="188">
        <v>3.37968E-4</v>
      </c>
      <c r="X24" s="4">
        <f t="shared" si="10"/>
        <v>0</v>
      </c>
      <c r="Y24" s="189">
        <f t="shared" si="11"/>
        <v>0.071197196</v>
      </c>
      <c r="Z24" s="179">
        <f t="shared" si="12"/>
        <v>0.6672313331</v>
      </c>
      <c r="AA24" s="188">
        <v>0.088463567</v>
      </c>
      <c r="AB24" s="188">
        <v>0.011966932</v>
      </c>
      <c r="AC24" s="4">
        <f t="shared" si="13"/>
        <v>0</v>
      </c>
      <c r="AD24" s="188">
        <v>-0.00204634</v>
      </c>
      <c r="AE24" s="188">
        <v>0.00106009</v>
      </c>
      <c r="AF24" s="4">
        <f t="shared" si="14"/>
        <v>0</v>
      </c>
      <c r="AG24" s="189">
        <f t="shared" si="15"/>
        <v>0.086417227</v>
      </c>
      <c r="AH24" s="179">
        <f t="shared" si="16"/>
        <v>2.367976931</v>
      </c>
      <c r="AI24" s="4">
        <v>21.0</v>
      </c>
      <c r="AJ24" s="190">
        <v>0.021671057</v>
      </c>
      <c r="AK24" s="190">
        <v>0.002864364</v>
      </c>
      <c r="AL24" s="4">
        <f t="shared" si="17"/>
        <v>0</v>
      </c>
      <c r="AM24" s="190">
        <v>-7.46459E-4</v>
      </c>
      <c r="AN24" s="190">
        <v>3.74265E-4</v>
      </c>
      <c r="AO24" s="4">
        <f t="shared" si="18"/>
        <v>0</v>
      </c>
      <c r="AP24" s="191">
        <f t="shared" si="19"/>
        <v>0.020924598</v>
      </c>
      <c r="AQ24" s="179">
        <f t="shared" si="20"/>
        <v>3.567375584</v>
      </c>
      <c r="AR24" s="193">
        <v>0.046639137</v>
      </c>
      <c r="AS24" s="193">
        <v>0.005708742</v>
      </c>
      <c r="AT24" s="4">
        <f t="shared" si="21"/>
        <v>0</v>
      </c>
      <c r="AU24" s="193">
        <v>-0.003598462</v>
      </c>
      <c r="AV24" s="193">
        <v>0.001248008</v>
      </c>
      <c r="AW24" s="4">
        <f t="shared" si="22"/>
        <v>0</v>
      </c>
      <c r="AX24" s="192">
        <f t="shared" si="23"/>
        <v>0.043040675</v>
      </c>
      <c r="AY24" s="179">
        <f t="shared" si="24"/>
        <v>8.360607727</v>
      </c>
      <c r="AZ24" s="4">
        <v>21.0</v>
      </c>
      <c r="BA24" s="193">
        <v>0.007998868</v>
      </c>
      <c r="BB24" s="193">
        <v>0.001293833</v>
      </c>
      <c r="BC24" s="4">
        <f t="shared" si="25"/>
        <v>0</v>
      </c>
      <c r="BD24" s="193">
        <v>2.63554E-4</v>
      </c>
      <c r="BE24" s="193">
        <v>3.35265E-4</v>
      </c>
      <c r="BF24" s="4">
        <f t="shared" si="26"/>
        <v>1</v>
      </c>
      <c r="BG24" s="192">
        <f t="shared" si="27"/>
        <v>0.008262422</v>
      </c>
      <c r="BH24" s="179">
        <f t="shared" si="28"/>
        <v>-3.189791081</v>
      </c>
      <c r="BI24" s="193">
        <v>0.024440648</v>
      </c>
      <c r="BJ24" s="193">
        <v>0.002854804</v>
      </c>
      <c r="BK24" s="4">
        <f t="shared" si="29"/>
        <v>0</v>
      </c>
      <c r="BL24" s="193">
        <v>-7.11322E-4</v>
      </c>
      <c r="BM24" s="193">
        <v>7.65304E-4</v>
      </c>
      <c r="BN24" s="4">
        <f t="shared" si="30"/>
        <v>1</v>
      </c>
      <c r="BO24" s="192">
        <f t="shared" si="31"/>
        <v>0.023729326</v>
      </c>
      <c r="BP24" s="179">
        <f t="shared" si="32"/>
        <v>2.997649406</v>
      </c>
    </row>
    <row r="25">
      <c r="A25" s="4">
        <v>22.0</v>
      </c>
      <c r="B25" s="188">
        <v>0.004440874</v>
      </c>
      <c r="C25" s="188">
        <v>5.466E-5</v>
      </c>
      <c r="D25" s="4">
        <f t="shared" si="1"/>
        <v>0</v>
      </c>
      <c r="E25" s="188">
        <v>-1.12777E-4</v>
      </c>
      <c r="F25" s="188">
        <v>2.4039E-5</v>
      </c>
      <c r="G25" s="4">
        <f t="shared" si="2"/>
        <v>0</v>
      </c>
      <c r="H25" s="189">
        <f t="shared" si="3"/>
        <v>0.004328097</v>
      </c>
      <c r="I25" s="179">
        <f t="shared" si="4"/>
        <v>2.605694835</v>
      </c>
      <c r="J25" s="188">
        <v>3.23043E-4</v>
      </c>
      <c r="K25" s="188">
        <v>2.0156E-5</v>
      </c>
      <c r="L25" s="4">
        <f t="shared" si="5"/>
        <v>0</v>
      </c>
      <c r="M25" s="188">
        <v>-1.30742E-4</v>
      </c>
      <c r="N25" s="188">
        <v>2.6672E-5</v>
      </c>
      <c r="O25" s="4">
        <f t="shared" si="6"/>
        <v>0</v>
      </c>
      <c r="P25" s="189">
        <f t="shared" si="7"/>
        <v>0.000192301</v>
      </c>
      <c r="Q25" s="196">
        <f t="shared" si="8"/>
        <v>67.98820599</v>
      </c>
      <c r="R25" s="4">
        <v>22.0</v>
      </c>
      <c r="S25" s="188">
        <v>9.30908E-4</v>
      </c>
      <c r="T25" s="188">
        <v>1.3742E-5</v>
      </c>
      <c r="U25" s="4">
        <f t="shared" si="9"/>
        <v>0</v>
      </c>
      <c r="V25" s="188">
        <v>-6.0031E-5</v>
      </c>
      <c r="W25" s="188">
        <v>1.3088E-5</v>
      </c>
      <c r="X25" s="4">
        <f t="shared" si="10"/>
        <v>0</v>
      </c>
      <c r="Y25" s="189">
        <f t="shared" si="11"/>
        <v>0.000870877</v>
      </c>
      <c r="Z25" s="179">
        <f t="shared" si="12"/>
        <v>6.893166314</v>
      </c>
      <c r="AA25" s="188">
        <v>1.33345E-4</v>
      </c>
      <c r="AB25" s="188">
        <v>7.633E-6</v>
      </c>
      <c r="AC25" s="4">
        <f t="shared" si="13"/>
        <v>0</v>
      </c>
      <c r="AD25" s="188">
        <v>-6.0956E-5</v>
      </c>
      <c r="AE25" s="188">
        <v>1.2654E-5</v>
      </c>
      <c r="AF25" s="4">
        <f t="shared" si="14"/>
        <v>0</v>
      </c>
      <c r="AG25" s="189">
        <f t="shared" si="15"/>
        <v>0.000072389</v>
      </c>
      <c r="AH25" s="196">
        <f t="shared" si="16"/>
        <v>84.20616392</v>
      </c>
      <c r="AI25" s="4">
        <v>22.0</v>
      </c>
      <c r="AJ25" s="190">
        <v>2.3456E-4</v>
      </c>
      <c r="AK25" s="190">
        <v>4.375E-6</v>
      </c>
      <c r="AL25" s="4">
        <f t="shared" si="17"/>
        <v>0</v>
      </c>
      <c r="AM25" s="190">
        <v>-4.4531E-5</v>
      </c>
      <c r="AN25" s="190">
        <v>7.938E-6</v>
      </c>
      <c r="AO25" s="4">
        <f t="shared" si="18"/>
        <v>0</v>
      </c>
      <c r="AP25" s="191">
        <f t="shared" si="19"/>
        <v>0.000190029</v>
      </c>
      <c r="AQ25" s="196">
        <f t="shared" si="20"/>
        <v>23.43379168</v>
      </c>
      <c r="AR25" s="193">
        <v>6.3767E-5</v>
      </c>
      <c r="AS25" s="193">
        <v>3.451E-6</v>
      </c>
      <c r="AT25" s="4">
        <f t="shared" si="21"/>
        <v>0</v>
      </c>
      <c r="AU25" s="193">
        <v>-3.4086E-5</v>
      </c>
      <c r="AV25" s="193">
        <v>6.574E-6</v>
      </c>
      <c r="AW25" s="4">
        <f t="shared" si="22"/>
        <v>0</v>
      </c>
      <c r="AX25" s="192">
        <f t="shared" si="23"/>
        <v>0.000029681</v>
      </c>
      <c r="AY25" s="196">
        <f t="shared" si="24"/>
        <v>114.8411442</v>
      </c>
      <c r="AZ25" s="4">
        <v>22.0</v>
      </c>
      <c r="BA25" s="193">
        <v>7.6823E-5</v>
      </c>
      <c r="BB25" s="193">
        <v>1.752E-6</v>
      </c>
      <c r="BC25" s="4">
        <f t="shared" si="25"/>
        <v>0</v>
      </c>
      <c r="BD25" s="193">
        <v>-3.4986E-5</v>
      </c>
      <c r="BE25" s="193">
        <v>5.164E-6</v>
      </c>
      <c r="BF25" s="4">
        <f t="shared" si="26"/>
        <v>0</v>
      </c>
      <c r="BG25" s="192">
        <f t="shared" si="27"/>
        <v>0.000041837</v>
      </c>
      <c r="BH25" s="196">
        <f t="shared" si="28"/>
        <v>83.62454287</v>
      </c>
      <c r="BI25" s="193">
        <v>3.0803E-5</v>
      </c>
      <c r="BJ25" s="193">
        <v>1.667E-6</v>
      </c>
      <c r="BK25" s="4">
        <f t="shared" si="29"/>
        <v>0</v>
      </c>
      <c r="BL25" s="193">
        <v>-3.7326E-5</v>
      </c>
      <c r="BM25" s="193">
        <v>6.449E-6</v>
      </c>
      <c r="BN25" s="4">
        <f t="shared" si="30"/>
        <v>0</v>
      </c>
      <c r="BO25" s="197">
        <f t="shared" si="31"/>
        <v>-0.000006523</v>
      </c>
      <c r="BP25" s="196">
        <f t="shared" si="32"/>
        <v>-572.2213705</v>
      </c>
    </row>
    <row r="26">
      <c r="A26" s="4">
        <v>23.0</v>
      </c>
      <c r="B26" s="188">
        <v>0.015230503</v>
      </c>
      <c r="C26" s="188">
        <v>3.40884E-4</v>
      </c>
      <c r="D26" s="4">
        <f t="shared" si="1"/>
        <v>0</v>
      </c>
      <c r="E26" s="188">
        <v>-6.944E-5</v>
      </c>
      <c r="F26" s="188">
        <v>4.912E-5</v>
      </c>
      <c r="G26" s="4">
        <f t="shared" si="2"/>
        <v>0</v>
      </c>
      <c r="H26" s="189">
        <f t="shared" si="3"/>
        <v>0.015161063</v>
      </c>
      <c r="I26" s="179">
        <f t="shared" si="4"/>
        <v>0.4580153779</v>
      </c>
      <c r="J26" s="188">
        <v>0.007429144</v>
      </c>
      <c r="K26" s="188">
        <v>3.48897E-4</v>
      </c>
      <c r="L26" s="4">
        <f t="shared" si="5"/>
        <v>0</v>
      </c>
      <c r="M26" s="188">
        <v>-2.64893E-4</v>
      </c>
      <c r="N26" s="188">
        <v>8.5908E-5</v>
      </c>
      <c r="O26" s="4">
        <f t="shared" si="6"/>
        <v>0</v>
      </c>
      <c r="P26" s="189">
        <f t="shared" si="7"/>
        <v>0.007164251</v>
      </c>
      <c r="Q26" s="179">
        <f t="shared" si="8"/>
        <v>3.697427686</v>
      </c>
      <c r="R26" s="4">
        <v>23.0</v>
      </c>
      <c r="S26" s="188">
        <v>0.002630881</v>
      </c>
      <c r="T26" s="188">
        <v>8.0575E-5</v>
      </c>
      <c r="U26" s="4">
        <f t="shared" si="9"/>
        <v>0</v>
      </c>
      <c r="V26" s="188">
        <v>-8.6978E-5</v>
      </c>
      <c r="W26" s="188">
        <v>2.8455E-5</v>
      </c>
      <c r="X26" s="4">
        <f t="shared" si="10"/>
        <v>0</v>
      </c>
      <c r="Y26" s="189">
        <f t="shared" si="11"/>
        <v>0.002543903</v>
      </c>
      <c r="Z26" s="179">
        <f t="shared" si="12"/>
        <v>3.419076907</v>
      </c>
      <c r="AA26" s="188">
        <v>0.002533704</v>
      </c>
      <c r="AB26" s="188">
        <v>1.14764E-4</v>
      </c>
      <c r="AC26" s="4">
        <f t="shared" si="13"/>
        <v>0</v>
      </c>
      <c r="AD26" s="188">
        <v>-2.4793E-4</v>
      </c>
      <c r="AE26" s="188">
        <v>5.4632E-5</v>
      </c>
      <c r="AF26" s="4">
        <f t="shared" si="14"/>
        <v>0</v>
      </c>
      <c r="AG26" s="189">
        <f t="shared" si="15"/>
        <v>0.002285774</v>
      </c>
      <c r="AH26" s="196">
        <f t="shared" si="16"/>
        <v>10.84665413</v>
      </c>
      <c r="AI26" s="4">
        <v>23.0</v>
      </c>
      <c r="AJ26" s="190">
        <v>6.58534E-4</v>
      </c>
      <c r="AK26" s="190">
        <v>2.6518E-5</v>
      </c>
      <c r="AL26" s="4">
        <f t="shared" si="17"/>
        <v>0</v>
      </c>
      <c r="AM26" s="190">
        <v>-7.2539E-5</v>
      </c>
      <c r="AN26" s="190">
        <v>2.277E-5</v>
      </c>
      <c r="AO26" s="4">
        <f t="shared" si="18"/>
        <v>0</v>
      </c>
      <c r="AP26" s="191">
        <f t="shared" si="19"/>
        <v>0.000585995</v>
      </c>
      <c r="AQ26" s="196">
        <f t="shared" si="20"/>
        <v>12.37877456</v>
      </c>
      <c r="AR26" s="193">
        <v>0.001198485</v>
      </c>
      <c r="AS26" s="193">
        <v>5.2265E-5</v>
      </c>
      <c r="AT26" s="4">
        <f t="shared" si="21"/>
        <v>0</v>
      </c>
      <c r="AU26" s="193">
        <v>-2.14407E-4</v>
      </c>
      <c r="AV26" s="193">
        <v>4.296E-5</v>
      </c>
      <c r="AW26" s="4">
        <f t="shared" si="22"/>
        <v>0</v>
      </c>
      <c r="AX26" s="192">
        <f t="shared" si="23"/>
        <v>0.000984078</v>
      </c>
      <c r="AY26" s="196">
        <f t="shared" si="24"/>
        <v>21.7876022</v>
      </c>
      <c r="AZ26" s="4">
        <v>23.0</v>
      </c>
      <c r="BA26" s="193">
        <v>2.09977E-4</v>
      </c>
      <c r="BB26" s="193">
        <v>1.069E-5</v>
      </c>
      <c r="BC26" s="4">
        <f t="shared" si="25"/>
        <v>0</v>
      </c>
      <c r="BD26" s="193">
        <v>-5.1289E-5</v>
      </c>
      <c r="BE26" s="193">
        <v>1.493E-5</v>
      </c>
      <c r="BF26" s="4">
        <f t="shared" si="26"/>
        <v>0</v>
      </c>
      <c r="BG26" s="192">
        <f t="shared" si="27"/>
        <v>0.000158688</v>
      </c>
      <c r="BH26" s="196">
        <f t="shared" si="28"/>
        <v>32.32065437</v>
      </c>
      <c r="BI26" s="193">
        <v>6.10947E-4</v>
      </c>
      <c r="BJ26" s="193">
        <v>2.5835E-5</v>
      </c>
      <c r="BK26" s="4">
        <f t="shared" si="29"/>
        <v>0</v>
      </c>
      <c r="BL26" s="193">
        <v>-1.25003E-4</v>
      </c>
      <c r="BM26" s="193">
        <v>2.5927E-5</v>
      </c>
      <c r="BN26" s="4">
        <f t="shared" si="30"/>
        <v>0</v>
      </c>
      <c r="BO26" s="192">
        <f t="shared" si="31"/>
        <v>0.000485944</v>
      </c>
      <c r="BP26" s="196">
        <f t="shared" si="32"/>
        <v>25.72374595</v>
      </c>
    </row>
    <row r="27">
      <c r="A27" s="4">
        <v>24.0</v>
      </c>
      <c r="B27" s="188">
        <v>0.066835985</v>
      </c>
      <c r="C27" s="188">
        <v>0.002440085</v>
      </c>
      <c r="D27" s="4">
        <f t="shared" si="1"/>
        <v>0</v>
      </c>
      <c r="E27" s="188">
        <v>-3.15623E-4</v>
      </c>
      <c r="F27" s="188">
        <v>1.94778E-4</v>
      </c>
      <c r="G27" s="4">
        <f t="shared" si="2"/>
        <v>0</v>
      </c>
      <c r="H27" s="189">
        <f t="shared" si="3"/>
        <v>0.066520362</v>
      </c>
      <c r="I27" s="179">
        <f t="shared" si="4"/>
        <v>0.4744757703</v>
      </c>
      <c r="J27" s="188">
        <v>0.044465162</v>
      </c>
      <c r="K27" s="188">
        <v>0.002777656</v>
      </c>
      <c r="L27" s="4">
        <f t="shared" si="5"/>
        <v>0</v>
      </c>
      <c r="M27" s="188">
        <v>-6.3186E-4</v>
      </c>
      <c r="N27" s="188">
        <v>2.90003E-4</v>
      </c>
      <c r="O27" s="4">
        <f t="shared" si="6"/>
        <v>0</v>
      </c>
      <c r="P27" s="189">
        <f t="shared" si="7"/>
        <v>0.043833302</v>
      </c>
      <c r="Q27" s="179">
        <f t="shared" si="8"/>
        <v>1.441506734</v>
      </c>
      <c r="R27" s="4">
        <v>24.0</v>
      </c>
      <c r="S27" s="188">
        <v>0.011693655</v>
      </c>
      <c r="T27" s="188">
        <v>5.86388E-4</v>
      </c>
      <c r="U27" s="4">
        <f t="shared" si="9"/>
        <v>0</v>
      </c>
      <c r="V27" s="188">
        <v>-2.81169E-4</v>
      </c>
      <c r="W27" s="188">
        <v>1.11002E-4</v>
      </c>
      <c r="X27" s="4">
        <f t="shared" si="10"/>
        <v>0</v>
      </c>
      <c r="Y27" s="189">
        <f t="shared" si="11"/>
        <v>0.011412486</v>
      </c>
      <c r="Z27" s="179">
        <f t="shared" si="12"/>
        <v>2.463696341</v>
      </c>
      <c r="AA27" s="188">
        <v>0.01654681</v>
      </c>
      <c r="AB27" s="188">
        <v>9.83492E-4</v>
      </c>
      <c r="AC27" s="4">
        <f t="shared" si="13"/>
        <v>0</v>
      </c>
      <c r="AD27" s="188">
        <v>-9.20319E-4</v>
      </c>
      <c r="AE27" s="188">
        <v>3.20814E-4</v>
      </c>
      <c r="AF27" s="4">
        <f t="shared" si="14"/>
        <v>0</v>
      </c>
      <c r="AG27" s="189">
        <f t="shared" si="15"/>
        <v>0.015626491</v>
      </c>
      <c r="AH27" s="179">
        <f t="shared" si="16"/>
        <v>5.889479602</v>
      </c>
      <c r="AI27" s="4">
        <v>24.0</v>
      </c>
      <c r="AJ27" s="190">
        <v>0.002898196</v>
      </c>
      <c r="AK27" s="190">
        <v>1.9732E-4</v>
      </c>
      <c r="AL27" s="4">
        <f t="shared" si="17"/>
        <v>0</v>
      </c>
      <c r="AM27" s="190">
        <v>-9.431E-5</v>
      </c>
      <c r="AN27" s="190">
        <v>6.4648E-5</v>
      </c>
      <c r="AO27" s="4">
        <f t="shared" si="18"/>
        <v>0</v>
      </c>
      <c r="AP27" s="191">
        <f t="shared" si="19"/>
        <v>0.002803886</v>
      </c>
      <c r="AQ27" s="179">
        <f t="shared" si="20"/>
        <v>3.363546164</v>
      </c>
      <c r="AR27" s="193">
        <v>0.007195643</v>
      </c>
      <c r="AS27" s="193">
        <v>4.06589E-4</v>
      </c>
      <c r="AT27" s="4">
        <f t="shared" si="21"/>
        <v>0</v>
      </c>
      <c r="AU27" s="193">
        <v>-5.7396E-4</v>
      </c>
      <c r="AV27" s="193">
        <v>1.80479E-4</v>
      </c>
      <c r="AW27" s="4">
        <f t="shared" si="22"/>
        <v>0</v>
      </c>
      <c r="AX27" s="192">
        <f t="shared" si="23"/>
        <v>0.006621683</v>
      </c>
      <c r="AY27" s="179">
        <f t="shared" si="24"/>
        <v>8.667887001</v>
      </c>
      <c r="AZ27" s="4">
        <v>24.0</v>
      </c>
      <c r="BA27" s="193">
        <v>0.001088611</v>
      </c>
      <c r="BB27" s="193">
        <v>8.4264E-5</v>
      </c>
      <c r="BC27" s="4">
        <f t="shared" si="25"/>
        <v>0</v>
      </c>
      <c r="BD27" s="193">
        <v>-1.07218E-4</v>
      </c>
      <c r="BE27" s="193">
        <v>4.5499E-5</v>
      </c>
      <c r="BF27" s="4">
        <f t="shared" si="26"/>
        <v>0</v>
      </c>
      <c r="BG27" s="192">
        <f t="shared" si="27"/>
        <v>0.000981393</v>
      </c>
      <c r="BH27" s="196">
        <f t="shared" si="28"/>
        <v>10.92508302</v>
      </c>
      <c r="BI27" s="193">
        <v>0.004202303</v>
      </c>
      <c r="BJ27" s="193">
        <v>2.24577E-4</v>
      </c>
      <c r="BK27" s="4">
        <f t="shared" si="29"/>
        <v>0</v>
      </c>
      <c r="BL27" s="193">
        <v>-4.46959E-4</v>
      </c>
      <c r="BM27" s="193">
        <v>1.23639E-4</v>
      </c>
      <c r="BN27" s="4">
        <f t="shared" si="30"/>
        <v>0</v>
      </c>
      <c r="BO27" s="192">
        <f t="shared" si="31"/>
        <v>0.003755344</v>
      </c>
      <c r="BP27" s="196">
        <f t="shared" si="32"/>
        <v>11.9019456</v>
      </c>
    </row>
    <row r="28">
      <c r="A28" s="4">
        <v>25.0</v>
      </c>
      <c r="B28" s="188">
        <v>0.390859693</v>
      </c>
      <c r="C28" s="188">
        <v>0.014186231</v>
      </c>
      <c r="D28" s="4">
        <f t="shared" si="1"/>
        <v>0</v>
      </c>
      <c r="E28" s="188">
        <v>2.8051E-5</v>
      </c>
      <c r="F28" s="188">
        <v>7.57194E-4</v>
      </c>
      <c r="G28" s="4">
        <f t="shared" si="2"/>
        <v>1</v>
      </c>
      <c r="H28" s="189">
        <f t="shared" si="3"/>
        <v>0.390887744</v>
      </c>
      <c r="I28" s="179">
        <f t="shared" si="4"/>
        <v>-0.007176229091</v>
      </c>
      <c r="J28" s="188">
        <v>0.184620515</v>
      </c>
      <c r="K28" s="188">
        <v>0.013375052</v>
      </c>
      <c r="L28" s="4">
        <f t="shared" si="5"/>
        <v>0</v>
      </c>
      <c r="M28" s="188">
        <v>-0.001897265</v>
      </c>
      <c r="N28" s="188">
        <v>0.00160259</v>
      </c>
      <c r="O28" s="4">
        <f t="shared" si="6"/>
        <v>0</v>
      </c>
      <c r="P28" s="189">
        <f t="shared" si="7"/>
        <v>0.18272325</v>
      </c>
      <c r="Q28" s="179">
        <f t="shared" si="8"/>
        <v>1.038327088</v>
      </c>
      <c r="R28" s="4">
        <v>25.0</v>
      </c>
      <c r="S28" s="188">
        <v>0.063934766</v>
      </c>
      <c r="T28" s="188">
        <v>0.003264554</v>
      </c>
      <c r="U28" s="4">
        <f t="shared" si="9"/>
        <v>0</v>
      </c>
      <c r="V28" s="188">
        <v>4.3603E-4</v>
      </c>
      <c r="W28" s="188">
        <v>5.03615E-4</v>
      </c>
      <c r="X28" s="4">
        <f t="shared" si="10"/>
        <v>1</v>
      </c>
      <c r="Y28" s="189">
        <f t="shared" si="11"/>
        <v>0.064370796</v>
      </c>
      <c r="Z28" s="179">
        <f t="shared" si="12"/>
        <v>-0.677372391</v>
      </c>
      <c r="AA28" s="188">
        <v>0.055035818</v>
      </c>
      <c r="AB28" s="188">
        <v>0.00390552</v>
      </c>
      <c r="AC28" s="4">
        <f t="shared" si="13"/>
        <v>0</v>
      </c>
      <c r="AD28" s="188">
        <v>-7.89621E-4</v>
      </c>
      <c r="AE28" s="188">
        <v>5.30017E-4</v>
      </c>
      <c r="AF28" s="4">
        <f t="shared" si="14"/>
        <v>0</v>
      </c>
      <c r="AG28" s="189">
        <f t="shared" si="15"/>
        <v>0.054246197</v>
      </c>
      <c r="AH28" s="179">
        <f t="shared" si="16"/>
        <v>1.455624622</v>
      </c>
      <c r="AI28" s="4">
        <v>25.0</v>
      </c>
      <c r="AJ28" s="190">
        <v>0.015705235</v>
      </c>
      <c r="AK28" s="190">
        <v>0.001032082</v>
      </c>
      <c r="AL28" s="4">
        <f t="shared" si="17"/>
        <v>0</v>
      </c>
      <c r="AM28" s="190">
        <v>-4.65178E-4</v>
      </c>
      <c r="AN28" s="190">
        <v>1.79304E-4</v>
      </c>
      <c r="AO28" s="4">
        <f t="shared" si="18"/>
        <v>0</v>
      </c>
      <c r="AP28" s="191">
        <f t="shared" si="19"/>
        <v>0.015240057</v>
      </c>
      <c r="AQ28" s="179">
        <f t="shared" si="20"/>
        <v>3.052337665</v>
      </c>
      <c r="AR28" s="193">
        <v>0.024924278</v>
      </c>
      <c r="AS28" s="193">
        <v>0.001798199</v>
      </c>
      <c r="AT28" s="4">
        <f t="shared" si="21"/>
        <v>0</v>
      </c>
      <c r="AU28" s="193">
        <v>-9.39595E-4</v>
      </c>
      <c r="AV28" s="193">
        <v>4.9766E-4</v>
      </c>
      <c r="AW28" s="4">
        <f t="shared" si="22"/>
        <v>0</v>
      </c>
      <c r="AX28" s="192">
        <f t="shared" si="23"/>
        <v>0.023984683</v>
      </c>
      <c r="AY28" s="179">
        <f t="shared" si="24"/>
        <v>3.917479335</v>
      </c>
      <c r="AZ28" s="4">
        <v>25.0</v>
      </c>
      <c r="BA28" s="193">
        <v>0.005582522</v>
      </c>
      <c r="BB28" s="193">
        <v>4.46312E-4</v>
      </c>
      <c r="BC28" s="4">
        <f t="shared" si="25"/>
        <v>0</v>
      </c>
      <c r="BD28" s="193">
        <v>-1.51877E-4</v>
      </c>
      <c r="BE28" s="193">
        <v>1.02231E-4</v>
      </c>
      <c r="BF28" s="4">
        <f t="shared" si="26"/>
        <v>0</v>
      </c>
      <c r="BG28" s="192">
        <f t="shared" si="27"/>
        <v>0.005430645</v>
      </c>
      <c r="BH28" s="179">
        <f t="shared" si="28"/>
        <v>2.796665958</v>
      </c>
      <c r="BI28" s="193">
        <v>0.011811925</v>
      </c>
      <c r="BJ28" s="193">
        <v>8.31021E-4</v>
      </c>
      <c r="BK28" s="4">
        <f t="shared" si="29"/>
        <v>0</v>
      </c>
      <c r="BL28" s="193">
        <v>-0.001138505</v>
      </c>
      <c r="BM28" s="193">
        <v>3.57304E-4</v>
      </c>
      <c r="BN28" s="4">
        <f t="shared" si="30"/>
        <v>0</v>
      </c>
      <c r="BO28" s="192">
        <f t="shared" si="31"/>
        <v>0.01067342</v>
      </c>
      <c r="BP28" s="196">
        <f t="shared" si="32"/>
        <v>10.666731</v>
      </c>
    </row>
    <row r="29">
      <c r="A29" s="4">
        <v>26.0</v>
      </c>
      <c r="B29" s="188">
        <v>0.564863503</v>
      </c>
      <c r="C29" s="188">
        <v>0.031816999</v>
      </c>
      <c r="D29" s="4">
        <f t="shared" si="1"/>
        <v>0</v>
      </c>
      <c r="E29" s="188">
        <v>-0.001856468</v>
      </c>
      <c r="F29" s="188">
        <v>0.001121721</v>
      </c>
      <c r="G29" s="4">
        <f t="shared" si="2"/>
        <v>0</v>
      </c>
      <c r="H29" s="189">
        <f t="shared" si="3"/>
        <v>0.563007035</v>
      </c>
      <c r="I29" s="179">
        <f t="shared" si="4"/>
        <v>0.329741528</v>
      </c>
      <c r="J29" s="188">
        <v>0.295038581</v>
      </c>
      <c r="K29" s="188">
        <v>0.031984178</v>
      </c>
      <c r="L29" s="4">
        <f t="shared" si="5"/>
        <v>0</v>
      </c>
      <c r="M29" s="188">
        <v>-0.002774121</v>
      </c>
      <c r="N29" s="188">
        <v>0.001642567</v>
      </c>
      <c r="O29" s="4">
        <f t="shared" si="6"/>
        <v>0</v>
      </c>
      <c r="P29" s="189">
        <f t="shared" si="7"/>
        <v>0.29226446</v>
      </c>
      <c r="Q29" s="179">
        <f t="shared" si="8"/>
        <v>0.9491817787</v>
      </c>
      <c r="R29" s="4">
        <v>26.0</v>
      </c>
      <c r="S29" s="188">
        <v>0.110469013</v>
      </c>
      <c r="T29" s="188">
        <v>0.008196195</v>
      </c>
      <c r="U29" s="4">
        <f t="shared" si="9"/>
        <v>0</v>
      </c>
      <c r="V29" s="188">
        <v>-0.0010466</v>
      </c>
      <c r="W29" s="188">
        <v>6.28668E-4</v>
      </c>
      <c r="X29" s="4">
        <f t="shared" si="10"/>
        <v>0</v>
      </c>
      <c r="Y29" s="189">
        <f t="shared" si="11"/>
        <v>0.109422413</v>
      </c>
      <c r="Z29" s="179">
        <f t="shared" si="12"/>
        <v>0.9564768052</v>
      </c>
      <c r="AA29" s="188">
        <v>0.120170012</v>
      </c>
      <c r="AB29" s="188">
        <v>0.010813259</v>
      </c>
      <c r="AC29" s="4">
        <f t="shared" si="13"/>
        <v>0</v>
      </c>
      <c r="AD29" s="188">
        <v>-0.003122896</v>
      </c>
      <c r="AE29" s="188">
        <v>0.001183145</v>
      </c>
      <c r="AF29" s="4">
        <f t="shared" si="14"/>
        <v>0</v>
      </c>
      <c r="AG29" s="189">
        <f t="shared" si="15"/>
        <v>0.117047116</v>
      </c>
      <c r="AH29" s="179">
        <f t="shared" si="16"/>
        <v>2.668067447</v>
      </c>
      <c r="AI29" s="4">
        <v>26.0</v>
      </c>
      <c r="AJ29" s="190">
        <v>0.030826522</v>
      </c>
      <c r="AK29" s="190">
        <v>0.002726662</v>
      </c>
      <c r="AL29" s="4">
        <f t="shared" si="17"/>
        <v>0</v>
      </c>
      <c r="AM29" s="190">
        <v>-4.44246E-4</v>
      </c>
      <c r="AN29" s="190">
        <v>2.69092E-4</v>
      </c>
      <c r="AO29" s="4">
        <f t="shared" si="18"/>
        <v>0</v>
      </c>
      <c r="AP29" s="191">
        <f t="shared" si="19"/>
        <v>0.030382276</v>
      </c>
      <c r="AQ29" s="179">
        <f t="shared" si="20"/>
        <v>1.46218802</v>
      </c>
      <c r="AR29" s="193">
        <v>0.050999649</v>
      </c>
      <c r="AS29" s="193">
        <v>0.004539166</v>
      </c>
      <c r="AT29" s="4">
        <f t="shared" si="21"/>
        <v>0</v>
      </c>
      <c r="AU29" s="193">
        <v>-0.001406941</v>
      </c>
      <c r="AV29" s="193">
        <v>6.69706E-4</v>
      </c>
      <c r="AW29" s="4">
        <f t="shared" si="22"/>
        <v>0</v>
      </c>
      <c r="AX29" s="192">
        <f t="shared" si="23"/>
        <v>0.049592708</v>
      </c>
      <c r="AY29" s="179">
        <f t="shared" si="24"/>
        <v>2.83699168</v>
      </c>
      <c r="AZ29" s="4">
        <v>26.0</v>
      </c>
      <c r="BA29" s="193">
        <v>0.010199908</v>
      </c>
      <c r="BB29" s="193">
        <v>0.001067288</v>
      </c>
      <c r="BC29" s="4">
        <f t="shared" si="25"/>
        <v>0</v>
      </c>
      <c r="BD29" s="193">
        <v>-6.9109E-5</v>
      </c>
      <c r="BE29" s="193">
        <v>6.9109E-5</v>
      </c>
      <c r="BF29" s="4">
        <f t="shared" si="26"/>
        <v>0</v>
      </c>
      <c r="BG29" s="192">
        <f t="shared" si="27"/>
        <v>0.010130799</v>
      </c>
      <c r="BH29" s="179">
        <f t="shared" si="28"/>
        <v>0.6821673197</v>
      </c>
      <c r="BI29" s="193">
        <v>0.026793214</v>
      </c>
      <c r="BJ29" s="193">
        <v>0.002259623</v>
      </c>
      <c r="BK29" s="4">
        <f t="shared" si="29"/>
        <v>0</v>
      </c>
      <c r="BL29" s="193">
        <v>-0.001094656</v>
      </c>
      <c r="BM29" s="193">
        <v>5.11966E-4</v>
      </c>
      <c r="BN29" s="4">
        <f t="shared" si="30"/>
        <v>0</v>
      </c>
      <c r="BO29" s="192">
        <f t="shared" si="31"/>
        <v>0.025698558</v>
      </c>
      <c r="BP29" s="179">
        <f t="shared" si="32"/>
        <v>4.259600869</v>
      </c>
    </row>
    <row r="30">
      <c r="A30" s="4">
        <v>27.0</v>
      </c>
      <c r="B30" s="188">
        <v>0.723718584</v>
      </c>
      <c r="C30" s="188">
        <v>0.06028803</v>
      </c>
      <c r="D30" s="4">
        <f t="shared" si="1"/>
        <v>0</v>
      </c>
      <c r="E30" s="188">
        <v>-0.001235264</v>
      </c>
      <c r="F30" s="188">
        <v>0.001103659</v>
      </c>
      <c r="G30" s="4">
        <f t="shared" si="2"/>
        <v>0</v>
      </c>
      <c r="H30" s="189">
        <f t="shared" si="3"/>
        <v>0.72248332</v>
      </c>
      <c r="I30" s="179">
        <f t="shared" si="4"/>
        <v>0.1709747431</v>
      </c>
      <c r="J30" s="188">
        <v>0.553114653</v>
      </c>
      <c r="K30" s="188">
        <v>0.070603349</v>
      </c>
      <c r="L30" s="4">
        <f t="shared" si="5"/>
        <v>0</v>
      </c>
      <c r="M30" s="188">
        <v>-0.009977702</v>
      </c>
      <c r="N30" s="188">
        <v>0.003383704</v>
      </c>
      <c r="O30" s="4">
        <f t="shared" si="6"/>
        <v>0</v>
      </c>
      <c r="P30" s="189">
        <f t="shared" si="7"/>
        <v>0.543136951</v>
      </c>
      <c r="Q30" s="179">
        <f t="shared" si="8"/>
        <v>1.837050855</v>
      </c>
      <c r="R30" s="4">
        <v>27.0</v>
      </c>
      <c r="S30" s="188">
        <v>0.160667166</v>
      </c>
      <c r="T30" s="188">
        <v>0.015925222</v>
      </c>
      <c r="U30" s="4">
        <f t="shared" si="9"/>
        <v>0</v>
      </c>
      <c r="V30" s="188">
        <v>-5.23232E-4</v>
      </c>
      <c r="W30" s="188">
        <v>9.7374E-4</v>
      </c>
      <c r="X30" s="4">
        <f t="shared" si="10"/>
        <v>1</v>
      </c>
      <c r="Y30" s="189">
        <f t="shared" si="11"/>
        <v>0.160143934</v>
      </c>
      <c r="Z30" s="179">
        <f t="shared" si="12"/>
        <v>0.3267260813</v>
      </c>
      <c r="AA30" s="188">
        <v>0.20799613</v>
      </c>
      <c r="AB30" s="188">
        <v>0.022845586</v>
      </c>
      <c r="AC30" s="4">
        <f t="shared" si="13"/>
        <v>0</v>
      </c>
      <c r="AD30" s="188">
        <v>-0.002505279</v>
      </c>
      <c r="AE30" s="188">
        <v>0.001585577</v>
      </c>
      <c r="AF30" s="4">
        <f t="shared" si="14"/>
        <v>0</v>
      </c>
      <c r="AG30" s="189">
        <f t="shared" si="15"/>
        <v>0.205490851</v>
      </c>
      <c r="AH30" s="179">
        <f t="shared" si="16"/>
        <v>1.219168147</v>
      </c>
      <c r="AI30" s="4">
        <v>27.0</v>
      </c>
      <c r="AJ30" s="190">
        <v>0.051559687</v>
      </c>
      <c r="AK30" s="190">
        <v>0.005638279</v>
      </c>
      <c r="AL30" s="4">
        <f t="shared" si="17"/>
        <v>0</v>
      </c>
      <c r="AM30" s="190">
        <v>-8.09205E-4</v>
      </c>
      <c r="AN30" s="190">
        <v>6.77034E-4</v>
      </c>
      <c r="AO30" s="4">
        <f t="shared" si="18"/>
        <v>0</v>
      </c>
      <c r="AP30" s="191">
        <f t="shared" si="19"/>
        <v>0.050750482</v>
      </c>
      <c r="AQ30" s="179">
        <f t="shared" si="20"/>
        <v>1.594477467</v>
      </c>
      <c r="AR30" s="193">
        <v>0.105916992</v>
      </c>
      <c r="AS30" s="193">
        <v>0.010008051</v>
      </c>
      <c r="AT30" s="4">
        <f t="shared" si="21"/>
        <v>0</v>
      </c>
      <c r="AU30" s="193">
        <v>-0.002831839</v>
      </c>
      <c r="AV30" s="193">
        <v>0.001293442</v>
      </c>
      <c r="AW30" s="4">
        <f t="shared" si="22"/>
        <v>0</v>
      </c>
      <c r="AX30" s="192">
        <f t="shared" si="23"/>
        <v>0.103085153</v>
      </c>
      <c r="AY30" s="179">
        <f t="shared" si="24"/>
        <v>2.747087158</v>
      </c>
      <c r="AZ30" s="4">
        <v>27.0</v>
      </c>
      <c r="BA30" s="193">
        <v>0.0183155</v>
      </c>
      <c r="BB30" s="193">
        <v>0.002336705</v>
      </c>
      <c r="BC30" s="4">
        <f t="shared" si="25"/>
        <v>0</v>
      </c>
      <c r="BD30" s="193">
        <v>-3.81558E-4</v>
      </c>
      <c r="BE30" s="193">
        <v>2.21051E-4</v>
      </c>
      <c r="BF30" s="4">
        <f t="shared" si="26"/>
        <v>0</v>
      </c>
      <c r="BG30" s="192">
        <f t="shared" si="27"/>
        <v>0.017933942</v>
      </c>
      <c r="BH30" s="179">
        <f t="shared" si="28"/>
        <v>2.127574629</v>
      </c>
      <c r="BI30" s="193">
        <v>0.042786051</v>
      </c>
      <c r="BJ30" s="193">
        <v>0.004841145</v>
      </c>
      <c r="BK30" s="4">
        <f t="shared" si="29"/>
        <v>0</v>
      </c>
      <c r="BL30" s="193">
        <v>-0.002537421</v>
      </c>
      <c r="BM30" s="193">
        <v>8.54662E-4</v>
      </c>
      <c r="BN30" s="4">
        <f t="shared" si="30"/>
        <v>0</v>
      </c>
      <c r="BO30" s="192">
        <f t="shared" si="31"/>
        <v>0.04024863</v>
      </c>
      <c r="BP30" s="179">
        <f t="shared" si="32"/>
        <v>6.304366136</v>
      </c>
    </row>
    <row r="31">
      <c r="A31" s="4">
        <v>28.0</v>
      </c>
      <c r="B31" s="188">
        <v>1.156403542</v>
      </c>
      <c r="C31" s="188">
        <v>0.114991326</v>
      </c>
      <c r="D31" s="4">
        <f t="shared" si="1"/>
        <v>0</v>
      </c>
      <c r="E31" s="188">
        <v>-0.001093775</v>
      </c>
      <c r="F31" s="188">
        <v>0.001093775</v>
      </c>
      <c r="G31" s="4">
        <f t="shared" si="2"/>
        <v>0</v>
      </c>
      <c r="H31" s="189">
        <f t="shared" si="3"/>
        <v>1.155309767</v>
      </c>
      <c r="I31" s="179">
        <f t="shared" si="4"/>
        <v>0.09467374303</v>
      </c>
      <c r="J31" s="188">
        <v>0.644296765</v>
      </c>
      <c r="K31" s="188">
        <v>0.102569981</v>
      </c>
      <c r="L31" s="4">
        <f t="shared" si="5"/>
        <v>0</v>
      </c>
      <c r="M31" s="188">
        <v>-0.009699107</v>
      </c>
      <c r="N31" s="188">
        <v>0.004678213</v>
      </c>
      <c r="O31" s="4">
        <f t="shared" si="6"/>
        <v>0</v>
      </c>
      <c r="P31" s="189">
        <f t="shared" si="7"/>
        <v>0.634597658</v>
      </c>
      <c r="Q31" s="179">
        <f t="shared" si="8"/>
        <v>1.528386826</v>
      </c>
      <c r="R31" s="4">
        <v>28.0</v>
      </c>
      <c r="S31" s="188">
        <v>0.256472975</v>
      </c>
      <c r="T31" s="188">
        <v>0.028789362</v>
      </c>
      <c r="U31" s="4">
        <f t="shared" si="9"/>
        <v>0</v>
      </c>
      <c r="V31" s="188">
        <v>-7.58689E-4</v>
      </c>
      <c r="W31" s="188">
        <v>5.36475E-4</v>
      </c>
      <c r="X31" s="4">
        <f t="shared" si="10"/>
        <v>0</v>
      </c>
      <c r="Y31" s="189">
        <f t="shared" si="11"/>
        <v>0.255714286</v>
      </c>
      <c r="Z31" s="179">
        <f t="shared" si="12"/>
        <v>0.296694022</v>
      </c>
      <c r="AA31" s="188">
        <v>0.41203478</v>
      </c>
      <c r="AB31" s="188">
        <v>0.048317965</v>
      </c>
      <c r="AC31" s="4">
        <f t="shared" si="13"/>
        <v>0</v>
      </c>
      <c r="AD31" s="188">
        <v>-0.005502479</v>
      </c>
      <c r="AE31" s="188">
        <v>0.002144966</v>
      </c>
      <c r="AF31" s="4">
        <f t="shared" si="14"/>
        <v>0</v>
      </c>
      <c r="AG31" s="189">
        <f t="shared" si="15"/>
        <v>0.406532301</v>
      </c>
      <c r="AH31" s="179">
        <f t="shared" si="16"/>
        <v>1.353515818</v>
      </c>
      <c r="AI31" s="4">
        <v>28.0</v>
      </c>
      <c r="AJ31" s="190">
        <v>0.098924592</v>
      </c>
      <c r="AK31" s="190">
        <v>0.011646271</v>
      </c>
      <c r="AL31" s="4">
        <f t="shared" si="17"/>
        <v>0</v>
      </c>
      <c r="AM31" s="190">
        <v>-4.22311E-4</v>
      </c>
      <c r="AN31" s="190">
        <v>4.22311E-4</v>
      </c>
      <c r="AO31" s="4">
        <f t="shared" si="18"/>
        <v>0</v>
      </c>
      <c r="AP31" s="191">
        <f t="shared" si="19"/>
        <v>0.098502281</v>
      </c>
      <c r="AQ31" s="179">
        <f t="shared" si="20"/>
        <v>0.4287322037</v>
      </c>
      <c r="AR31" s="193">
        <v>0.157948926</v>
      </c>
      <c r="AS31" s="193">
        <v>0.017978109</v>
      </c>
      <c r="AT31" s="4">
        <f t="shared" si="21"/>
        <v>0</v>
      </c>
      <c r="AU31" s="193">
        <v>3.6879E-4</v>
      </c>
      <c r="AV31" s="193">
        <v>0.001401965</v>
      </c>
      <c r="AW31" s="4">
        <f t="shared" si="22"/>
        <v>1</v>
      </c>
      <c r="AX31" s="192">
        <f t="shared" si="23"/>
        <v>0.158317716</v>
      </c>
      <c r="AY31" s="179">
        <f t="shared" si="24"/>
        <v>-0.2329429765</v>
      </c>
      <c r="AZ31" s="4">
        <v>28.0</v>
      </c>
      <c r="BA31" s="193">
        <v>0.041480377</v>
      </c>
      <c r="BB31" s="193">
        <v>0.005189527</v>
      </c>
      <c r="BC31" s="4">
        <f t="shared" si="25"/>
        <v>0</v>
      </c>
      <c r="BD31" s="193">
        <v>3.5953E-4</v>
      </c>
      <c r="BE31" s="193">
        <v>4.49675E-4</v>
      </c>
      <c r="BF31" s="4">
        <f t="shared" si="26"/>
        <v>1</v>
      </c>
      <c r="BG31" s="192">
        <f t="shared" si="27"/>
        <v>0.041839907</v>
      </c>
      <c r="BH31" s="179">
        <f t="shared" si="28"/>
        <v>-0.8592992331</v>
      </c>
      <c r="BI31" s="193">
        <v>0.075827807</v>
      </c>
      <c r="BJ31" s="193">
        <v>0.009113853</v>
      </c>
      <c r="BK31" s="4">
        <f t="shared" si="29"/>
        <v>0</v>
      </c>
      <c r="BL31" s="193">
        <v>-0.002453532</v>
      </c>
      <c r="BM31" s="193">
        <v>0.001047178</v>
      </c>
      <c r="BN31" s="4">
        <f t="shared" si="30"/>
        <v>0</v>
      </c>
      <c r="BO31" s="192">
        <f t="shared" si="31"/>
        <v>0.073374275</v>
      </c>
      <c r="BP31" s="179">
        <f t="shared" si="32"/>
        <v>3.343858593</v>
      </c>
    </row>
    <row r="32">
      <c r="A32" s="4">
        <v>29.0</v>
      </c>
      <c r="B32" s="188">
        <v>0.006968424</v>
      </c>
      <c r="C32" s="188">
        <v>1.04591E-4</v>
      </c>
      <c r="D32" s="4">
        <f t="shared" si="1"/>
        <v>0</v>
      </c>
      <c r="E32" s="188">
        <v>-1.26074E-4</v>
      </c>
      <c r="F32" s="188">
        <v>3.5366E-5</v>
      </c>
      <c r="G32" s="4">
        <f t="shared" si="2"/>
        <v>0</v>
      </c>
      <c r="H32" s="189">
        <f t="shared" si="3"/>
        <v>0.00684235</v>
      </c>
      <c r="I32" s="179">
        <f t="shared" si="4"/>
        <v>1.842554093</v>
      </c>
      <c r="J32" s="188">
        <v>7.54764E-4</v>
      </c>
      <c r="K32" s="188">
        <v>4.7627E-5</v>
      </c>
      <c r="L32" s="4">
        <f t="shared" si="5"/>
        <v>0</v>
      </c>
      <c r="M32" s="188">
        <v>-1.71985E-4</v>
      </c>
      <c r="N32" s="188">
        <v>3.7028E-5</v>
      </c>
      <c r="O32" s="4">
        <f t="shared" si="6"/>
        <v>0</v>
      </c>
      <c r="P32" s="189">
        <f t="shared" si="7"/>
        <v>0.000582779</v>
      </c>
      <c r="Q32" s="196">
        <f t="shared" si="8"/>
        <v>29.51118692</v>
      </c>
      <c r="R32" s="4">
        <v>29.0</v>
      </c>
      <c r="S32" s="188">
        <v>0.001560817</v>
      </c>
      <c r="T32" s="188">
        <v>2.7597E-5</v>
      </c>
      <c r="U32" s="4">
        <f t="shared" si="9"/>
        <v>0</v>
      </c>
      <c r="V32" s="188">
        <v>-8.6331E-5</v>
      </c>
      <c r="W32" s="188">
        <v>1.9518E-5</v>
      </c>
      <c r="X32" s="4">
        <f t="shared" si="10"/>
        <v>0</v>
      </c>
      <c r="Y32" s="189">
        <f t="shared" si="11"/>
        <v>0.001474486</v>
      </c>
      <c r="Z32" s="179">
        <f t="shared" si="12"/>
        <v>5.854989468</v>
      </c>
      <c r="AA32" s="188">
        <v>2.92931E-4</v>
      </c>
      <c r="AB32" s="188">
        <v>1.8009E-5</v>
      </c>
      <c r="AC32" s="4">
        <f t="shared" si="13"/>
        <v>0</v>
      </c>
      <c r="AD32" s="188">
        <v>-7.4246E-5</v>
      </c>
      <c r="AE32" s="188">
        <v>1.6879E-5</v>
      </c>
      <c r="AF32" s="4">
        <f t="shared" si="14"/>
        <v>0</v>
      </c>
      <c r="AG32" s="189">
        <f t="shared" si="15"/>
        <v>0.000218685</v>
      </c>
      <c r="AH32" s="196">
        <f t="shared" si="16"/>
        <v>33.9511169</v>
      </c>
      <c r="AI32" s="4">
        <v>29.0</v>
      </c>
      <c r="AJ32" s="190">
        <v>4.34227E-4</v>
      </c>
      <c r="AK32" s="190">
        <v>9.315E-6</v>
      </c>
      <c r="AL32" s="4">
        <f t="shared" si="17"/>
        <v>0</v>
      </c>
      <c r="AM32" s="190">
        <v>-6.5364E-5</v>
      </c>
      <c r="AN32" s="190">
        <v>1.2085E-5</v>
      </c>
      <c r="AO32" s="4">
        <f t="shared" si="18"/>
        <v>0</v>
      </c>
      <c r="AP32" s="191">
        <f t="shared" si="19"/>
        <v>0.000368863</v>
      </c>
      <c r="AQ32" s="196">
        <f t="shared" si="20"/>
        <v>17.72040026</v>
      </c>
      <c r="AR32" s="193">
        <v>1.4089E-4</v>
      </c>
      <c r="AS32" s="193">
        <v>7.722E-6</v>
      </c>
      <c r="AT32" s="4">
        <f t="shared" si="21"/>
        <v>0</v>
      </c>
      <c r="AU32" s="193">
        <v>-9.9571E-5</v>
      </c>
      <c r="AV32" s="193">
        <v>1.6045E-5</v>
      </c>
      <c r="AW32" s="4">
        <f t="shared" si="22"/>
        <v>0</v>
      </c>
      <c r="AX32" s="192">
        <f t="shared" si="23"/>
        <v>0.000041319</v>
      </c>
      <c r="AY32" s="196">
        <f t="shared" si="24"/>
        <v>240.9811467</v>
      </c>
      <c r="AZ32" s="4">
        <v>29.0</v>
      </c>
      <c r="BA32" s="193">
        <v>1.52634E-4</v>
      </c>
      <c r="BB32" s="193">
        <v>3.795E-6</v>
      </c>
      <c r="BC32" s="4">
        <f t="shared" si="25"/>
        <v>0</v>
      </c>
      <c r="BD32" s="193">
        <v>-4.0286E-5</v>
      </c>
      <c r="BE32" s="193">
        <v>7.975E-6</v>
      </c>
      <c r="BF32" s="4">
        <f t="shared" si="26"/>
        <v>0</v>
      </c>
      <c r="BG32" s="192">
        <f t="shared" si="27"/>
        <v>0.000112348</v>
      </c>
      <c r="BH32" s="196">
        <f t="shared" si="28"/>
        <v>35.85822623</v>
      </c>
      <c r="BI32" s="193">
        <v>7.0028E-5</v>
      </c>
      <c r="BJ32" s="193">
        <v>3.67E-6</v>
      </c>
      <c r="BK32" s="4">
        <f t="shared" si="29"/>
        <v>0</v>
      </c>
      <c r="BL32" s="193">
        <v>-5.2027E-5</v>
      </c>
      <c r="BM32" s="193">
        <v>1.0009E-5</v>
      </c>
      <c r="BN32" s="4">
        <f t="shared" si="30"/>
        <v>0</v>
      </c>
      <c r="BO32" s="192">
        <f t="shared" si="31"/>
        <v>0.000018001</v>
      </c>
      <c r="BP32" s="196">
        <f t="shared" si="32"/>
        <v>289.0228321</v>
      </c>
    </row>
    <row r="33">
      <c r="A33" s="4">
        <v>30.0</v>
      </c>
      <c r="B33" s="188">
        <v>0.023180885</v>
      </c>
      <c r="C33" s="188">
        <v>6.4527E-4</v>
      </c>
      <c r="D33" s="4">
        <f t="shared" si="1"/>
        <v>0</v>
      </c>
      <c r="E33" s="188">
        <v>-2.48066E-4</v>
      </c>
      <c r="F33" s="188">
        <v>8.3113E-5</v>
      </c>
      <c r="G33" s="4">
        <f t="shared" si="2"/>
        <v>0</v>
      </c>
      <c r="H33" s="189">
        <f t="shared" si="3"/>
        <v>0.022932819</v>
      </c>
      <c r="I33" s="179">
        <f t="shared" si="4"/>
        <v>1.081707399</v>
      </c>
      <c r="J33" s="188">
        <v>0.014384006</v>
      </c>
      <c r="K33" s="188">
        <v>7.45294E-4</v>
      </c>
      <c r="L33" s="4">
        <f t="shared" si="5"/>
        <v>0</v>
      </c>
      <c r="M33" s="188">
        <v>-4.37169E-4</v>
      </c>
      <c r="N33" s="188">
        <v>1.41632E-4</v>
      </c>
      <c r="O33" s="4">
        <f t="shared" si="6"/>
        <v>0</v>
      </c>
      <c r="P33" s="189">
        <f t="shared" si="7"/>
        <v>0.013946837</v>
      </c>
      <c r="Q33" s="179">
        <f t="shared" si="8"/>
        <v>3.134538677</v>
      </c>
      <c r="R33" s="4">
        <v>30.0</v>
      </c>
      <c r="S33" s="188">
        <v>0.004760081</v>
      </c>
      <c r="T33" s="188">
        <v>1.66589E-4</v>
      </c>
      <c r="U33" s="4">
        <f t="shared" si="9"/>
        <v>0</v>
      </c>
      <c r="V33" s="188">
        <v>-1.6241E-4</v>
      </c>
      <c r="W33" s="188">
        <v>5.0853E-5</v>
      </c>
      <c r="X33" s="4">
        <f t="shared" si="10"/>
        <v>0</v>
      </c>
      <c r="Y33" s="189">
        <f t="shared" si="11"/>
        <v>0.004597671</v>
      </c>
      <c r="Z33" s="179">
        <f t="shared" si="12"/>
        <v>3.532440664</v>
      </c>
      <c r="AA33" s="188">
        <v>0.005956847</v>
      </c>
      <c r="AB33" s="188">
        <v>2.63535E-4</v>
      </c>
      <c r="AC33" s="4">
        <f t="shared" si="13"/>
        <v>0</v>
      </c>
      <c r="AD33" s="188">
        <v>-3.10796E-4</v>
      </c>
      <c r="AE33" s="188">
        <v>7.999E-5</v>
      </c>
      <c r="AF33" s="4">
        <f t="shared" si="14"/>
        <v>0</v>
      </c>
      <c r="AG33" s="189">
        <f t="shared" si="15"/>
        <v>0.005646051</v>
      </c>
      <c r="AH33" s="179">
        <f t="shared" si="16"/>
        <v>5.504661577</v>
      </c>
      <c r="AI33" s="4">
        <v>30.0</v>
      </c>
      <c r="AJ33" s="190">
        <v>0.001325054</v>
      </c>
      <c r="AK33" s="190">
        <v>5.774E-5</v>
      </c>
      <c r="AL33" s="4">
        <f t="shared" si="17"/>
        <v>0</v>
      </c>
      <c r="AM33" s="190">
        <v>-1.09356E-4</v>
      </c>
      <c r="AN33" s="190">
        <v>2.8758E-5</v>
      </c>
      <c r="AO33" s="4">
        <f t="shared" si="18"/>
        <v>0</v>
      </c>
      <c r="AP33" s="191">
        <f t="shared" si="19"/>
        <v>0.001215698</v>
      </c>
      <c r="AQ33" s="179">
        <f t="shared" si="20"/>
        <v>8.995326142</v>
      </c>
      <c r="AR33" s="193">
        <v>0.002704578</v>
      </c>
      <c r="AS33" s="193">
        <v>1.21218E-4</v>
      </c>
      <c r="AT33" s="4">
        <f t="shared" si="21"/>
        <v>0</v>
      </c>
      <c r="AU33" s="193">
        <v>-1.83769E-4</v>
      </c>
      <c r="AV33" s="193">
        <v>5.7928E-5</v>
      </c>
      <c r="AW33" s="4">
        <f t="shared" si="22"/>
        <v>0</v>
      </c>
      <c r="AX33" s="192">
        <f t="shared" si="23"/>
        <v>0.002520809</v>
      </c>
      <c r="AY33" s="179">
        <f t="shared" si="24"/>
        <v>7.290080288</v>
      </c>
      <c r="AZ33" s="4">
        <v>30.0</v>
      </c>
      <c r="BA33" s="193">
        <v>4.9329E-4</v>
      </c>
      <c r="BB33" s="193">
        <v>2.5309E-5</v>
      </c>
      <c r="BC33" s="4">
        <f t="shared" si="25"/>
        <v>0</v>
      </c>
      <c r="BD33" s="193">
        <v>-5.9353E-5</v>
      </c>
      <c r="BE33" s="193">
        <v>2.1998E-5</v>
      </c>
      <c r="BF33" s="4">
        <f t="shared" si="26"/>
        <v>0</v>
      </c>
      <c r="BG33" s="192">
        <f t="shared" si="27"/>
        <v>0.000433937</v>
      </c>
      <c r="BH33" s="196">
        <f t="shared" si="28"/>
        <v>13.67779194</v>
      </c>
      <c r="BI33" s="193">
        <v>0.001295105</v>
      </c>
      <c r="BJ33" s="193">
        <v>5.6732E-5</v>
      </c>
      <c r="BK33" s="4">
        <f t="shared" si="29"/>
        <v>0</v>
      </c>
      <c r="BL33" s="193">
        <v>-2.22315E-4</v>
      </c>
      <c r="BM33" s="193">
        <v>4.6693E-5</v>
      </c>
      <c r="BN33" s="4">
        <f t="shared" si="30"/>
        <v>0</v>
      </c>
      <c r="BO33" s="192">
        <f t="shared" si="31"/>
        <v>0.00107279</v>
      </c>
      <c r="BP33" s="196">
        <f t="shared" si="32"/>
        <v>20.72306789</v>
      </c>
    </row>
    <row r="34">
      <c r="A34" s="4">
        <v>31.0</v>
      </c>
      <c r="B34" s="188">
        <v>0.33504802</v>
      </c>
      <c r="C34" s="188">
        <v>0.009384968</v>
      </c>
      <c r="D34" s="4">
        <f t="shared" si="1"/>
        <v>0</v>
      </c>
      <c r="E34" s="188">
        <v>-9.11672E-4</v>
      </c>
      <c r="F34" s="188">
        <v>3.78264E-4</v>
      </c>
      <c r="G34" s="4">
        <f t="shared" si="2"/>
        <v>0</v>
      </c>
      <c r="H34" s="189">
        <f t="shared" si="3"/>
        <v>0.334136348</v>
      </c>
      <c r="I34" s="179">
        <f t="shared" si="4"/>
        <v>0.2728443061</v>
      </c>
      <c r="J34" s="188">
        <v>0.16384241</v>
      </c>
      <c r="K34" s="188">
        <v>0.009001033</v>
      </c>
      <c r="L34" s="4">
        <f t="shared" si="5"/>
        <v>0</v>
      </c>
      <c r="M34" s="188">
        <v>-0.002844879</v>
      </c>
      <c r="N34" s="188">
        <v>8.78448E-4</v>
      </c>
      <c r="O34" s="4">
        <f t="shared" si="6"/>
        <v>0</v>
      </c>
      <c r="P34" s="189">
        <f t="shared" si="7"/>
        <v>0.160997531</v>
      </c>
      <c r="Q34" s="179">
        <f t="shared" si="8"/>
        <v>1.767032688</v>
      </c>
      <c r="R34" s="4">
        <v>31.0</v>
      </c>
      <c r="S34" s="188">
        <v>0.061387341</v>
      </c>
      <c r="T34" s="188">
        <v>0.002262736</v>
      </c>
      <c r="U34" s="4">
        <f t="shared" si="9"/>
        <v>0</v>
      </c>
      <c r="V34" s="188">
        <v>-3.71718E-4</v>
      </c>
      <c r="W34" s="188">
        <v>2.17959E-4</v>
      </c>
      <c r="X34" s="4">
        <f t="shared" si="10"/>
        <v>0</v>
      </c>
      <c r="Y34" s="189">
        <f t="shared" si="11"/>
        <v>0.061015623</v>
      </c>
      <c r="Z34" s="179">
        <f t="shared" si="12"/>
        <v>0.6092177408</v>
      </c>
      <c r="AA34" s="188">
        <v>0.052712381</v>
      </c>
      <c r="AB34" s="188">
        <v>0.002835143</v>
      </c>
      <c r="AC34" s="4">
        <f t="shared" si="13"/>
        <v>0</v>
      </c>
      <c r="AD34" s="188">
        <v>-7.87244E-4</v>
      </c>
      <c r="AE34" s="188">
        <v>2.91156E-4</v>
      </c>
      <c r="AF34" s="4">
        <f t="shared" si="14"/>
        <v>0</v>
      </c>
      <c r="AG34" s="189">
        <f t="shared" si="15"/>
        <v>0.051925137</v>
      </c>
      <c r="AH34" s="179">
        <f t="shared" si="16"/>
        <v>1.516113477</v>
      </c>
      <c r="AI34" s="4">
        <v>31.0</v>
      </c>
      <c r="AJ34" s="190">
        <v>0.014495446</v>
      </c>
      <c r="AK34" s="190">
        <v>7.1123E-4</v>
      </c>
      <c r="AL34" s="4">
        <f t="shared" si="17"/>
        <v>0</v>
      </c>
      <c r="AM34" s="190">
        <v>-1.69696E-4</v>
      </c>
      <c r="AN34" s="190">
        <v>7.7205E-5</v>
      </c>
      <c r="AO34" s="4">
        <f t="shared" si="18"/>
        <v>0</v>
      </c>
      <c r="AP34" s="191">
        <f t="shared" si="19"/>
        <v>0.01432575</v>
      </c>
      <c r="AQ34" s="179">
        <f t="shared" si="20"/>
        <v>1.184552292</v>
      </c>
      <c r="AR34" s="193">
        <v>0.023917815</v>
      </c>
      <c r="AS34" s="193">
        <v>0.001235205</v>
      </c>
      <c r="AT34" s="4">
        <f t="shared" si="21"/>
        <v>0</v>
      </c>
      <c r="AU34" s="193">
        <v>-0.001094691</v>
      </c>
      <c r="AV34" s="193">
        <v>3.22141E-4</v>
      </c>
      <c r="AW34" s="4">
        <f t="shared" si="22"/>
        <v>0</v>
      </c>
      <c r="AX34" s="192">
        <f t="shared" si="23"/>
        <v>0.022823124</v>
      </c>
      <c r="AY34" s="179">
        <f t="shared" si="24"/>
        <v>4.796411745</v>
      </c>
      <c r="AZ34" s="4">
        <v>31.0</v>
      </c>
      <c r="BA34" s="193">
        <v>0.004941696</v>
      </c>
      <c r="BB34" s="193">
        <v>2.90282E-4</v>
      </c>
      <c r="BC34" s="4">
        <f t="shared" si="25"/>
        <v>0</v>
      </c>
      <c r="BD34" s="193">
        <v>-1.09504E-4</v>
      </c>
      <c r="BE34" s="193">
        <v>6.9532E-5</v>
      </c>
      <c r="BF34" s="4">
        <f t="shared" si="26"/>
        <v>0</v>
      </c>
      <c r="BG34" s="192">
        <f t="shared" si="27"/>
        <v>0.004832192</v>
      </c>
      <c r="BH34" s="179">
        <f t="shared" si="28"/>
        <v>2.26613512</v>
      </c>
      <c r="BI34" s="193">
        <v>0.012312044</v>
      </c>
      <c r="BJ34" s="193">
        <v>6.29548E-4</v>
      </c>
      <c r="BK34" s="4">
        <f t="shared" si="29"/>
        <v>0</v>
      </c>
      <c r="BL34" s="193">
        <v>-9.18457E-4</v>
      </c>
      <c r="BM34" s="193">
        <v>2.50248E-4</v>
      </c>
      <c r="BN34" s="4">
        <f t="shared" si="30"/>
        <v>0</v>
      </c>
      <c r="BO34" s="192">
        <f t="shared" si="31"/>
        <v>0.011393587</v>
      </c>
      <c r="BP34" s="179">
        <f t="shared" si="32"/>
        <v>8.061175115</v>
      </c>
    </row>
    <row r="35">
      <c r="A35" s="4">
        <v>32.0</v>
      </c>
      <c r="B35" s="188">
        <v>0.654934883</v>
      </c>
      <c r="C35" s="188">
        <v>0.030121525</v>
      </c>
      <c r="D35" s="4">
        <f t="shared" si="1"/>
        <v>0</v>
      </c>
      <c r="E35" s="188">
        <v>-3.18207E-4</v>
      </c>
      <c r="F35" s="188">
        <v>0.001062457</v>
      </c>
      <c r="G35" s="4">
        <f t="shared" si="2"/>
        <v>1</v>
      </c>
      <c r="H35" s="189">
        <f t="shared" si="3"/>
        <v>0.654616676</v>
      </c>
      <c r="I35" s="179">
        <f t="shared" si="4"/>
        <v>0.04860966909</v>
      </c>
      <c r="J35" s="188">
        <v>0.407851279</v>
      </c>
      <c r="K35" s="188">
        <v>0.029771326</v>
      </c>
      <c r="L35" s="4">
        <f t="shared" si="5"/>
        <v>0</v>
      </c>
      <c r="M35" s="188">
        <v>1.34616E-4</v>
      </c>
      <c r="N35" s="188">
        <v>0.001617419</v>
      </c>
      <c r="O35" s="4">
        <f t="shared" si="6"/>
        <v>1</v>
      </c>
      <c r="P35" s="189">
        <f t="shared" si="7"/>
        <v>0.407985895</v>
      </c>
      <c r="Q35" s="179">
        <f t="shared" si="8"/>
        <v>-0.03299525833</v>
      </c>
      <c r="R35" s="4">
        <v>32.0</v>
      </c>
      <c r="S35" s="188">
        <v>0.127194971</v>
      </c>
      <c r="T35" s="188">
        <v>0.007459677</v>
      </c>
      <c r="U35" s="4">
        <f t="shared" si="9"/>
        <v>0</v>
      </c>
      <c r="V35" s="188">
        <v>-5.09573E-4</v>
      </c>
      <c r="W35" s="188">
        <v>2.98135E-4</v>
      </c>
      <c r="X35" s="4">
        <f t="shared" si="10"/>
        <v>0</v>
      </c>
      <c r="Y35" s="189">
        <f t="shared" si="11"/>
        <v>0.126685398</v>
      </c>
      <c r="Z35" s="179">
        <f t="shared" si="12"/>
        <v>0.4022349916</v>
      </c>
      <c r="AA35" s="188">
        <v>0.156518877</v>
      </c>
      <c r="AB35" s="188">
        <v>0.010635743</v>
      </c>
      <c r="AC35" s="4">
        <f t="shared" si="13"/>
        <v>0</v>
      </c>
      <c r="AD35" s="188">
        <v>-0.002093473</v>
      </c>
      <c r="AE35" s="188">
        <v>8.01058E-4</v>
      </c>
      <c r="AF35" s="4">
        <f t="shared" si="14"/>
        <v>0</v>
      </c>
      <c r="AG35" s="189">
        <f t="shared" si="15"/>
        <v>0.154425404</v>
      </c>
      <c r="AH35" s="179">
        <f t="shared" si="16"/>
        <v>1.355653245</v>
      </c>
      <c r="AI35" s="4">
        <v>32.0</v>
      </c>
      <c r="AJ35" s="190">
        <v>0.034654651</v>
      </c>
      <c r="AK35" s="190">
        <v>0.002414818</v>
      </c>
      <c r="AL35" s="4">
        <f t="shared" si="17"/>
        <v>0</v>
      </c>
      <c r="AM35" s="190">
        <v>-5.94813E-4</v>
      </c>
      <c r="AN35" s="190">
        <v>2.49213E-4</v>
      </c>
      <c r="AO35" s="4">
        <f t="shared" si="18"/>
        <v>0</v>
      </c>
      <c r="AP35" s="191">
        <f t="shared" si="19"/>
        <v>0.034059838</v>
      </c>
      <c r="AQ35" s="179">
        <f t="shared" si="20"/>
        <v>1.74637648</v>
      </c>
      <c r="AR35" s="193">
        <v>0.065875456</v>
      </c>
      <c r="AS35" s="193">
        <v>0.004444314</v>
      </c>
      <c r="AT35" s="4">
        <f t="shared" si="21"/>
        <v>0</v>
      </c>
      <c r="AU35" s="193">
        <v>-9.6122E-4</v>
      </c>
      <c r="AV35" s="193">
        <v>7.00527E-4</v>
      </c>
      <c r="AW35" s="4">
        <f t="shared" si="22"/>
        <v>0</v>
      </c>
      <c r="AX35" s="192">
        <f t="shared" si="23"/>
        <v>0.064914236</v>
      </c>
      <c r="AY35" s="179">
        <f t="shared" si="24"/>
        <v>1.480753775</v>
      </c>
      <c r="AZ35" s="4">
        <v>32.0</v>
      </c>
      <c r="BA35" s="193">
        <v>0.014247545</v>
      </c>
      <c r="BB35" s="193">
        <v>0.001183317</v>
      </c>
      <c r="BC35" s="4">
        <f t="shared" si="25"/>
        <v>0</v>
      </c>
      <c r="BD35" s="193">
        <v>-3.66684E-4</v>
      </c>
      <c r="BE35" s="193">
        <v>2.60901E-4</v>
      </c>
      <c r="BF35" s="4">
        <f t="shared" si="26"/>
        <v>0</v>
      </c>
      <c r="BG35" s="192">
        <f t="shared" si="27"/>
        <v>0.013880861</v>
      </c>
      <c r="BH35" s="179">
        <f t="shared" si="28"/>
        <v>2.641651696</v>
      </c>
      <c r="BI35" s="193">
        <v>0.032372974</v>
      </c>
      <c r="BJ35" s="193">
        <v>0.002151109</v>
      </c>
      <c r="BK35" s="4">
        <f t="shared" si="29"/>
        <v>0</v>
      </c>
      <c r="BL35" s="193">
        <v>-0.001148547</v>
      </c>
      <c r="BM35" s="193">
        <v>4.15365E-4</v>
      </c>
      <c r="BN35" s="4">
        <f t="shared" si="30"/>
        <v>0</v>
      </c>
      <c r="BO35" s="192">
        <f t="shared" si="31"/>
        <v>0.031224427</v>
      </c>
      <c r="BP35" s="179">
        <f t="shared" si="32"/>
        <v>3.678360535</v>
      </c>
    </row>
    <row r="36">
      <c r="A36" s="4">
        <v>33.0</v>
      </c>
      <c r="B36" s="188">
        <v>1.054644465</v>
      </c>
      <c r="C36" s="188">
        <v>0.068380848</v>
      </c>
      <c r="D36" s="4">
        <f t="shared" si="1"/>
        <v>0</v>
      </c>
      <c r="E36" s="188">
        <v>-0.0016834</v>
      </c>
      <c r="F36" s="188">
        <v>0.00121043</v>
      </c>
      <c r="G36" s="4">
        <f t="shared" si="2"/>
        <v>0</v>
      </c>
      <c r="H36" s="189">
        <f t="shared" si="3"/>
        <v>1.052961065</v>
      </c>
      <c r="I36" s="179">
        <f t="shared" si="4"/>
        <v>0.1598729579</v>
      </c>
      <c r="J36" s="188">
        <v>0.729794562</v>
      </c>
      <c r="K36" s="188">
        <v>0.072102802</v>
      </c>
      <c r="L36" s="4">
        <f t="shared" si="5"/>
        <v>0</v>
      </c>
      <c r="M36" s="188">
        <v>-0.004641728</v>
      </c>
      <c r="N36" s="188">
        <v>0.003308972</v>
      </c>
      <c r="O36" s="4">
        <f t="shared" si="6"/>
        <v>0</v>
      </c>
      <c r="P36" s="189">
        <f t="shared" si="7"/>
        <v>0.725152834</v>
      </c>
      <c r="Q36" s="179">
        <f t="shared" si="8"/>
        <v>0.6401034075</v>
      </c>
      <c r="R36" s="4">
        <v>33.0</v>
      </c>
      <c r="S36" s="188">
        <v>0.255942047</v>
      </c>
      <c r="T36" s="188">
        <v>0.019430876</v>
      </c>
      <c r="U36" s="4">
        <f t="shared" si="9"/>
        <v>0</v>
      </c>
      <c r="V36" s="188">
        <v>-0.001032236</v>
      </c>
      <c r="W36" s="188">
        <v>6.10222E-4</v>
      </c>
      <c r="X36" s="4">
        <f t="shared" si="10"/>
        <v>0</v>
      </c>
      <c r="Y36" s="189">
        <f t="shared" si="11"/>
        <v>0.254909811</v>
      </c>
      <c r="Z36" s="179">
        <f t="shared" si="12"/>
        <v>0.4049416521</v>
      </c>
      <c r="AA36" s="188">
        <v>0.236363381</v>
      </c>
      <c r="AB36" s="188">
        <v>0.023212365</v>
      </c>
      <c r="AC36" s="4">
        <f t="shared" si="13"/>
        <v>0</v>
      </c>
      <c r="AD36" s="188">
        <v>-0.001997773</v>
      </c>
      <c r="AE36" s="188">
        <v>0.002080155</v>
      </c>
      <c r="AF36" s="4">
        <f t="shared" si="14"/>
        <v>1</v>
      </c>
      <c r="AG36" s="189">
        <f t="shared" si="15"/>
        <v>0.234365608</v>
      </c>
      <c r="AH36" s="179">
        <f t="shared" si="16"/>
        <v>0.8524173052</v>
      </c>
      <c r="AI36" s="4">
        <v>33.0</v>
      </c>
      <c r="AJ36" s="190">
        <v>0.080627136</v>
      </c>
      <c r="AK36" s="190">
        <v>0.006841381</v>
      </c>
      <c r="AL36" s="4">
        <f t="shared" si="17"/>
        <v>0</v>
      </c>
      <c r="AM36" s="190">
        <v>-6.80468E-4</v>
      </c>
      <c r="AN36" s="190">
        <v>3.97912E-4</v>
      </c>
      <c r="AO36" s="4">
        <f t="shared" si="18"/>
        <v>0</v>
      </c>
      <c r="AP36" s="191">
        <f t="shared" si="19"/>
        <v>0.079946668</v>
      </c>
      <c r="AQ36" s="179">
        <f t="shared" si="20"/>
        <v>0.8511524208</v>
      </c>
      <c r="AR36" s="193">
        <v>0.137403011</v>
      </c>
      <c r="AS36" s="193">
        <v>0.012148806</v>
      </c>
      <c r="AT36" s="4">
        <f t="shared" si="21"/>
        <v>0</v>
      </c>
      <c r="AU36" s="193">
        <v>-0.003693556</v>
      </c>
      <c r="AV36" s="193">
        <v>0.001564431</v>
      </c>
      <c r="AW36" s="4">
        <f t="shared" si="22"/>
        <v>0</v>
      </c>
      <c r="AX36" s="192">
        <f t="shared" si="23"/>
        <v>0.133709455</v>
      </c>
      <c r="AY36" s="179">
        <f t="shared" si="24"/>
        <v>2.762374583</v>
      </c>
      <c r="AZ36" s="4">
        <v>33.0</v>
      </c>
      <c r="BA36" s="193">
        <v>0.031275835</v>
      </c>
      <c r="BB36" s="193">
        <v>0.003029651</v>
      </c>
      <c r="BC36" s="4">
        <f t="shared" si="25"/>
        <v>0</v>
      </c>
      <c r="BD36" s="193">
        <v>0.0</v>
      </c>
      <c r="BE36" s="193">
        <v>0.0</v>
      </c>
      <c r="BF36" s="4" t="str">
        <f t="shared" si="26"/>
        <v>#DIV/0!</v>
      </c>
      <c r="BG36" s="192">
        <f t="shared" si="27"/>
        <v>0.031275835</v>
      </c>
      <c r="BH36" s="179">
        <f t="shared" si="28"/>
        <v>0</v>
      </c>
      <c r="BI36" s="193">
        <v>0.070600346</v>
      </c>
      <c r="BJ36" s="193">
        <v>0.005971424</v>
      </c>
      <c r="BK36" s="4">
        <f t="shared" si="29"/>
        <v>0</v>
      </c>
      <c r="BL36" s="193">
        <v>-0.002020457</v>
      </c>
      <c r="BM36" s="193">
        <v>9.07385E-4</v>
      </c>
      <c r="BN36" s="4">
        <f t="shared" si="30"/>
        <v>0</v>
      </c>
      <c r="BO36" s="192">
        <f t="shared" si="31"/>
        <v>0.068579889</v>
      </c>
      <c r="BP36" s="179">
        <f t="shared" si="32"/>
        <v>2.946136294</v>
      </c>
    </row>
    <row r="37">
      <c r="A37" s="4">
        <v>34.0</v>
      </c>
      <c r="B37" s="188">
        <v>1.749191165</v>
      </c>
      <c r="C37" s="188">
        <v>0.144773168</v>
      </c>
      <c r="D37" s="4">
        <f t="shared" si="1"/>
        <v>0</v>
      </c>
      <c r="E37" s="188">
        <v>5.59355E-4</v>
      </c>
      <c r="F37" s="188">
        <v>0.001466809</v>
      </c>
      <c r="G37" s="4">
        <f t="shared" si="2"/>
        <v>1</v>
      </c>
      <c r="H37" s="189">
        <f t="shared" si="3"/>
        <v>1.74975052</v>
      </c>
      <c r="I37" s="179">
        <f t="shared" si="4"/>
        <v>-0.03196770017</v>
      </c>
      <c r="J37" s="188">
        <v>1.297540426</v>
      </c>
      <c r="K37" s="188">
        <v>0.153173381</v>
      </c>
      <c r="L37" s="4">
        <f t="shared" si="5"/>
        <v>0</v>
      </c>
      <c r="M37" s="188">
        <v>3.51953E-4</v>
      </c>
      <c r="N37" s="188">
        <v>0.003718529</v>
      </c>
      <c r="O37" s="4">
        <f t="shared" si="6"/>
        <v>1</v>
      </c>
      <c r="P37" s="189">
        <f t="shared" si="7"/>
        <v>1.297892379</v>
      </c>
      <c r="Q37" s="179">
        <f t="shared" si="8"/>
        <v>-0.02711727149</v>
      </c>
      <c r="R37" s="4">
        <v>34.0</v>
      </c>
      <c r="S37" s="188">
        <v>0.476259738</v>
      </c>
      <c r="T37" s="188">
        <v>0.045210084</v>
      </c>
      <c r="U37" s="4">
        <f t="shared" si="9"/>
        <v>0</v>
      </c>
      <c r="V37" s="188">
        <v>0.0</v>
      </c>
      <c r="W37" s="188">
        <v>0.0</v>
      </c>
      <c r="X37" s="4" t="str">
        <f t="shared" si="10"/>
        <v>#DIV/0!</v>
      </c>
      <c r="Y37" s="189">
        <f t="shared" si="11"/>
        <v>0.476259738</v>
      </c>
      <c r="Z37" s="179">
        <f t="shared" si="12"/>
        <v>0</v>
      </c>
      <c r="AA37" s="188">
        <v>0.621077061</v>
      </c>
      <c r="AB37" s="188">
        <v>0.060854404</v>
      </c>
      <c r="AC37" s="4">
        <f t="shared" si="13"/>
        <v>0</v>
      </c>
      <c r="AD37" s="188">
        <v>-0.010217126</v>
      </c>
      <c r="AE37" s="188">
        <v>0.0036345</v>
      </c>
      <c r="AF37" s="4">
        <f t="shared" si="14"/>
        <v>0</v>
      </c>
      <c r="AG37" s="189">
        <f t="shared" si="15"/>
        <v>0.610859935</v>
      </c>
      <c r="AH37" s="179">
        <f t="shared" si="16"/>
        <v>1.672580802</v>
      </c>
      <c r="AI37" s="4">
        <v>34.0</v>
      </c>
      <c r="AJ37" s="190">
        <v>0.155728742</v>
      </c>
      <c r="AK37" s="190">
        <v>0.015594151</v>
      </c>
      <c r="AL37" s="4">
        <f t="shared" si="17"/>
        <v>0</v>
      </c>
      <c r="AM37" s="190">
        <v>-0.001846369</v>
      </c>
      <c r="AN37" s="190">
        <v>0.001011885</v>
      </c>
      <c r="AO37" s="4">
        <f t="shared" si="18"/>
        <v>0</v>
      </c>
      <c r="AP37" s="191">
        <f t="shared" si="19"/>
        <v>0.153882373</v>
      </c>
      <c r="AQ37" s="179">
        <f t="shared" si="20"/>
        <v>1.199857374</v>
      </c>
      <c r="AR37" s="193">
        <v>0.236351103</v>
      </c>
      <c r="AS37" s="193">
        <v>0.024425581</v>
      </c>
      <c r="AT37" s="4">
        <f t="shared" si="21"/>
        <v>0</v>
      </c>
      <c r="AU37" s="193">
        <v>-9.95375E-4</v>
      </c>
      <c r="AV37" s="193">
        <v>0.001262454</v>
      </c>
      <c r="AW37" s="4">
        <f t="shared" si="22"/>
        <v>1</v>
      </c>
      <c r="AX37" s="192">
        <f t="shared" si="23"/>
        <v>0.235355728</v>
      </c>
      <c r="AY37" s="179">
        <f t="shared" si="24"/>
        <v>0.422923635</v>
      </c>
      <c r="AZ37" s="4">
        <v>34.0</v>
      </c>
      <c r="BA37" s="193">
        <v>0.056930482</v>
      </c>
      <c r="BB37" s="193">
        <v>0.006574062</v>
      </c>
      <c r="BC37" s="4">
        <f t="shared" si="25"/>
        <v>0</v>
      </c>
      <c r="BD37" s="193">
        <v>7.3937E-5</v>
      </c>
      <c r="BE37" s="193">
        <v>3.10221E-4</v>
      </c>
      <c r="BF37" s="4">
        <f t="shared" si="26"/>
        <v>1</v>
      </c>
      <c r="BG37" s="192">
        <f t="shared" si="27"/>
        <v>0.057004419</v>
      </c>
      <c r="BH37" s="179">
        <f t="shared" si="28"/>
        <v>-0.1297039796</v>
      </c>
      <c r="BI37" s="193">
        <v>0.134384498</v>
      </c>
      <c r="BJ37" s="193">
        <v>0.012707425</v>
      </c>
      <c r="BK37" s="4">
        <f t="shared" si="29"/>
        <v>0</v>
      </c>
      <c r="BL37" s="193">
        <v>-0.003324746</v>
      </c>
      <c r="BM37" s="193">
        <v>0.001286035</v>
      </c>
      <c r="BN37" s="4">
        <f t="shared" si="30"/>
        <v>0</v>
      </c>
      <c r="BO37" s="192">
        <f t="shared" si="31"/>
        <v>0.131059752</v>
      </c>
      <c r="BP37" s="179">
        <f t="shared" si="32"/>
        <v>2.536816947</v>
      </c>
    </row>
    <row r="38">
      <c r="A38" s="4">
        <v>35.0</v>
      </c>
      <c r="B38" s="188">
        <v>2.671178579</v>
      </c>
      <c r="C38" s="188">
        <v>0.260994088</v>
      </c>
      <c r="D38" s="4">
        <f t="shared" si="1"/>
        <v>0</v>
      </c>
      <c r="E38" s="188">
        <v>-4.82836E-4</v>
      </c>
      <c r="F38" s="188">
        <v>0.002344439</v>
      </c>
      <c r="G38" s="4">
        <f t="shared" si="2"/>
        <v>1</v>
      </c>
      <c r="H38" s="189">
        <f t="shared" si="3"/>
        <v>2.670695743</v>
      </c>
      <c r="I38" s="179">
        <f t="shared" si="4"/>
        <v>0.01807903432</v>
      </c>
      <c r="J38" s="188">
        <v>2.121881962</v>
      </c>
      <c r="K38" s="188">
        <v>0.286054533</v>
      </c>
      <c r="L38" s="4">
        <f t="shared" si="5"/>
        <v>0</v>
      </c>
      <c r="M38" s="188">
        <v>-0.011931309</v>
      </c>
      <c r="N38" s="188">
        <v>0.007157379</v>
      </c>
      <c r="O38" s="4">
        <f t="shared" si="6"/>
        <v>0</v>
      </c>
      <c r="P38" s="189">
        <f t="shared" si="7"/>
        <v>2.109950653</v>
      </c>
      <c r="Q38" s="179">
        <f t="shared" si="8"/>
        <v>0.5654781065</v>
      </c>
      <c r="R38" s="4">
        <v>35.0</v>
      </c>
      <c r="S38" s="188">
        <v>0.841473281</v>
      </c>
      <c r="T38" s="188">
        <v>0.087977261</v>
      </c>
      <c r="U38" s="4">
        <f t="shared" si="9"/>
        <v>0</v>
      </c>
      <c r="V38" s="188">
        <v>-8.36954E-4</v>
      </c>
      <c r="W38" s="188">
        <v>8.36954E-4</v>
      </c>
      <c r="X38" s="4">
        <f t="shared" si="10"/>
        <v>0</v>
      </c>
      <c r="Y38" s="189">
        <f t="shared" si="11"/>
        <v>0.840636327</v>
      </c>
      <c r="Z38" s="179">
        <f t="shared" si="12"/>
        <v>0.09956195957</v>
      </c>
      <c r="AA38" s="188">
        <v>0.834024608</v>
      </c>
      <c r="AB38" s="188">
        <v>0.10335811</v>
      </c>
      <c r="AC38" s="4">
        <f t="shared" si="13"/>
        <v>0</v>
      </c>
      <c r="AD38" s="188">
        <v>-0.010486844</v>
      </c>
      <c r="AE38" s="188">
        <v>0.004583167</v>
      </c>
      <c r="AF38" s="4">
        <f t="shared" si="14"/>
        <v>0</v>
      </c>
      <c r="AG38" s="189">
        <f t="shared" si="15"/>
        <v>0.823537764</v>
      </c>
      <c r="AH38" s="179">
        <f t="shared" si="16"/>
        <v>1.273389571</v>
      </c>
      <c r="AI38" s="4">
        <v>35.0</v>
      </c>
      <c r="AJ38" s="190">
        <v>0.248846531</v>
      </c>
      <c r="AK38" s="190">
        <v>0.030422791</v>
      </c>
      <c r="AL38" s="4">
        <f t="shared" si="17"/>
        <v>0</v>
      </c>
      <c r="AM38" s="190">
        <v>0.0</v>
      </c>
      <c r="AN38" s="190">
        <v>0.0</v>
      </c>
      <c r="AO38" s="4" t="str">
        <f t="shared" si="18"/>
        <v>#DIV/0!</v>
      </c>
      <c r="AP38" s="191">
        <f t="shared" si="19"/>
        <v>0.248846531</v>
      </c>
      <c r="AQ38" s="179">
        <f t="shared" si="20"/>
        <v>0</v>
      </c>
      <c r="AR38" s="193">
        <v>0.468313336</v>
      </c>
      <c r="AS38" s="193">
        <v>0.050957806</v>
      </c>
      <c r="AT38" s="4">
        <f t="shared" si="21"/>
        <v>0</v>
      </c>
      <c r="AU38" s="193">
        <v>-0.003518169</v>
      </c>
      <c r="AV38" s="193">
        <v>0.002577106</v>
      </c>
      <c r="AW38" s="4">
        <f t="shared" si="22"/>
        <v>0</v>
      </c>
      <c r="AX38" s="192">
        <f t="shared" si="23"/>
        <v>0.464795167</v>
      </c>
      <c r="AY38" s="179">
        <f t="shared" si="24"/>
        <v>0.7569289119</v>
      </c>
      <c r="AZ38" s="4">
        <v>35.0</v>
      </c>
      <c r="BA38" s="193">
        <v>0.137103647</v>
      </c>
      <c r="BB38" s="193">
        <v>0.015624668</v>
      </c>
      <c r="BC38" s="4">
        <f t="shared" si="25"/>
        <v>0</v>
      </c>
      <c r="BD38" s="193">
        <v>-2.53907E-4</v>
      </c>
      <c r="BE38" s="193">
        <v>5.87705E-4</v>
      </c>
      <c r="BF38" s="4">
        <f t="shared" si="26"/>
        <v>1</v>
      </c>
      <c r="BG38" s="192">
        <f t="shared" si="27"/>
        <v>0.13684974</v>
      </c>
      <c r="BH38" s="179">
        <f t="shared" si="28"/>
        <v>0.1855370715</v>
      </c>
      <c r="BI38" s="193">
        <v>0.188472435</v>
      </c>
      <c r="BJ38" s="193">
        <v>0.02206373</v>
      </c>
      <c r="BK38" s="4">
        <f t="shared" si="29"/>
        <v>0</v>
      </c>
      <c r="BL38" s="193">
        <v>-0.001686178</v>
      </c>
      <c r="BM38" s="193">
        <v>0.001563389</v>
      </c>
      <c r="BN38" s="4">
        <f t="shared" si="30"/>
        <v>0</v>
      </c>
      <c r="BO38" s="192">
        <f t="shared" si="31"/>
        <v>0.186786257</v>
      </c>
      <c r="BP38" s="179">
        <f t="shared" si="32"/>
        <v>0.9027312968</v>
      </c>
    </row>
    <row r="39">
      <c r="A39" s="4">
        <v>36.0</v>
      </c>
      <c r="B39" s="188">
        <v>0.016830932</v>
      </c>
      <c r="C39" s="188">
        <v>2.43259E-4</v>
      </c>
      <c r="D39" s="4">
        <f t="shared" si="1"/>
        <v>0</v>
      </c>
      <c r="E39" s="188">
        <v>-1.34914E-4</v>
      </c>
      <c r="F39" s="188">
        <v>5.8521E-5</v>
      </c>
      <c r="G39" s="4">
        <f t="shared" si="2"/>
        <v>0</v>
      </c>
      <c r="H39" s="189">
        <f t="shared" si="3"/>
        <v>0.016696018</v>
      </c>
      <c r="I39" s="179">
        <f t="shared" si="4"/>
        <v>0.80806094</v>
      </c>
      <c r="J39" s="188">
        <v>0.002195901</v>
      </c>
      <c r="K39" s="188">
        <v>1.23652E-4</v>
      </c>
      <c r="L39" s="4">
        <f t="shared" si="5"/>
        <v>0</v>
      </c>
      <c r="M39" s="188">
        <v>-2.95478E-4</v>
      </c>
      <c r="N39" s="188">
        <v>5.6174E-5</v>
      </c>
      <c r="O39" s="4">
        <f t="shared" si="6"/>
        <v>0</v>
      </c>
      <c r="P39" s="189">
        <f t="shared" si="7"/>
        <v>0.001900423</v>
      </c>
      <c r="Q39" s="196">
        <f t="shared" si="8"/>
        <v>15.54801221</v>
      </c>
      <c r="R39" s="4">
        <v>36.0</v>
      </c>
      <c r="S39" s="188">
        <v>0.003765293</v>
      </c>
      <c r="T39" s="188">
        <v>6.2983E-5</v>
      </c>
      <c r="U39" s="4">
        <f t="shared" si="9"/>
        <v>0</v>
      </c>
      <c r="V39" s="188">
        <v>-1.75425E-4</v>
      </c>
      <c r="W39" s="188">
        <v>3.0771E-5</v>
      </c>
      <c r="X39" s="4">
        <f t="shared" si="10"/>
        <v>0</v>
      </c>
      <c r="Y39" s="189">
        <f t="shared" si="11"/>
        <v>0.003589868</v>
      </c>
      <c r="Z39" s="179">
        <f t="shared" si="12"/>
        <v>4.886669928</v>
      </c>
      <c r="AA39" s="188">
        <v>7.17667E-4</v>
      </c>
      <c r="AB39" s="188">
        <v>3.9631E-5</v>
      </c>
      <c r="AC39" s="4">
        <f t="shared" si="13"/>
        <v>0</v>
      </c>
      <c r="AD39" s="188">
        <v>-1.96098E-4</v>
      </c>
      <c r="AE39" s="188">
        <v>3.6957E-5</v>
      </c>
      <c r="AF39" s="4">
        <f t="shared" si="14"/>
        <v>0</v>
      </c>
      <c r="AG39" s="189">
        <f t="shared" si="15"/>
        <v>0.000521569</v>
      </c>
      <c r="AH39" s="196">
        <f t="shared" si="16"/>
        <v>37.59770999</v>
      </c>
      <c r="AI39" s="4">
        <v>36.0</v>
      </c>
      <c r="AJ39" s="190">
        <v>0.001055714</v>
      </c>
      <c r="AK39" s="190">
        <v>2.1399E-5</v>
      </c>
      <c r="AL39" s="4">
        <f t="shared" si="17"/>
        <v>0</v>
      </c>
      <c r="AM39" s="190">
        <v>-1.34159E-4</v>
      </c>
      <c r="AN39" s="190">
        <v>1.938E-5</v>
      </c>
      <c r="AO39" s="4">
        <f t="shared" si="18"/>
        <v>0</v>
      </c>
      <c r="AP39" s="191">
        <f t="shared" si="19"/>
        <v>0.000921555</v>
      </c>
      <c r="AQ39" s="196">
        <f t="shared" si="20"/>
        <v>14.55789399</v>
      </c>
      <c r="AR39" s="193">
        <v>3.35778E-4</v>
      </c>
      <c r="AS39" s="193">
        <v>1.7804E-5</v>
      </c>
      <c r="AT39" s="4">
        <f t="shared" si="21"/>
        <v>0</v>
      </c>
      <c r="AU39" s="193">
        <v>-8.3669E-5</v>
      </c>
      <c r="AV39" s="193">
        <v>1.5703E-5</v>
      </c>
      <c r="AW39" s="4">
        <f t="shared" si="22"/>
        <v>0</v>
      </c>
      <c r="AX39" s="192">
        <f t="shared" si="23"/>
        <v>0.000252109</v>
      </c>
      <c r="AY39" s="196">
        <f t="shared" si="24"/>
        <v>33.18762916</v>
      </c>
      <c r="AZ39" s="4">
        <v>36.0</v>
      </c>
      <c r="BA39" s="193">
        <v>3.5573E-4</v>
      </c>
      <c r="BB39" s="193">
        <v>8.484E-6</v>
      </c>
      <c r="BC39" s="4">
        <f t="shared" si="25"/>
        <v>0</v>
      </c>
      <c r="BD39" s="193">
        <v>-8.695E-5</v>
      </c>
      <c r="BE39" s="193">
        <v>1.3248E-5</v>
      </c>
      <c r="BF39" s="4">
        <f t="shared" si="26"/>
        <v>0</v>
      </c>
      <c r="BG39" s="192">
        <f t="shared" si="27"/>
        <v>0.00026878</v>
      </c>
      <c r="BH39" s="196">
        <f t="shared" si="28"/>
        <v>32.34987722</v>
      </c>
      <c r="BI39" s="193">
        <v>1.67593E-4</v>
      </c>
      <c r="BJ39" s="193">
        <v>8.555E-6</v>
      </c>
      <c r="BK39" s="4">
        <f t="shared" si="29"/>
        <v>0</v>
      </c>
      <c r="BL39" s="193">
        <v>-7.8666E-5</v>
      </c>
      <c r="BM39" s="193">
        <v>1.5098E-5</v>
      </c>
      <c r="BN39" s="4">
        <f t="shared" si="30"/>
        <v>0</v>
      </c>
      <c r="BO39" s="192">
        <f t="shared" si="31"/>
        <v>0.000088927</v>
      </c>
      <c r="BP39" s="196">
        <f t="shared" si="32"/>
        <v>88.46132221</v>
      </c>
    </row>
    <row r="40">
      <c r="A40" s="4">
        <v>37.0</v>
      </c>
      <c r="B40" s="188">
        <v>0.100585751</v>
      </c>
      <c r="C40" s="188">
        <v>0.002156306</v>
      </c>
      <c r="D40" s="4">
        <f t="shared" si="1"/>
        <v>0</v>
      </c>
      <c r="E40" s="188">
        <v>-4.4456E-4</v>
      </c>
      <c r="F40" s="188">
        <v>1.63114E-4</v>
      </c>
      <c r="G40" s="4">
        <f t="shared" si="2"/>
        <v>0</v>
      </c>
      <c r="H40" s="189">
        <f t="shared" si="3"/>
        <v>0.100141191</v>
      </c>
      <c r="I40" s="179">
        <f t="shared" si="4"/>
        <v>0.4439332063</v>
      </c>
      <c r="J40" s="188">
        <v>0.039906818</v>
      </c>
      <c r="K40" s="188">
        <v>0.001829663</v>
      </c>
      <c r="L40" s="4">
        <f t="shared" si="5"/>
        <v>0</v>
      </c>
      <c r="M40" s="188">
        <v>-0.001036011</v>
      </c>
      <c r="N40" s="188">
        <v>2.57426E-4</v>
      </c>
      <c r="O40" s="4">
        <f t="shared" si="6"/>
        <v>0</v>
      </c>
      <c r="P40" s="189">
        <f t="shared" si="7"/>
        <v>0.038870807</v>
      </c>
      <c r="Q40" s="179">
        <f t="shared" si="8"/>
        <v>2.665267536</v>
      </c>
      <c r="R40" s="4">
        <v>37.0</v>
      </c>
      <c r="S40" s="188">
        <v>0.017558405</v>
      </c>
      <c r="T40" s="188">
        <v>5.02686E-4</v>
      </c>
      <c r="U40" s="4">
        <f t="shared" si="9"/>
        <v>0</v>
      </c>
      <c r="V40" s="188">
        <v>-2.40971E-4</v>
      </c>
      <c r="W40" s="188">
        <v>7.8182E-5</v>
      </c>
      <c r="X40" s="4">
        <f t="shared" si="10"/>
        <v>0</v>
      </c>
      <c r="Y40" s="189">
        <f t="shared" si="11"/>
        <v>0.017317434</v>
      </c>
      <c r="Z40" s="179">
        <f t="shared" si="12"/>
        <v>1.391493682</v>
      </c>
      <c r="AA40" s="188">
        <v>0.01573466</v>
      </c>
      <c r="AB40" s="188">
        <v>6.64728E-4</v>
      </c>
      <c r="AC40" s="4">
        <f t="shared" si="13"/>
        <v>0</v>
      </c>
      <c r="AD40" s="188">
        <v>-4.375E-4</v>
      </c>
      <c r="AE40" s="188">
        <v>1.15248E-4</v>
      </c>
      <c r="AF40" s="4">
        <f t="shared" si="14"/>
        <v>0</v>
      </c>
      <c r="AG40" s="189">
        <f t="shared" si="15"/>
        <v>0.01529716</v>
      </c>
      <c r="AH40" s="179">
        <f t="shared" si="16"/>
        <v>2.860008001</v>
      </c>
      <c r="AI40" s="4">
        <v>37.0</v>
      </c>
      <c r="AJ40" s="190">
        <v>0.004269736</v>
      </c>
      <c r="AK40" s="190">
        <v>1.5835E-4</v>
      </c>
      <c r="AL40" s="4">
        <f t="shared" si="17"/>
        <v>0</v>
      </c>
      <c r="AM40" s="190">
        <v>-7.9591E-5</v>
      </c>
      <c r="AN40" s="190">
        <v>3.8165E-5</v>
      </c>
      <c r="AO40" s="4">
        <f t="shared" si="18"/>
        <v>0</v>
      </c>
      <c r="AP40" s="191">
        <f t="shared" si="19"/>
        <v>0.004190145</v>
      </c>
      <c r="AQ40" s="179">
        <f t="shared" si="20"/>
        <v>1.899480806</v>
      </c>
      <c r="AR40" s="193">
        <v>0.006296982</v>
      </c>
      <c r="AS40" s="193">
        <v>2.61733E-4</v>
      </c>
      <c r="AT40" s="4">
        <f t="shared" si="21"/>
        <v>0</v>
      </c>
      <c r="AU40" s="193">
        <v>-3.07746E-4</v>
      </c>
      <c r="AV40" s="193">
        <v>7.0048E-5</v>
      </c>
      <c r="AW40" s="4">
        <f t="shared" si="22"/>
        <v>0</v>
      </c>
      <c r="AX40" s="192">
        <f t="shared" si="23"/>
        <v>0.005989236</v>
      </c>
      <c r="AY40" s="179">
        <f t="shared" si="24"/>
        <v>5.138318143</v>
      </c>
      <c r="AZ40" s="4">
        <v>37.0</v>
      </c>
      <c r="BA40" s="193">
        <v>0.001449874</v>
      </c>
      <c r="BB40" s="193">
        <v>6.3946E-5</v>
      </c>
      <c r="BC40" s="4">
        <f t="shared" si="25"/>
        <v>0</v>
      </c>
      <c r="BD40" s="193">
        <v>-1.23189E-4</v>
      </c>
      <c r="BE40" s="193">
        <v>3.3245E-5</v>
      </c>
      <c r="BF40" s="4">
        <f t="shared" si="26"/>
        <v>0</v>
      </c>
      <c r="BG40" s="192">
        <f t="shared" si="27"/>
        <v>0.001326685</v>
      </c>
      <c r="BH40" s="179">
        <f t="shared" si="28"/>
        <v>9.285474698</v>
      </c>
      <c r="BI40" s="193">
        <v>0.003486405</v>
      </c>
      <c r="BJ40" s="193">
        <v>1.36752E-4</v>
      </c>
      <c r="BK40" s="4">
        <f t="shared" si="29"/>
        <v>0</v>
      </c>
      <c r="BL40" s="193">
        <v>-2.46034E-4</v>
      </c>
      <c r="BM40" s="193">
        <v>6.14E-5</v>
      </c>
      <c r="BN40" s="4">
        <f t="shared" si="30"/>
        <v>0</v>
      </c>
      <c r="BO40" s="192">
        <f t="shared" si="31"/>
        <v>0.003240371</v>
      </c>
      <c r="BP40" s="179">
        <f t="shared" si="32"/>
        <v>7.592772556</v>
      </c>
    </row>
    <row r="41">
      <c r="A41" s="4">
        <v>38.0</v>
      </c>
      <c r="B41" s="188">
        <v>0.529564381</v>
      </c>
      <c r="C41" s="188">
        <v>0.017258025</v>
      </c>
      <c r="D41" s="4">
        <f t="shared" si="1"/>
        <v>0</v>
      </c>
      <c r="E41" s="188">
        <v>-8.95866E-4</v>
      </c>
      <c r="F41" s="188">
        <v>6.24755E-4</v>
      </c>
      <c r="G41" s="4">
        <f t="shared" si="2"/>
        <v>0</v>
      </c>
      <c r="H41" s="189">
        <f t="shared" si="3"/>
        <v>0.528668515</v>
      </c>
      <c r="I41" s="179">
        <f t="shared" si="4"/>
        <v>0.1694570368</v>
      </c>
      <c r="J41" s="188">
        <v>0.275972217</v>
      </c>
      <c r="K41" s="188">
        <v>0.015994496</v>
      </c>
      <c r="L41" s="4">
        <f t="shared" si="5"/>
        <v>0</v>
      </c>
      <c r="M41" s="188">
        <v>-0.001657879</v>
      </c>
      <c r="N41" s="188">
        <v>7.91106E-4</v>
      </c>
      <c r="O41" s="4">
        <f t="shared" si="6"/>
        <v>0</v>
      </c>
      <c r="P41" s="189">
        <f t="shared" si="7"/>
        <v>0.274314338</v>
      </c>
      <c r="Q41" s="179">
        <f t="shared" si="8"/>
        <v>0.6043719815</v>
      </c>
      <c r="R41" s="4">
        <v>38.0</v>
      </c>
      <c r="S41" s="188">
        <v>0.096412122</v>
      </c>
      <c r="T41" s="188">
        <v>0.004175792</v>
      </c>
      <c r="U41" s="4">
        <f t="shared" si="9"/>
        <v>0</v>
      </c>
      <c r="V41" s="188">
        <v>-7.59749E-4</v>
      </c>
      <c r="W41" s="188">
        <v>4.65827E-4</v>
      </c>
      <c r="X41" s="4">
        <f t="shared" si="10"/>
        <v>0</v>
      </c>
      <c r="Y41" s="189">
        <f t="shared" si="11"/>
        <v>0.095652373</v>
      </c>
      <c r="Z41" s="179">
        <f t="shared" si="12"/>
        <v>0.7942813923</v>
      </c>
      <c r="AA41" s="188">
        <v>0.106094785</v>
      </c>
      <c r="AB41" s="188">
        <v>0.005696713</v>
      </c>
      <c r="AC41" s="4">
        <f t="shared" si="13"/>
        <v>0</v>
      </c>
      <c r="AD41" s="188">
        <v>-0.001461253</v>
      </c>
      <c r="AE41" s="188">
        <v>6.55573E-4</v>
      </c>
      <c r="AF41" s="4">
        <f t="shared" si="14"/>
        <v>0</v>
      </c>
      <c r="AG41" s="189">
        <f t="shared" si="15"/>
        <v>0.104633532</v>
      </c>
      <c r="AH41" s="179">
        <f t="shared" si="16"/>
        <v>1.396543701</v>
      </c>
      <c r="AI41" s="4">
        <v>38.0</v>
      </c>
      <c r="AJ41" s="190">
        <v>0.026352201</v>
      </c>
      <c r="AK41" s="190">
        <v>0.001408447</v>
      </c>
      <c r="AL41" s="4">
        <f t="shared" si="17"/>
        <v>0</v>
      </c>
      <c r="AM41" s="190">
        <v>-3.74873E-4</v>
      </c>
      <c r="AN41" s="190">
        <v>2.08796E-4</v>
      </c>
      <c r="AO41" s="4">
        <f t="shared" si="18"/>
        <v>0</v>
      </c>
      <c r="AP41" s="191">
        <f t="shared" si="19"/>
        <v>0.025977328</v>
      </c>
      <c r="AQ41" s="179">
        <f t="shared" si="20"/>
        <v>1.443077594</v>
      </c>
      <c r="AR41" s="193">
        <v>0.045099474</v>
      </c>
      <c r="AS41" s="193">
        <v>0.002414966</v>
      </c>
      <c r="AT41" s="4">
        <f t="shared" si="21"/>
        <v>0</v>
      </c>
      <c r="AU41" s="193">
        <v>-0.00119076</v>
      </c>
      <c r="AV41" s="193">
        <v>3.59947E-4</v>
      </c>
      <c r="AW41" s="4">
        <f t="shared" si="22"/>
        <v>0</v>
      </c>
      <c r="AX41" s="192">
        <f t="shared" si="23"/>
        <v>0.043908714</v>
      </c>
      <c r="AY41" s="179">
        <f t="shared" si="24"/>
        <v>2.711899055</v>
      </c>
      <c r="AZ41" s="4">
        <v>38.0</v>
      </c>
      <c r="BA41" s="193">
        <v>0.010409344</v>
      </c>
      <c r="BB41" s="193">
        <v>6.19185E-4</v>
      </c>
      <c r="BC41" s="4">
        <f t="shared" si="25"/>
        <v>0</v>
      </c>
      <c r="BD41" s="193">
        <v>-7.4024E-5</v>
      </c>
      <c r="BE41" s="193">
        <v>1.15977E-4</v>
      </c>
      <c r="BF41" s="4">
        <f t="shared" si="26"/>
        <v>1</v>
      </c>
      <c r="BG41" s="192">
        <f t="shared" si="27"/>
        <v>0.01033532</v>
      </c>
      <c r="BH41" s="179">
        <f t="shared" si="28"/>
        <v>0.7162235906</v>
      </c>
      <c r="BI41" s="193">
        <v>0.024077924</v>
      </c>
      <c r="BJ41" s="193">
        <v>0.001210289</v>
      </c>
      <c r="BK41" s="4">
        <f t="shared" si="29"/>
        <v>0</v>
      </c>
      <c r="BL41" s="193">
        <v>-0.0011516</v>
      </c>
      <c r="BM41" s="193">
        <v>3.18198E-4</v>
      </c>
      <c r="BN41" s="4">
        <f t="shared" si="30"/>
        <v>0</v>
      </c>
      <c r="BO41" s="192">
        <f t="shared" si="31"/>
        <v>0.022926324</v>
      </c>
      <c r="BP41" s="179">
        <f t="shared" si="32"/>
        <v>5.02304687</v>
      </c>
    </row>
    <row r="42">
      <c r="A42" s="4">
        <v>39.0</v>
      </c>
      <c r="B42" s="188">
        <v>1.261077642</v>
      </c>
      <c r="C42" s="188">
        <v>0.061396631</v>
      </c>
      <c r="D42" s="4">
        <f t="shared" si="1"/>
        <v>0</v>
      </c>
      <c r="E42" s="188">
        <v>-0.003234936</v>
      </c>
      <c r="F42" s="188">
        <v>0.00164811</v>
      </c>
      <c r="G42" s="4">
        <f t="shared" si="2"/>
        <v>0</v>
      </c>
      <c r="H42" s="189">
        <f t="shared" si="3"/>
        <v>1.257842706</v>
      </c>
      <c r="I42" s="179">
        <f t="shared" si="4"/>
        <v>0.2571812823</v>
      </c>
      <c r="J42" s="188">
        <v>0.84705323</v>
      </c>
      <c r="K42" s="188">
        <v>0.06321168</v>
      </c>
      <c r="L42" s="4">
        <f t="shared" si="5"/>
        <v>0</v>
      </c>
      <c r="M42" s="188">
        <v>-0.007319748</v>
      </c>
      <c r="N42" s="188">
        <v>0.003113314</v>
      </c>
      <c r="O42" s="4">
        <f t="shared" si="6"/>
        <v>0</v>
      </c>
      <c r="P42" s="189">
        <f t="shared" si="7"/>
        <v>0.839733482</v>
      </c>
      <c r="Q42" s="179">
        <f t="shared" si="8"/>
        <v>0.8716751394</v>
      </c>
      <c r="R42" s="4">
        <v>39.0</v>
      </c>
      <c r="S42" s="188">
        <v>0.265222579</v>
      </c>
      <c r="T42" s="188">
        <v>0.015983433</v>
      </c>
      <c r="U42" s="4">
        <f t="shared" si="9"/>
        <v>0</v>
      </c>
      <c r="V42" s="188">
        <v>-0.001199313</v>
      </c>
      <c r="W42" s="188">
        <v>6.5615E-4</v>
      </c>
      <c r="X42" s="4">
        <f t="shared" si="10"/>
        <v>0</v>
      </c>
      <c r="Y42" s="189">
        <f t="shared" si="11"/>
        <v>0.264023266</v>
      </c>
      <c r="Z42" s="179">
        <f t="shared" si="12"/>
        <v>0.4542451952</v>
      </c>
      <c r="AA42" s="188">
        <v>0.304387122</v>
      </c>
      <c r="AB42" s="188">
        <v>0.021218353</v>
      </c>
      <c r="AC42" s="4">
        <f t="shared" si="13"/>
        <v>0</v>
      </c>
      <c r="AD42" s="188">
        <v>-0.003107044</v>
      </c>
      <c r="AE42" s="188">
        <v>0.001073763</v>
      </c>
      <c r="AF42" s="4">
        <f t="shared" si="14"/>
        <v>0</v>
      </c>
      <c r="AG42" s="189">
        <f t="shared" si="15"/>
        <v>0.301280078</v>
      </c>
      <c r="AH42" s="179">
        <f t="shared" si="16"/>
        <v>1.031280933</v>
      </c>
      <c r="AI42" s="4">
        <v>39.0</v>
      </c>
      <c r="AJ42" s="190">
        <v>0.090266012</v>
      </c>
      <c r="AK42" s="190">
        <v>0.006064591</v>
      </c>
      <c r="AL42" s="4">
        <f t="shared" si="17"/>
        <v>0</v>
      </c>
      <c r="AM42" s="190">
        <v>-4.96062E-4</v>
      </c>
      <c r="AN42" s="190">
        <v>2.93553E-4</v>
      </c>
      <c r="AO42" s="4">
        <f t="shared" si="18"/>
        <v>0</v>
      </c>
      <c r="AP42" s="191">
        <f t="shared" si="19"/>
        <v>0.08976995</v>
      </c>
      <c r="AQ42" s="179">
        <f t="shared" si="20"/>
        <v>0.5525924878</v>
      </c>
      <c r="AR42" s="193">
        <v>0.141307533</v>
      </c>
      <c r="AS42" s="193">
        <v>0.009747406</v>
      </c>
      <c r="AT42" s="4">
        <f t="shared" si="21"/>
        <v>0</v>
      </c>
      <c r="AU42" s="193">
        <v>-6.38787E-4</v>
      </c>
      <c r="AV42" s="193">
        <v>6.74278E-4</v>
      </c>
      <c r="AW42" s="4">
        <f t="shared" si="22"/>
        <v>1</v>
      </c>
      <c r="AX42" s="192">
        <f t="shared" si="23"/>
        <v>0.140668746</v>
      </c>
      <c r="AY42" s="179">
        <f t="shared" si="24"/>
        <v>0.4541072684</v>
      </c>
      <c r="AZ42" s="4">
        <v>39.0</v>
      </c>
      <c r="BA42" s="193">
        <v>0.033313241</v>
      </c>
      <c r="BB42" s="193">
        <v>0.002534566</v>
      </c>
      <c r="BC42" s="4">
        <f t="shared" si="25"/>
        <v>0</v>
      </c>
      <c r="BD42" s="193">
        <v>-4.65323E-4</v>
      </c>
      <c r="BE42" s="193">
        <v>2.85733E-4</v>
      </c>
      <c r="BF42" s="4">
        <f t="shared" si="26"/>
        <v>0</v>
      </c>
      <c r="BG42" s="192">
        <f t="shared" si="27"/>
        <v>0.032847918</v>
      </c>
      <c r="BH42" s="179">
        <f t="shared" si="28"/>
        <v>1.416598154</v>
      </c>
      <c r="BI42" s="193">
        <v>0.07001891</v>
      </c>
      <c r="BJ42" s="193">
        <v>0.004591287</v>
      </c>
      <c r="BK42" s="4">
        <f t="shared" si="29"/>
        <v>0</v>
      </c>
      <c r="BL42" s="193">
        <v>-9.42761E-4</v>
      </c>
      <c r="BM42" s="193">
        <v>5.27059E-4</v>
      </c>
      <c r="BN42" s="4">
        <f t="shared" si="30"/>
        <v>0</v>
      </c>
      <c r="BO42" s="192">
        <f t="shared" si="31"/>
        <v>0.069076149</v>
      </c>
      <c r="BP42" s="179">
        <f t="shared" si="32"/>
        <v>1.364814069</v>
      </c>
    </row>
    <row r="43">
      <c r="A43" s="4">
        <v>40.0</v>
      </c>
      <c r="B43" s="188">
        <v>2.270243883</v>
      </c>
      <c r="C43" s="188">
        <v>0.150423783</v>
      </c>
      <c r="D43" s="4">
        <f t="shared" si="1"/>
        <v>0</v>
      </c>
      <c r="E43" s="188">
        <v>-0.003243751</v>
      </c>
      <c r="F43" s="188">
        <v>0.001917201</v>
      </c>
      <c r="G43" s="4">
        <f t="shared" si="2"/>
        <v>0</v>
      </c>
      <c r="H43" s="189">
        <f t="shared" si="3"/>
        <v>2.267000132</v>
      </c>
      <c r="I43" s="179">
        <f t="shared" si="4"/>
        <v>0.1430856114</v>
      </c>
      <c r="J43" s="188">
        <v>1.467455983</v>
      </c>
      <c r="K43" s="188">
        <v>0.147972258</v>
      </c>
      <c r="L43" s="4">
        <f t="shared" si="5"/>
        <v>0</v>
      </c>
      <c r="M43" s="188">
        <v>-0.018977107</v>
      </c>
      <c r="N43" s="188">
        <v>0.006974954</v>
      </c>
      <c r="O43" s="4">
        <f t="shared" si="6"/>
        <v>0</v>
      </c>
      <c r="P43" s="189">
        <f t="shared" si="7"/>
        <v>1.448478876</v>
      </c>
      <c r="Q43" s="179">
        <f t="shared" si="8"/>
        <v>1.310140404</v>
      </c>
      <c r="R43" s="4">
        <v>40.0</v>
      </c>
      <c r="S43" s="188">
        <v>0.558355808</v>
      </c>
      <c r="T43" s="188">
        <v>0.042770336</v>
      </c>
      <c r="U43" s="4">
        <f t="shared" si="9"/>
        <v>0</v>
      </c>
      <c r="V43" s="188">
        <v>-0.002472834</v>
      </c>
      <c r="W43" s="188">
        <v>0.00124426</v>
      </c>
      <c r="X43" s="4">
        <f t="shared" si="10"/>
        <v>0</v>
      </c>
      <c r="Y43" s="189">
        <f t="shared" si="11"/>
        <v>0.555882974</v>
      </c>
      <c r="Z43" s="179">
        <f t="shared" si="12"/>
        <v>0.4448479474</v>
      </c>
      <c r="AA43" s="188">
        <v>0.561511278</v>
      </c>
      <c r="AB43" s="188">
        <v>0.051547157</v>
      </c>
      <c r="AC43" s="4">
        <f t="shared" si="13"/>
        <v>0</v>
      </c>
      <c r="AD43" s="188">
        <v>-0.008770538</v>
      </c>
      <c r="AE43" s="188">
        <v>0.003105621</v>
      </c>
      <c r="AF43" s="4">
        <f t="shared" si="14"/>
        <v>0</v>
      </c>
      <c r="AG43" s="189">
        <f t="shared" si="15"/>
        <v>0.55274074</v>
      </c>
      <c r="AH43" s="179">
        <f t="shared" si="16"/>
        <v>1.586736306</v>
      </c>
      <c r="AI43" s="4">
        <v>40.0</v>
      </c>
      <c r="AJ43" s="190">
        <v>0.194198146</v>
      </c>
      <c r="AK43" s="190">
        <v>0.015826888</v>
      </c>
      <c r="AL43" s="4">
        <f t="shared" si="17"/>
        <v>0</v>
      </c>
      <c r="AM43" s="190">
        <v>-9.12513E-4</v>
      </c>
      <c r="AN43" s="190">
        <v>7.2881E-4</v>
      </c>
      <c r="AO43" s="4">
        <f t="shared" si="18"/>
        <v>0</v>
      </c>
      <c r="AP43" s="191">
        <f t="shared" si="19"/>
        <v>0.193285633</v>
      </c>
      <c r="AQ43" s="179">
        <f t="shared" si="20"/>
        <v>0.4721059635</v>
      </c>
      <c r="AR43" s="193">
        <v>0.311461568</v>
      </c>
      <c r="AS43" s="193">
        <v>0.026486958</v>
      </c>
      <c r="AT43" s="4">
        <f t="shared" si="21"/>
        <v>0</v>
      </c>
      <c r="AU43" s="193">
        <v>-0.001142151</v>
      </c>
      <c r="AV43" s="193">
        <v>0.001126888</v>
      </c>
      <c r="AW43" s="4">
        <f t="shared" si="22"/>
        <v>0</v>
      </c>
      <c r="AX43" s="192">
        <f t="shared" si="23"/>
        <v>0.310319417</v>
      </c>
      <c r="AY43" s="179">
        <f t="shared" si="24"/>
        <v>0.3680565693</v>
      </c>
      <c r="AZ43" s="4">
        <v>40.0</v>
      </c>
      <c r="BA43" s="193">
        <v>0.078264251</v>
      </c>
      <c r="BB43" s="193">
        <v>0.007211113</v>
      </c>
      <c r="BC43" s="4">
        <f t="shared" si="25"/>
        <v>0</v>
      </c>
      <c r="BD43" s="193">
        <v>-7.73554E-4</v>
      </c>
      <c r="BE43" s="193">
        <v>4.66694E-4</v>
      </c>
      <c r="BF43" s="4">
        <f t="shared" si="26"/>
        <v>0</v>
      </c>
      <c r="BG43" s="192">
        <f t="shared" si="27"/>
        <v>0.077490697</v>
      </c>
      <c r="BH43" s="179">
        <f t="shared" si="28"/>
        <v>0.9982540227</v>
      </c>
      <c r="BI43" s="193">
        <v>0.156198785</v>
      </c>
      <c r="BJ43" s="193">
        <v>0.013133328</v>
      </c>
      <c r="BK43" s="4">
        <f t="shared" si="29"/>
        <v>0</v>
      </c>
      <c r="BL43" s="193">
        <v>-0.002532458</v>
      </c>
      <c r="BM43" s="193">
        <v>0.001086506</v>
      </c>
      <c r="BN43" s="4">
        <f t="shared" si="30"/>
        <v>0</v>
      </c>
      <c r="BO43" s="192">
        <f t="shared" si="31"/>
        <v>0.153666327</v>
      </c>
      <c r="BP43" s="179">
        <f t="shared" si="32"/>
        <v>1.648024033</v>
      </c>
    </row>
    <row r="44">
      <c r="A44" s="4">
        <v>41.0</v>
      </c>
      <c r="B44" s="188">
        <v>3.950446606</v>
      </c>
      <c r="C44" s="188">
        <v>0.33434167</v>
      </c>
      <c r="D44" s="4">
        <f t="shared" si="1"/>
        <v>0</v>
      </c>
      <c r="E44" s="188">
        <v>-0.001329627</v>
      </c>
      <c r="F44" s="188">
        <v>0.001329627</v>
      </c>
      <c r="G44" s="4">
        <f t="shared" si="2"/>
        <v>0</v>
      </c>
      <c r="H44" s="189">
        <f t="shared" si="3"/>
        <v>3.949116979</v>
      </c>
      <c r="I44" s="179">
        <f t="shared" si="4"/>
        <v>0.03366896972</v>
      </c>
      <c r="J44" s="188">
        <v>2.615544796</v>
      </c>
      <c r="K44" s="188">
        <v>0.30057725</v>
      </c>
      <c r="L44" s="4">
        <f t="shared" si="5"/>
        <v>0</v>
      </c>
      <c r="M44" s="188">
        <v>-0.008023422</v>
      </c>
      <c r="N44" s="188">
        <v>0.005674175</v>
      </c>
      <c r="O44" s="4">
        <f t="shared" si="6"/>
        <v>0</v>
      </c>
      <c r="P44" s="189">
        <f t="shared" si="7"/>
        <v>2.607521374</v>
      </c>
      <c r="Q44" s="179">
        <f t="shared" si="8"/>
        <v>0.3077030194</v>
      </c>
      <c r="R44" s="4">
        <v>41.0</v>
      </c>
      <c r="S44" s="188">
        <v>1.155005693</v>
      </c>
      <c r="T44" s="188">
        <v>0.101496534</v>
      </c>
      <c r="U44" s="4">
        <f t="shared" si="9"/>
        <v>0</v>
      </c>
      <c r="V44" s="188">
        <v>-0.003208939</v>
      </c>
      <c r="W44" s="188">
        <v>0.002018259</v>
      </c>
      <c r="X44" s="4">
        <f t="shared" si="10"/>
        <v>0</v>
      </c>
      <c r="Y44" s="189">
        <f t="shared" si="11"/>
        <v>1.151796754</v>
      </c>
      <c r="Z44" s="179">
        <f t="shared" si="12"/>
        <v>0.2786028862</v>
      </c>
      <c r="AA44" s="188">
        <v>1.10310483</v>
      </c>
      <c r="AB44" s="188">
        <v>0.114737169</v>
      </c>
      <c r="AC44" s="4">
        <f t="shared" si="13"/>
        <v>0</v>
      </c>
      <c r="AD44" s="188">
        <v>-0.005281522</v>
      </c>
      <c r="AE44" s="188">
        <v>0.004222272</v>
      </c>
      <c r="AF44" s="4">
        <f t="shared" si="14"/>
        <v>0</v>
      </c>
      <c r="AG44" s="189">
        <f t="shared" si="15"/>
        <v>1.097823308</v>
      </c>
      <c r="AH44" s="179">
        <f t="shared" si="16"/>
        <v>0.4810903505</v>
      </c>
      <c r="AI44" s="4">
        <v>41.0</v>
      </c>
      <c r="AJ44" s="190">
        <v>0.391323149</v>
      </c>
      <c r="AK44" s="190">
        <v>0.038270033</v>
      </c>
      <c r="AL44" s="4">
        <f t="shared" si="17"/>
        <v>0</v>
      </c>
      <c r="AM44" s="190">
        <v>-4.10445E-4</v>
      </c>
      <c r="AN44" s="190">
        <v>4.10445E-4</v>
      </c>
      <c r="AO44" s="4">
        <f t="shared" si="18"/>
        <v>0</v>
      </c>
      <c r="AP44" s="191">
        <f t="shared" si="19"/>
        <v>0.390912704</v>
      </c>
      <c r="AQ44" s="179">
        <f t="shared" si="20"/>
        <v>0.1049965877</v>
      </c>
      <c r="AR44" s="193">
        <v>0.530988574</v>
      </c>
      <c r="AS44" s="193">
        <v>0.054988334</v>
      </c>
      <c r="AT44" s="4">
        <f t="shared" si="21"/>
        <v>0</v>
      </c>
      <c r="AU44" s="193">
        <v>-0.001505712</v>
      </c>
      <c r="AV44" s="193">
        <v>0.002733373</v>
      </c>
      <c r="AW44" s="4">
        <f t="shared" si="22"/>
        <v>1</v>
      </c>
      <c r="AX44" s="192">
        <f t="shared" si="23"/>
        <v>0.529482862</v>
      </c>
      <c r="AY44" s="179">
        <f t="shared" si="24"/>
        <v>0.2843740767</v>
      </c>
      <c r="AZ44" s="4">
        <v>41.0</v>
      </c>
      <c r="BA44" s="193">
        <v>0.190747067</v>
      </c>
      <c r="BB44" s="193">
        <v>0.018635473</v>
      </c>
      <c r="BC44" s="4">
        <f t="shared" si="25"/>
        <v>0</v>
      </c>
      <c r="BD44" s="193">
        <v>9.7653E-5</v>
      </c>
      <c r="BE44" s="193">
        <v>4.39711E-4</v>
      </c>
      <c r="BF44" s="4">
        <f t="shared" si="26"/>
        <v>1</v>
      </c>
      <c r="BG44" s="192">
        <f t="shared" si="27"/>
        <v>0.19084472</v>
      </c>
      <c r="BH44" s="179">
        <f t="shared" si="28"/>
        <v>-0.05116882458</v>
      </c>
      <c r="BI44" s="193">
        <v>0.273496598</v>
      </c>
      <c r="BJ44" s="193">
        <v>0.026096443</v>
      </c>
      <c r="BK44" s="4">
        <f t="shared" si="29"/>
        <v>0</v>
      </c>
      <c r="BL44" s="193">
        <v>-9.91771E-4</v>
      </c>
      <c r="BM44" s="193">
        <v>0.001912337</v>
      </c>
      <c r="BN44" s="4">
        <f t="shared" si="30"/>
        <v>1</v>
      </c>
      <c r="BO44" s="192">
        <f t="shared" si="31"/>
        <v>0.272504827</v>
      </c>
      <c r="BP44" s="179">
        <f t="shared" si="32"/>
        <v>0.3639462137</v>
      </c>
    </row>
    <row r="45">
      <c r="A45" s="4">
        <v>42.0</v>
      </c>
      <c r="B45" s="188">
        <v>5.852404594</v>
      </c>
      <c r="C45" s="188">
        <v>0.615973852</v>
      </c>
      <c r="D45" s="4">
        <f t="shared" si="1"/>
        <v>0</v>
      </c>
      <c r="E45" s="188">
        <v>-8.28354E-4</v>
      </c>
      <c r="F45" s="188">
        <v>0.003997171</v>
      </c>
      <c r="G45" s="4">
        <f t="shared" si="2"/>
        <v>1</v>
      </c>
      <c r="H45" s="189">
        <f t="shared" si="3"/>
        <v>5.85157624</v>
      </c>
      <c r="I45" s="179">
        <f t="shared" si="4"/>
        <v>0.01415608318</v>
      </c>
      <c r="J45" s="188">
        <v>6.560291767</v>
      </c>
      <c r="K45" s="188">
        <v>0.764343908</v>
      </c>
      <c r="L45" s="4">
        <f t="shared" si="5"/>
        <v>0</v>
      </c>
      <c r="M45" s="188">
        <v>-0.016689811</v>
      </c>
      <c r="N45" s="188">
        <v>0.007896246</v>
      </c>
      <c r="O45" s="4">
        <f t="shared" si="6"/>
        <v>0</v>
      </c>
      <c r="P45" s="189">
        <f t="shared" si="7"/>
        <v>6.543601956</v>
      </c>
      <c r="Q45" s="179">
        <f t="shared" si="8"/>
        <v>0.2550554131</v>
      </c>
      <c r="R45" s="4">
        <v>42.0</v>
      </c>
      <c r="S45" s="188">
        <v>1.926723838</v>
      </c>
      <c r="T45" s="188">
        <v>0.194771781</v>
      </c>
      <c r="U45" s="4">
        <f t="shared" si="9"/>
        <v>0</v>
      </c>
      <c r="V45" s="188">
        <v>-0.004671534</v>
      </c>
      <c r="W45" s="188">
        <v>0.002727973</v>
      </c>
      <c r="X45" s="4">
        <f t="shared" si="10"/>
        <v>0</v>
      </c>
      <c r="Y45" s="189">
        <f t="shared" si="11"/>
        <v>1.922052304</v>
      </c>
      <c r="Z45" s="179">
        <f t="shared" si="12"/>
        <v>0.2430492651</v>
      </c>
      <c r="AA45" s="188">
        <v>1.942626953</v>
      </c>
      <c r="AB45" s="188">
        <v>0.229223898</v>
      </c>
      <c r="AC45" s="4">
        <f t="shared" si="13"/>
        <v>0</v>
      </c>
      <c r="AD45" s="188">
        <v>-0.011675937</v>
      </c>
      <c r="AE45" s="188">
        <v>0.006125524</v>
      </c>
      <c r="AF45" s="4">
        <f t="shared" si="14"/>
        <v>0</v>
      </c>
      <c r="AG45" s="189">
        <f t="shared" si="15"/>
        <v>1.930951016</v>
      </c>
      <c r="AH45" s="179">
        <f t="shared" si="16"/>
        <v>0.6046728738</v>
      </c>
      <c r="AI45" s="4">
        <v>42.0</v>
      </c>
      <c r="AJ45" s="190">
        <v>0.903189182</v>
      </c>
      <c r="AK45" s="190">
        <v>0.082803057</v>
      </c>
      <c r="AL45" s="4">
        <f t="shared" si="17"/>
        <v>0</v>
      </c>
      <c r="AM45" s="190">
        <v>-0.001939418</v>
      </c>
      <c r="AN45" s="190">
        <v>0.002209759</v>
      </c>
      <c r="AO45" s="4">
        <f t="shared" si="18"/>
        <v>1</v>
      </c>
      <c r="AP45" s="191">
        <f t="shared" si="19"/>
        <v>0.901249764</v>
      </c>
      <c r="AQ45" s="179">
        <f t="shared" si="20"/>
        <v>0.2151920674</v>
      </c>
      <c r="AR45" s="193">
        <v>0.812387168</v>
      </c>
      <c r="AS45" s="193">
        <v>0.097362634</v>
      </c>
      <c r="AT45" s="4">
        <f t="shared" si="21"/>
        <v>0</v>
      </c>
      <c r="AU45" s="193">
        <v>0.004368505</v>
      </c>
      <c r="AV45" s="193">
        <v>0.003234815</v>
      </c>
      <c r="AW45" s="4">
        <f t="shared" si="22"/>
        <v>0</v>
      </c>
      <c r="AX45" s="192">
        <f t="shared" si="23"/>
        <v>0.816755673</v>
      </c>
      <c r="AY45" s="179">
        <f t="shared" si="24"/>
        <v>-0.5348606865</v>
      </c>
      <c r="AZ45" s="4">
        <v>42.0</v>
      </c>
      <c r="BA45" s="193">
        <v>0.340855062</v>
      </c>
      <c r="BB45" s="193">
        <v>0.037485081</v>
      </c>
      <c r="BC45" s="4">
        <f t="shared" si="25"/>
        <v>0</v>
      </c>
      <c r="BD45" s="193">
        <v>-2.29824E-4</v>
      </c>
      <c r="BE45" s="193">
        <v>0.001093777</v>
      </c>
      <c r="BF45" s="4">
        <f t="shared" si="26"/>
        <v>1</v>
      </c>
      <c r="BG45" s="192">
        <f t="shared" si="27"/>
        <v>0.340625238</v>
      </c>
      <c r="BH45" s="179">
        <f t="shared" si="28"/>
        <v>0.06747121891</v>
      </c>
      <c r="BI45" s="193">
        <v>0.460468292</v>
      </c>
      <c r="BJ45" s="193">
        <v>0.050909792</v>
      </c>
      <c r="BK45" s="4">
        <f t="shared" si="29"/>
        <v>0</v>
      </c>
      <c r="BL45" s="193">
        <v>-0.009470907</v>
      </c>
      <c r="BM45" s="193">
        <v>0.004790141</v>
      </c>
      <c r="BN45" s="4">
        <f t="shared" si="30"/>
        <v>0</v>
      </c>
      <c r="BO45" s="192">
        <f t="shared" si="31"/>
        <v>0.450997385</v>
      </c>
      <c r="BP45" s="179">
        <f t="shared" si="32"/>
        <v>2.099991555</v>
      </c>
    </row>
    <row r="46">
      <c r="A46" s="4">
        <v>43.0</v>
      </c>
      <c r="B46" s="188">
        <v>0.03202913</v>
      </c>
      <c r="C46" s="188">
        <v>6.03055E-4</v>
      </c>
      <c r="D46" s="4">
        <f t="shared" si="1"/>
        <v>0</v>
      </c>
      <c r="E46" s="188">
        <v>-1.98823E-4</v>
      </c>
      <c r="F46" s="188">
        <v>1.03381E-4</v>
      </c>
      <c r="G46" s="4">
        <f t="shared" si="2"/>
        <v>0</v>
      </c>
      <c r="H46" s="189">
        <f t="shared" si="3"/>
        <v>0.031830307</v>
      </c>
      <c r="I46" s="179">
        <f t="shared" si="4"/>
        <v>0.6246342519</v>
      </c>
      <c r="J46" s="188">
        <v>0.006062301</v>
      </c>
      <c r="K46" s="188">
        <v>3.43691E-4</v>
      </c>
      <c r="L46" s="4">
        <f t="shared" si="5"/>
        <v>0</v>
      </c>
      <c r="M46" s="188">
        <v>-4.95978E-4</v>
      </c>
      <c r="N46" s="188">
        <v>1.17956E-4</v>
      </c>
      <c r="O46" s="4">
        <f t="shared" si="6"/>
        <v>0</v>
      </c>
      <c r="P46" s="189">
        <f t="shared" si="7"/>
        <v>0.005566323</v>
      </c>
      <c r="Q46" s="179">
        <f t="shared" si="8"/>
        <v>8.910334524</v>
      </c>
      <c r="R46" s="4">
        <v>43.0</v>
      </c>
      <c r="S46" s="188">
        <v>0.007804156</v>
      </c>
      <c r="T46" s="188">
        <v>1.63679E-4</v>
      </c>
      <c r="U46" s="4">
        <f t="shared" si="9"/>
        <v>0</v>
      </c>
      <c r="V46" s="188">
        <v>-2.91219E-4</v>
      </c>
      <c r="W46" s="188">
        <v>5.2622E-5</v>
      </c>
      <c r="X46" s="4">
        <f t="shared" si="10"/>
        <v>0</v>
      </c>
      <c r="Y46" s="189">
        <f t="shared" si="11"/>
        <v>0.007512937</v>
      </c>
      <c r="Z46" s="179">
        <f t="shared" si="12"/>
        <v>3.876233755</v>
      </c>
      <c r="AA46" s="188">
        <v>0.002375815</v>
      </c>
      <c r="AB46" s="188">
        <v>1.33771E-4</v>
      </c>
      <c r="AC46" s="4">
        <f t="shared" si="13"/>
        <v>0</v>
      </c>
      <c r="AD46" s="188">
        <v>-2.55844E-4</v>
      </c>
      <c r="AE46" s="188">
        <v>5.3835E-5</v>
      </c>
      <c r="AF46" s="4">
        <f t="shared" si="14"/>
        <v>0</v>
      </c>
      <c r="AG46" s="189">
        <f t="shared" si="15"/>
        <v>0.002119971</v>
      </c>
      <c r="AH46" s="196">
        <f t="shared" si="16"/>
        <v>12.06827829</v>
      </c>
      <c r="AI46" s="4">
        <v>43.0</v>
      </c>
      <c r="AJ46" s="190">
        <v>0.002413584</v>
      </c>
      <c r="AK46" s="190">
        <v>5.8605E-5</v>
      </c>
      <c r="AL46" s="4">
        <f t="shared" si="17"/>
        <v>0</v>
      </c>
      <c r="AM46" s="190">
        <v>-1.92951E-4</v>
      </c>
      <c r="AN46" s="190">
        <v>3.2033E-5</v>
      </c>
      <c r="AO46" s="4">
        <f t="shared" si="18"/>
        <v>0</v>
      </c>
      <c r="AP46" s="191">
        <f t="shared" si="19"/>
        <v>0.002220633</v>
      </c>
      <c r="AQ46" s="179">
        <f t="shared" si="20"/>
        <v>8.689008945</v>
      </c>
      <c r="AR46" s="193">
        <v>0.001025623</v>
      </c>
      <c r="AS46" s="193">
        <v>5.7514E-5</v>
      </c>
      <c r="AT46" s="4">
        <f t="shared" si="21"/>
        <v>0</v>
      </c>
      <c r="AU46" s="193">
        <v>-2.86324E-4</v>
      </c>
      <c r="AV46" s="193">
        <v>4.4267E-5</v>
      </c>
      <c r="AW46" s="4">
        <f t="shared" si="22"/>
        <v>0</v>
      </c>
      <c r="AX46" s="192">
        <f t="shared" si="23"/>
        <v>0.000739299</v>
      </c>
      <c r="AY46" s="196">
        <f t="shared" si="24"/>
        <v>38.72912042</v>
      </c>
      <c r="AZ46" s="4">
        <v>43.0</v>
      </c>
      <c r="BA46" s="193">
        <v>9.63422E-4</v>
      </c>
      <c r="BB46" s="193">
        <v>2.5634E-5</v>
      </c>
      <c r="BC46" s="4">
        <f t="shared" si="25"/>
        <v>0</v>
      </c>
      <c r="BD46" s="193">
        <v>-1.6156E-4</v>
      </c>
      <c r="BE46" s="193">
        <v>2.2761E-5</v>
      </c>
      <c r="BF46" s="4">
        <f t="shared" si="26"/>
        <v>0</v>
      </c>
      <c r="BG46" s="192">
        <f t="shared" si="27"/>
        <v>0.000801862</v>
      </c>
      <c r="BH46" s="196">
        <f t="shared" si="28"/>
        <v>20.14810528</v>
      </c>
      <c r="BI46" s="193">
        <v>5.18612E-4</v>
      </c>
      <c r="BJ46" s="193">
        <v>2.6436E-5</v>
      </c>
      <c r="BK46" s="4">
        <f t="shared" si="29"/>
        <v>0</v>
      </c>
      <c r="BL46" s="193">
        <v>-1.33162E-4</v>
      </c>
      <c r="BM46" s="193">
        <v>2.7796E-5</v>
      </c>
      <c r="BN46" s="4">
        <f t="shared" si="30"/>
        <v>0</v>
      </c>
      <c r="BO46" s="192">
        <f t="shared" si="31"/>
        <v>0.00038545</v>
      </c>
      <c r="BP46" s="196">
        <f t="shared" si="32"/>
        <v>34.54715268</v>
      </c>
    </row>
    <row r="47">
      <c r="A47" s="4">
        <v>44.0</v>
      </c>
      <c r="B47" s="188">
        <v>0.214799166</v>
      </c>
      <c r="C47" s="188">
        <v>0.005775725</v>
      </c>
      <c r="D47" s="4">
        <f t="shared" si="1"/>
        <v>0</v>
      </c>
      <c r="E47" s="188">
        <v>-8.22747E-4</v>
      </c>
      <c r="F47" s="188">
        <v>2.81976E-4</v>
      </c>
      <c r="G47" s="4">
        <f t="shared" si="2"/>
        <v>0</v>
      </c>
      <c r="H47" s="189">
        <f t="shared" si="3"/>
        <v>0.213976419</v>
      </c>
      <c r="I47" s="179">
        <f t="shared" si="4"/>
        <v>0.384503584</v>
      </c>
      <c r="J47" s="188">
        <v>0.131138295</v>
      </c>
      <c r="K47" s="188">
        <v>0.006023101</v>
      </c>
      <c r="L47" s="4">
        <f t="shared" si="5"/>
        <v>0</v>
      </c>
      <c r="M47" s="188">
        <v>-0.002456473</v>
      </c>
      <c r="N47" s="188">
        <v>4.48636E-4</v>
      </c>
      <c r="O47" s="4">
        <f t="shared" si="6"/>
        <v>0</v>
      </c>
      <c r="P47" s="189">
        <f t="shared" si="7"/>
        <v>0.128681822</v>
      </c>
      <c r="Q47" s="179">
        <f t="shared" si="8"/>
        <v>1.908951056</v>
      </c>
      <c r="R47" s="4">
        <v>44.0</v>
      </c>
      <c r="S47" s="188">
        <v>0.045071214</v>
      </c>
      <c r="T47" s="188">
        <v>0.001493867</v>
      </c>
      <c r="U47" s="4">
        <f t="shared" si="9"/>
        <v>0</v>
      </c>
      <c r="V47" s="188">
        <v>-2.31551E-4</v>
      </c>
      <c r="W47" s="188">
        <v>1.25555E-4</v>
      </c>
      <c r="X47" s="4">
        <f t="shared" si="10"/>
        <v>0</v>
      </c>
      <c r="Y47" s="189">
        <f t="shared" si="11"/>
        <v>0.044839663</v>
      </c>
      <c r="Z47" s="179">
        <f t="shared" si="12"/>
        <v>0.5163977258</v>
      </c>
      <c r="AA47" s="188">
        <v>0.050580934</v>
      </c>
      <c r="AB47" s="188">
        <v>0.002078687</v>
      </c>
      <c r="AC47" s="4">
        <f t="shared" si="13"/>
        <v>0</v>
      </c>
      <c r="AD47" s="188">
        <v>-7.09763E-4</v>
      </c>
      <c r="AE47" s="188">
        <v>1.8043E-4</v>
      </c>
      <c r="AF47" s="4">
        <f t="shared" si="14"/>
        <v>0</v>
      </c>
      <c r="AG47" s="189">
        <f t="shared" si="15"/>
        <v>0.049871171</v>
      </c>
      <c r="AH47" s="179">
        <f t="shared" si="16"/>
        <v>1.423192971</v>
      </c>
      <c r="AI47" s="4">
        <v>44.0</v>
      </c>
      <c r="AJ47" s="190">
        <v>0.013773038</v>
      </c>
      <c r="AK47" s="190">
        <v>5.35852E-4</v>
      </c>
      <c r="AL47" s="4">
        <f t="shared" si="17"/>
        <v>0</v>
      </c>
      <c r="AM47" s="190">
        <v>-4.18035E-4</v>
      </c>
      <c r="AN47" s="190">
        <v>9.4548E-5</v>
      </c>
      <c r="AO47" s="4">
        <f t="shared" si="18"/>
        <v>0</v>
      </c>
      <c r="AP47" s="191">
        <f t="shared" si="19"/>
        <v>0.013355003</v>
      </c>
      <c r="AQ47" s="179">
        <f t="shared" si="20"/>
        <v>3.130175261</v>
      </c>
      <c r="AR47" s="193">
        <v>0.021997035</v>
      </c>
      <c r="AS47" s="193">
        <v>8.97239E-4</v>
      </c>
      <c r="AT47" s="4">
        <f t="shared" si="21"/>
        <v>0</v>
      </c>
      <c r="AU47" s="193">
        <v>-7.7325E-4</v>
      </c>
      <c r="AV47" s="193">
        <v>1.74539E-4</v>
      </c>
      <c r="AW47" s="4">
        <f t="shared" si="22"/>
        <v>0</v>
      </c>
      <c r="AX47" s="192">
        <f t="shared" si="23"/>
        <v>0.021223785</v>
      </c>
      <c r="AY47" s="179">
        <f t="shared" si="24"/>
        <v>3.643318098</v>
      </c>
      <c r="AZ47" s="4">
        <v>44.0</v>
      </c>
      <c r="BA47" s="193">
        <v>0.005082145</v>
      </c>
      <c r="BB47" s="193">
        <v>2.25369E-4</v>
      </c>
      <c r="BC47" s="4">
        <f t="shared" si="25"/>
        <v>0</v>
      </c>
      <c r="BD47" s="193">
        <v>-1.72613E-4</v>
      </c>
      <c r="BE47" s="193">
        <v>5.617E-5</v>
      </c>
      <c r="BF47" s="4">
        <f t="shared" si="26"/>
        <v>0</v>
      </c>
      <c r="BG47" s="192">
        <f t="shared" si="27"/>
        <v>0.004909532</v>
      </c>
      <c r="BH47" s="179">
        <f t="shared" si="28"/>
        <v>3.515874833</v>
      </c>
      <c r="BI47" s="193">
        <v>0.011048852</v>
      </c>
      <c r="BJ47" s="193">
        <v>4.38915E-4</v>
      </c>
      <c r="BK47" s="4">
        <f t="shared" si="29"/>
        <v>0</v>
      </c>
      <c r="BL47" s="193">
        <v>-3.94989E-4</v>
      </c>
      <c r="BM47" s="193">
        <v>1.00525E-4</v>
      </c>
      <c r="BN47" s="4">
        <f t="shared" si="30"/>
        <v>0</v>
      </c>
      <c r="BO47" s="192">
        <f t="shared" si="31"/>
        <v>0.010653863</v>
      </c>
      <c r="BP47" s="179">
        <f t="shared" si="32"/>
        <v>3.707472116</v>
      </c>
    </row>
    <row r="48">
      <c r="A48" s="4">
        <v>45.0</v>
      </c>
      <c r="B48" s="188">
        <v>1.28064394</v>
      </c>
      <c r="C48" s="188">
        <v>0.049741891</v>
      </c>
      <c r="D48" s="4">
        <f t="shared" si="1"/>
        <v>0</v>
      </c>
      <c r="E48" s="188">
        <v>-4.09972E-4</v>
      </c>
      <c r="F48" s="188">
        <v>0.001502457</v>
      </c>
      <c r="G48" s="4">
        <f t="shared" si="2"/>
        <v>1</v>
      </c>
      <c r="H48" s="189">
        <f t="shared" si="3"/>
        <v>1.280233968</v>
      </c>
      <c r="I48" s="179">
        <f t="shared" si="4"/>
        <v>0.03202320906</v>
      </c>
      <c r="J48" s="188">
        <v>1.065917253</v>
      </c>
      <c r="K48" s="188">
        <v>0.059098112</v>
      </c>
      <c r="L48" s="4">
        <f t="shared" si="5"/>
        <v>0</v>
      </c>
      <c r="M48" s="188">
        <v>-0.003698471</v>
      </c>
      <c r="N48" s="188">
        <v>0.001844594</v>
      </c>
      <c r="O48" s="4">
        <f t="shared" si="6"/>
        <v>0</v>
      </c>
      <c r="P48" s="189">
        <f t="shared" si="7"/>
        <v>1.062218782</v>
      </c>
      <c r="Q48" s="179">
        <f t="shared" si="8"/>
        <v>0.348183544</v>
      </c>
      <c r="R48" s="4">
        <v>45.0</v>
      </c>
      <c r="S48" s="188">
        <v>0.289413571</v>
      </c>
      <c r="T48" s="188">
        <v>0.013198308</v>
      </c>
      <c r="U48" s="4">
        <f t="shared" si="9"/>
        <v>0</v>
      </c>
      <c r="V48" s="188">
        <v>-0.001061611</v>
      </c>
      <c r="W48" s="188">
        <v>5.42004E-4</v>
      </c>
      <c r="X48" s="4">
        <f t="shared" si="10"/>
        <v>0</v>
      </c>
      <c r="Y48" s="189">
        <f t="shared" si="11"/>
        <v>0.28835196</v>
      </c>
      <c r="Z48" s="179">
        <f t="shared" si="12"/>
        <v>0.3681650022</v>
      </c>
      <c r="AA48" s="188">
        <v>0.349224061</v>
      </c>
      <c r="AB48" s="188">
        <v>0.018523963</v>
      </c>
      <c r="AC48" s="4">
        <f t="shared" si="13"/>
        <v>0</v>
      </c>
      <c r="AD48" s="188">
        <v>-0.004434813</v>
      </c>
      <c r="AE48" s="188">
        <v>0.001301373</v>
      </c>
      <c r="AF48" s="4">
        <f t="shared" si="14"/>
        <v>0</v>
      </c>
      <c r="AG48" s="189">
        <f t="shared" si="15"/>
        <v>0.344789248</v>
      </c>
      <c r="AH48" s="179">
        <f t="shared" si="16"/>
        <v>1.286238775</v>
      </c>
      <c r="AI48" s="4">
        <v>45.0</v>
      </c>
      <c r="AJ48" s="190">
        <v>0.113694608</v>
      </c>
      <c r="AK48" s="190">
        <v>0.005502226</v>
      </c>
      <c r="AL48" s="4">
        <f t="shared" si="17"/>
        <v>0</v>
      </c>
      <c r="AM48" s="190">
        <v>-3.31481E-4</v>
      </c>
      <c r="AN48" s="190">
        <v>4.52534E-4</v>
      </c>
      <c r="AO48" s="4">
        <f t="shared" si="18"/>
        <v>1</v>
      </c>
      <c r="AP48" s="191">
        <f t="shared" si="19"/>
        <v>0.113363127</v>
      </c>
      <c r="AQ48" s="179">
        <f t="shared" si="20"/>
        <v>0.292406366</v>
      </c>
      <c r="AR48" s="193">
        <v>0.168067604</v>
      </c>
      <c r="AS48" s="193">
        <v>0.008646906</v>
      </c>
      <c r="AT48" s="4">
        <f t="shared" si="21"/>
        <v>0</v>
      </c>
      <c r="AU48" s="193">
        <v>-0.00227628</v>
      </c>
      <c r="AV48" s="193">
        <v>7.45538E-4</v>
      </c>
      <c r="AW48" s="4">
        <f t="shared" si="22"/>
        <v>0</v>
      </c>
      <c r="AX48" s="192">
        <f t="shared" si="23"/>
        <v>0.165791324</v>
      </c>
      <c r="AY48" s="179">
        <f t="shared" si="24"/>
        <v>1.372978962</v>
      </c>
      <c r="AZ48" s="4">
        <v>45.0</v>
      </c>
      <c r="BA48" s="193">
        <v>0.039875381</v>
      </c>
      <c r="BB48" s="193">
        <v>0.002254363</v>
      </c>
      <c r="BC48" s="4">
        <f t="shared" si="25"/>
        <v>0</v>
      </c>
      <c r="BD48" s="193">
        <v>-8.8047E-5</v>
      </c>
      <c r="BE48" s="193">
        <v>2.71213E-4</v>
      </c>
      <c r="BF48" s="4">
        <f t="shared" si="26"/>
        <v>1</v>
      </c>
      <c r="BG48" s="192">
        <f t="shared" si="27"/>
        <v>0.039787334</v>
      </c>
      <c r="BH48" s="179">
        <f t="shared" si="28"/>
        <v>0.221294043</v>
      </c>
      <c r="BI48" s="193">
        <v>0.090799995</v>
      </c>
      <c r="BJ48" s="193">
        <v>0.004452531</v>
      </c>
      <c r="BK48" s="4">
        <f t="shared" si="29"/>
        <v>0</v>
      </c>
      <c r="BL48" s="193">
        <v>-0.001219008</v>
      </c>
      <c r="BM48" s="193">
        <v>4.99348E-4</v>
      </c>
      <c r="BN48" s="4">
        <f t="shared" si="30"/>
        <v>0</v>
      </c>
      <c r="BO48" s="192">
        <f t="shared" si="31"/>
        <v>0.089580987</v>
      </c>
      <c r="BP48" s="179">
        <f t="shared" si="32"/>
        <v>1.360788758</v>
      </c>
    </row>
    <row r="49">
      <c r="A49" s="4">
        <v>46.0</v>
      </c>
      <c r="B49" s="188">
        <v>3.550900936</v>
      </c>
      <c r="C49" s="188">
        <v>0.190377238</v>
      </c>
      <c r="D49" s="4">
        <f t="shared" si="1"/>
        <v>0</v>
      </c>
      <c r="E49" s="188">
        <v>-9.95696E-4</v>
      </c>
      <c r="F49" s="188">
        <v>0.001697817</v>
      </c>
      <c r="G49" s="4">
        <f t="shared" si="2"/>
        <v>1</v>
      </c>
      <c r="H49" s="189">
        <f t="shared" si="3"/>
        <v>3.54990524</v>
      </c>
      <c r="I49" s="179">
        <f t="shared" si="4"/>
        <v>0.02804852335</v>
      </c>
      <c r="J49" s="188">
        <v>2.849559784</v>
      </c>
      <c r="K49" s="188">
        <v>0.217417719</v>
      </c>
      <c r="L49" s="4">
        <f t="shared" si="5"/>
        <v>0</v>
      </c>
      <c r="M49" s="188">
        <v>-0.014233815</v>
      </c>
      <c r="N49" s="188">
        <v>0.0044433</v>
      </c>
      <c r="O49" s="4">
        <f t="shared" si="6"/>
        <v>0</v>
      </c>
      <c r="P49" s="189">
        <f t="shared" si="7"/>
        <v>2.835325969</v>
      </c>
      <c r="Q49" s="179">
        <f t="shared" si="8"/>
        <v>0.5020168811</v>
      </c>
      <c r="R49" s="4">
        <v>46.0</v>
      </c>
      <c r="S49" s="188">
        <v>1.001313925</v>
      </c>
      <c r="T49" s="188">
        <v>0.056763649</v>
      </c>
      <c r="U49" s="4">
        <f t="shared" si="9"/>
        <v>0</v>
      </c>
      <c r="V49" s="188">
        <v>-0.001829612</v>
      </c>
      <c r="W49" s="188">
        <v>9.30134E-4</v>
      </c>
      <c r="X49" s="4">
        <f t="shared" si="10"/>
        <v>0</v>
      </c>
      <c r="Y49" s="189">
        <f t="shared" si="11"/>
        <v>0.999484313</v>
      </c>
      <c r="Z49" s="179">
        <f t="shared" si="12"/>
        <v>0.1830555994</v>
      </c>
      <c r="AA49" s="188">
        <v>1.07993722</v>
      </c>
      <c r="AB49" s="188">
        <v>0.074360741</v>
      </c>
      <c r="AC49" s="4">
        <f t="shared" si="13"/>
        <v>0</v>
      </c>
      <c r="AD49" s="188">
        <v>-0.006800666</v>
      </c>
      <c r="AE49" s="188">
        <v>0.002493792</v>
      </c>
      <c r="AF49" s="4">
        <f t="shared" si="14"/>
        <v>0</v>
      </c>
      <c r="AG49" s="189">
        <f t="shared" si="15"/>
        <v>1.073136554</v>
      </c>
      <c r="AH49" s="179">
        <f t="shared" si="16"/>
        <v>0.633718605</v>
      </c>
      <c r="AI49" s="4">
        <v>46.0</v>
      </c>
      <c r="AJ49" s="190">
        <v>0.372483313</v>
      </c>
      <c r="AK49" s="190">
        <v>0.022687368</v>
      </c>
      <c r="AL49" s="4">
        <f t="shared" si="17"/>
        <v>0</v>
      </c>
      <c r="AM49" s="190">
        <v>-4.26255E-4</v>
      </c>
      <c r="AN49" s="190">
        <v>5.52278E-4</v>
      </c>
      <c r="AO49" s="4">
        <f t="shared" si="18"/>
        <v>1</v>
      </c>
      <c r="AP49" s="191">
        <f t="shared" si="19"/>
        <v>0.372057058</v>
      </c>
      <c r="AQ49" s="179">
        <f t="shared" si="20"/>
        <v>0.1145671049</v>
      </c>
      <c r="AR49" s="193">
        <v>0.514057159</v>
      </c>
      <c r="AS49" s="193">
        <v>0.033806979</v>
      </c>
      <c r="AT49" s="4">
        <f t="shared" si="21"/>
        <v>0</v>
      </c>
      <c r="AU49" s="193">
        <v>-0.002718517</v>
      </c>
      <c r="AV49" s="193">
        <v>0.001848598</v>
      </c>
      <c r="AW49" s="4">
        <f t="shared" si="22"/>
        <v>0</v>
      </c>
      <c r="AX49" s="192">
        <f t="shared" si="23"/>
        <v>0.511338642</v>
      </c>
      <c r="AY49" s="179">
        <f t="shared" si="24"/>
        <v>0.531647088</v>
      </c>
      <c r="AZ49" s="4">
        <v>46.0</v>
      </c>
      <c r="BA49" s="193">
        <v>0.163309932</v>
      </c>
      <c r="BB49" s="193">
        <v>0.01050543</v>
      </c>
      <c r="BC49" s="4">
        <f t="shared" si="25"/>
        <v>0</v>
      </c>
      <c r="BD49" s="193">
        <v>-0.001077061</v>
      </c>
      <c r="BE49" s="193">
        <v>6.76458E-4</v>
      </c>
      <c r="BF49" s="4">
        <f t="shared" si="26"/>
        <v>0</v>
      </c>
      <c r="BG49" s="192">
        <f t="shared" si="27"/>
        <v>0.162232871</v>
      </c>
      <c r="BH49" s="179">
        <f t="shared" si="28"/>
        <v>0.663898132</v>
      </c>
      <c r="BI49" s="193">
        <v>0.25768736</v>
      </c>
      <c r="BJ49" s="193">
        <v>0.016268247</v>
      </c>
      <c r="BK49" s="4">
        <f t="shared" si="29"/>
        <v>0</v>
      </c>
      <c r="BL49" s="193">
        <v>-0.002507438</v>
      </c>
      <c r="BM49" s="193">
        <v>0.001307039</v>
      </c>
      <c r="BN49" s="4">
        <f t="shared" si="30"/>
        <v>0</v>
      </c>
      <c r="BO49" s="192">
        <f t="shared" si="31"/>
        <v>0.255179922</v>
      </c>
      <c r="BP49" s="179">
        <f t="shared" si="32"/>
        <v>0.9826157091</v>
      </c>
    </row>
    <row r="50">
      <c r="A50" s="4">
        <v>47.0</v>
      </c>
      <c r="B50" s="188">
        <v>8.215130806</v>
      </c>
      <c r="C50" s="188">
        <v>0.528705799</v>
      </c>
      <c r="D50" s="4">
        <f t="shared" si="1"/>
        <v>0</v>
      </c>
      <c r="E50" s="188">
        <v>0.004336015</v>
      </c>
      <c r="F50" s="188">
        <v>0.003076415</v>
      </c>
      <c r="G50" s="4">
        <f t="shared" si="2"/>
        <v>0</v>
      </c>
      <c r="H50" s="189">
        <f t="shared" si="3"/>
        <v>8.219466821</v>
      </c>
      <c r="I50" s="179">
        <f t="shared" si="4"/>
        <v>-0.05275299596</v>
      </c>
      <c r="J50" s="188">
        <v>7.125392437</v>
      </c>
      <c r="K50" s="188">
        <v>0.614165974</v>
      </c>
      <c r="L50" s="4">
        <f t="shared" si="5"/>
        <v>0</v>
      </c>
      <c r="M50" s="188">
        <v>-0.020252552</v>
      </c>
      <c r="N50" s="188">
        <v>0.009301345</v>
      </c>
      <c r="O50" s="4">
        <f t="shared" si="6"/>
        <v>0</v>
      </c>
      <c r="P50" s="189">
        <f t="shared" si="7"/>
        <v>7.105139885</v>
      </c>
      <c r="Q50" s="179">
        <f t="shared" si="8"/>
        <v>0.2850408624</v>
      </c>
      <c r="R50" s="4">
        <v>47.0</v>
      </c>
      <c r="S50" s="188">
        <v>2.621964931</v>
      </c>
      <c r="T50" s="188">
        <v>0.174158779</v>
      </c>
      <c r="U50" s="4">
        <f t="shared" si="9"/>
        <v>0</v>
      </c>
      <c r="V50" s="188">
        <v>-0.002688901</v>
      </c>
      <c r="W50" s="188">
        <v>0.001623169</v>
      </c>
      <c r="X50" s="4">
        <f t="shared" si="10"/>
        <v>0</v>
      </c>
      <c r="Y50" s="189">
        <f t="shared" si="11"/>
        <v>2.61927603</v>
      </c>
      <c r="Z50" s="179">
        <f t="shared" si="12"/>
        <v>0.1026581761</v>
      </c>
      <c r="AA50" s="188">
        <v>2.563174725</v>
      </c>
      <c r="AB50" s="188">
        <v>0.210509454</v>
      </c>
      <c r="AC50" s="4">
        <f t="shared" si="13"/>
        <v>0</v>
      </c>
      <c r="AD50" s="188">
        <v>-0.014891891</v>
      </c>
      <c r="AE50" s="188">
        <v>0.004799624</v>
      </c>
      <c r="AF50" s="4">
        <f t="shared" si="14"/>
        <v>0</v>
      </c>
      <c r="AG50" s="189">
        <f t="shared" si="15"/>
        <v>2.548282834</v>
      </c>
      <c r="AH50" s="179">
        <f t="shared" si="16"/>
        <v>0.5843892523</v>
      </c>
      <c r="AI50" s="4">
        <v>47.0</v>
      </c>
      <c r="AJ50" s="190">
        <v>1.055121183</v>
      </c>
      <c r="AK50" s="190">
        <v>0.071676034</v>
      </c>
      <c r="AL50" s="4">
        <f t="shared" si="17"/>
        <v>0</v>
      </c>
      <c r="AM50" s="190">
        <v>-0.001590083</v>
      </c>
      <c r="AN50" s="190">
        <v>0.001449857</v>
      </c>
      <c r="AO50" s="4">
        <f t="shared" si="18"/>
        <v>0</v>
      </c>
      <c r="AP50" s="191">
        <f t="shared" si="19"/>
        <v>1.0535311</v>
      </c>
      <c r="AQ50" s="179">
        <f t="shared" si="20"/>
        <v>0.1509289095</v>
      </c>
      <c r="AR50" s="193">
        <v>1.248802781</v>
      </c>
      <c r="AS50" s="193">
        <v>0.094956755</v>
      </c>
      <c r="AT50" s="4">
        <f t="shared" si="21"/>
        <v>0</v>
      </c>
      <c r="AU50" s="193">
        <v>-0.003809267</v>
      </c>
      <c r="AV50" s="193">
        <v>0.003687799</v>
      </c>
      <c r="AW50" s="4">
        <f t="shared" si="22"/>
        <v>0</v>
      </c>
      <c r="AX50" s="192">
        <f t="shared" si="23"/>
        <v>1.244993514</v>
      </c>
      <c r="AY50" s="179">
        <f t="shared" si="24"/>
        <v>0.3059668149</v>
      </c>
      <c r="AZ50" s="4">
        <v>47.0</v>
      </c>
      <c r="BA50" s="193">
        <v>0.434433937</v>
      </c>
      <c r="BB50" s="193">
        <v>0.031148798</v>
      </c>
      <c r="BC50" s="4">
        <f t="shared" si="25"/>
        <v>0</v>
      </c>
      <c r="BD50" s="193">
        <v>-0.002108251</v>
      </c>
      <c r="BE50" s="193">
        <v>9.87289E-4</v>
      </c>
      <c r="BF50" s="4">
        <f t="shared" si="26"/>
        <v>0</v>
      </c>
      <c r="BG50" s="192">
        <f t="shared" si="27"/>
        <v>0.432325686</v>
      </c>
      <c r="BH50" s="179">
        <f t="shared" si="28"/>
        <v>0.4876534215</v>
      </c>
      <c r="BI50" s="193">
        <v>0.579486191</v>
      </c>
      <c r="BJ50" s="193">
        <v>0.044108199</v>
      </c>
      <c r="BK50" s="4">
        <f t="shared" si="29"/>
        <v>0</v>
      </c>
      <c r="BL50" s="193">
        <v>-0.002312355</v>
      </c>
      <c r="BM50" s="193">
        <v>0.001496083</v>
      </c>
      <c r="BN50" s="4">
        <f t="shared" si="30"/>
        <v>0</v>
      </c>
      <c r="BO50" s="192">
        <f t="shared" si="31"/>
        <v>0.577173836</v>
      </c>
      <c r="BP50" s="179">
        <f t="shared" si="32"/>
        <v>0.4006340648</v>
      </c>
    </row>
    <row r="51">
      <c r="A51" s="4">
        <v>48.0</v>
      </c>
      <c r="B51" s="188">
        <v>12.983317375</v>
      </c>
      <c r="C51" s="188">
        <v>1.097777182</v>
      </c>
      <c r="D51" s="4">
        <f t="shared" si="1"/>
        <v>0</v>
      </c>
      <c r="E51" s="188">
        <v>-0.005397814</v>
      </c>
      <c r="F51" s="188">
        <v>0.003824455</v>
      </c>
      <c r="G51" s="4">
        <f t="shared" si="2"/>
        <v>0</v>
      </c>
      <c r="H51" s="189">
        <f t="shared" si="3"/>
        <v>12.97791956</v>
      </c>
      <c r="I51" s="179">
        <f t="shared" si="4"/>
        <v>0.04159229046</v>
      </c>
      <c r="J51" s="188">
        <v>13.448781967</v>
      </c>
      <c r="K51" s="188">
        <v>1.416507067</v>
      </c>
      <c r="L51" s="4">
        <f t="shared" si="5"/>
        <v>0</v>
      </c>
      <c r="M51" s="188">
        <v>-0.016304057</v>
      </c>
      <c r="N51" s="188">
        <v>0.015424997</v>
      </c>
      <c r="O51" s="4">
        <f t="shared" si="6"/>
        <v>0</v>
      </c>
      <c r="P51" s="189">
        <f t="shared" si="7"/>
        <v>13.43247791</v>
      </c>
      <c r="Q51" s="179">
        <f t="shared" si="8"/>
        <v>0.1213778806</v>
      </c>
      <c r="R51" s="4">
        <v>48.0</v>
      </c>
      <c r="S51" s="188">
        <v>5.146748066</v>
      </c>
      <c r="T51" s="188">
        <v>0.40556638</v>
      </c>
      <c r="U51" s="4">
        <f t="shared" si="9"/>
        <v>0</v>
      </c>
      <c r="V51" s="188">
        <v>0.001908753</v>
      </c>
      <c r="W51" s="188">
        <v>0.004877982</v>
      </c>
      <c r="X51" s="4">
        <f t="shared" si="10"/>
        <v>1</v>
      </c>
      <c r="Y51" s="189">
        <f t="shared" si="11"/>
        <v>5.148656819</v>
      </c>
      <c r="Z51" s="179">
        <f t="shared" si="12"/>
        <v>-0.03707283408</v>
      </c>
      <c r="AA51" s="188">
        <v>5.134371758</v>
      </c>
      <c r="AB51" s="188">
        <v>0.533128687</v>
      </c>
      <c r="AC51" s="4">
        <f t="shared" si="13"/>
        <v>0</v>
      </c>
      <c r="AD51" s="188">
        <v>-0.006545902</v>
      </c>
      <c r="AE51" s="188">
        <v>0.00619441</v>
      </c>
      <c r="AF51" s="4">
        <f t="shared" si="14"/>
        <v>0</v>
      </c>
      <c r="AG51" s="189">
        <f t="shared" si="15"/>
        <v>5.127825856</v>
      </c>
      <c r="AH51" s="179">
        <f t="shared" si="16"/>
        <v>0.1276545301</v>
      </c>
      <c r="AI51" s="4">
        <v>48.0</v>
      </c>
      <c r="AJ51" s="190">
        <v>1.94228518</v>
      </c>
      <c r="AK51" s="190">
        <v>0.155270644</v>
      </c>
      <c r="AL51" s="4">
        <f t="shared" si="17"/>
        <v>0</v>
      </c>
      <c r="AM51" s="190">
        <v>-0.002127408</v>
      </c>
      <c r="AN51" s="190">
        <v>0.001231411</v>
      </c>
      <c r="AO51" s="4">
        <f t="shared" si="18"/>
        <v>0</v>
      </c>
      <c r="AP51" s="191">
        <f t="shared" si="19"/>
        <v>1.940157772</v>
      </c>
      <c r="AQ51" s="179">
        <f t="shared" si="20"/>
        <v>0.1096512887</v>
      </c>
      <c r="AR51" s="193">
        <v>2.059841394</v>
      </c>
      <c r="AS51" s="193">
        <v>0.205599765</v>
      </c>
      <c r="AT51" s="4">
        <f t="shared" si="21"/>
        <v>0</v>
      </c>
      <c r="AU51" s="193">
        <v>-0.010007732</v>
      </c>
      <c r="AV51" s="193">
        <v>0.005423244</v>
      </c>
      <c r="AW51" s="4">
        <f t="shared" si="22"/>
        <v>0</v>
      </c>
      <c r="AX51" s="192">
        <f t="shared" si="23"/>
        <v>2.049833662</v>
      </c>
      <c r="AY51" s="179">
        <f t="shared" si="24"/>
        <v>0.4882216633</v>
      </c>
      <c r="AZ51" s="4">
        <v>48.0</v>
      </c>
      <c r="BA51" s="193">
        <v>1.082056522</v>
      </c>
      <c r="BB51" s="193">
        <v>0.08202036</v>
      </c>
      <c r="BC51" s="4">
        <f t="shared" si="25"/>
        <v>0</v>
      </c>
      <c r="BD51" s="193">
        <v>-0.001610184</v>
      </c>
      <c r="BE51" s="193">
        <v>0.001793801</v>
      </c>
      <c r="BF51" s="4">
        <f t="shared" si="26"/>
        <v>1</v>
      </c>
      <c r="BG51" s="192">
        <f t="shared" si="27"/>
        <v>1.080446338</v>
      </c>
      <c r="BH51" s="179">
        <f t="shared" si="28"/>
        <v>0.1490295208</v>
      </c>
      <c r="BI51" s="193">
        <v>0.997661829</v>
      </c>
      <c r="BJ51" s="193">
        <v>0.098735576</v>
      </c>
      <c r="BK51" s="4">
        <f t="shared" si="29"/>
        <v>0</v>
      </c>
      <c r="BL51" s="193">
        <v>-0.002015813</v>
      </c>
      <c r="BM51" s="193">
        <v>0.00235475</v>
      </c>
      <c r="BN51" s="4">
        <f t="shared" si="30"/>
        <v>1</v>
      </c>
      <c r="BO51" s="192">
        <f t="shared" si="31"/>
        <v>0.995646016</v>
      </c>
      <c r="BP51" s="179">
        <f t="shared" si="32"/>
        <v>0.2024628199</v>
      </c>
    </row>
    <row r="52">
      <c r="A52" s="4">
        <v>49.0</v>
      </c>
      <c r="B52" s="188">
        <v>21.857614517</v>
      </c>
      <c r="C52" s="188">
        <v>2.120626221</v>
      </c>
      <c r="D52" s="4">
        <f t="shared" si="1"/>
        <v>0</v>
      </c>
      <c r="E52" s="188">
        <v>-0.008697109</v>
      </c>
      <c r="F52" s="188">
        <v>0.006151194</v>
      </c>
      <c r="G52" s="4">
        <f t="shared" si="2"/>
        <v>0</v>
      </c>
      <c r="H52" s="189">
        <f t="shared" si="3"/>
        <v>21.84891741</v>
      </c>
      <c r="I52" s="179">
        <f t="shared" si="4"/>
        <v>0.03980567475</v>
      </c>
      <c r="J52" s="188">
        <v>19.868740082</v>
      </c>
      <c r="K52" s="188">
        <v>2.405112022</v>
      </c>
      <c r="L52" s="4">
        <f t="shared" si="5"/>
        <v>0</v>
      </c>
      <c r="M52" s="188">
        <v>-0.068129465</v>
      </c>
      <c r="N52" s="188">
        <v>0.023962203</v>
      </c>
      <c r="O52" s="4">
        <f t="shared" si="6"/>
        <v>0</v>
      </c>
      <c r="P52" s="189">
        <f t="shared" si="7"/>
        <v>19.80061062</v>
      </c>
      <c r="Q52" s="179">
        <f t="shared" si="8"/>
        <v>0.344077596</v>
      </c>
      <c r="R52" s="4">
        <v>49.0</v>
      </c>
      <c r="S52" s="188">
        <v>7.97042942</v>
      </c>
      <c r="T52" s="188">
        <v>0.725461986</v>
      </c>
      <c r="U52" s="4">
        <f t="shared" si="9"/>
        <v>0</v>
      </c>
      <c r="V52" s="188">
        <v>-0.009935421</v>
      </c>
      <c r="W52" s="188">
        <v>0.006382233</v>
      </c>
      <c r="X52" s="4">
        <f t="shared" si="10"/>
        <v>0</v>
      </c>
      <c r="Y52" s="189">
        <f t="shared" si="11"/>
        <v>7.960493999</v>
      </c>
      <c r="Z52" s="179">
        <f t="shared" si="12"/>
        <v>0.1248091011</v>
      </c>
      <c r="AA52" s="188">
        <v>6.9828825</v>
      </c>
      <c r="AB52" s="188">
        <v>0.876290126</v>
      </c>
      <c r="AC52" s="4">
        <f t="shared" si="13"/>
        <v>0</v>
      </c>
      <c r="AD52" s="188">
        <v>-0.011593292</v>
      </c>
      <c r="AE52" s="188">
        <v>0.009701971</v>
      </c>
      <c r="AF52" s="4">
        <f t="shared" si="14"/>
        <v>0</v>
      </c>
      <c r="AG52" s="189">
        <f t="shared" si="15"/>
        <v>6.971289208</v>
      </c>
      <c r="AH52" s="179">
        <f t="shared" si="16"/>
        <v>0.1663005458</v>
      </c>
      <c r="AI52" s="4">
        <v>49.0</v>
      </c>
      <c r="AJ52" s="190">
        <v>3.408381939</v>
      </c>
      <c r="AK52" s="190">
        <v>0.32244119</v>
      </c>
      <c r="AL52" s="4">
        <f t="shared" si="17"/>
        <v>0</v>
      </c>
      <c r="AM52" s="190">
        <v>5.03457E-4</v>
      </c>
      <c r="AN52" s="190">
        <v>0.002059217</v>
      </c>
      <c r="AO52" s="4">
        <f t="shared" si="18"/>
        <v>1</v>
      </c>
      <c r="AP52" s="191">
        <f t="shared" si="19"/>
        <v>3.408885396</v>
      </c>
      <c r="AQ52" s="179">
        <f t="shared" si="20"/>
        <v>-0.01476896233</v>
      </c>
      <c r="AR52" s="193">
        <v>4.260032654</v>
      </c>
      <c r="AS52" s="193">
        <v>0.443579879</v>
      </c>
      <c r="AT52" s="4">
        <f t="shared" si="21"/>
        <v>0</v>
      </c>
      <c r="AU52" s="193">
        <v>-0.014884076</v>
      </c>
      <c r="AV52" s="193">
        <v>0.007911686</v>
      </c>
      <c r="AW52" s="4">
        <f t="shared" si="22"/>
        <v>0</v>
      </c>
      <c r="AX52" s="192">
        <f t="shared" si="23"/>
        <v>4.245148578</v>
      </c>
      <c r="AY52" s="179">
        <f t="shared" si="24"/>
        <v>0.3506137825</v>
      </c>
      <c r="AZ52" s="4">
        <v>49.0</v>
      </c>
      <c r="BA52" s="193">
        <v>1.852170348</v>
      </c>
      <c r="BB52" s="193">
        <v>0.159909218</v>
      </c>
      <c r="BC52" s="4">
        <f t="shared" si="25"/>
        <v>0</v>
      </c>
      <c r="BD52" s="193">
        <v>-0.002780566</v>
      </c>
      <c r="BE52" s="193">
        <v>0.001640815</v>
      </c>
      <c r="BF52" s="4">
        <f t="shared" si="26"/>
        <v>0</v>
      </c>
      <c r="BG52" s="192">
        <f t="shared" si="27"/>
        <v>1.849389782</v>
      </c>
      <c r="BH52" s="179">
        <f t="shared" si="28"/>
        <v>0.1503504576</v>
      </c>
      <c r="BI52" s="193">
        <v>1.982516527</v>
      </c>
      <c r="BJ52" s="193">
        <v>0.20732083</v>
      </c>
      <c r="BK52" s="4">
        <f t="shared" si="29"/>
        <v>0</v>
      </c>
      <c r="BL52" s="193">
        <v>-0.013778603</v>
      </c>
      <c r="BM52" s="193">
        <v>0.00585553</v>
      </c>
      <c r="BN52" s="4">
        <f t="shared" si="30"/>
        <v>0</v>
      </c>
      <c r="BO52" s="192">
        <f t="shared" si="31"/>
        <v>1.968737924</v>
      </c>
      <c r="BP52" s="179">
        <f t="shared" si="32"/>
        <v>0.6998698421</v>
      </c>
    </row>
    <row r="53">
      <c r="A53" s="4">
        <v>50.0</v>
      </c>
      <c r="B53" s="188">
        <v>0.052740756</v>
      </c>
      <c r="C53" s="188">
        <v>0.001210397</v>
      </c>
      <c r="D53" s="4">
        <f t="shared" si="1"/>
        <v>0</v>
      </c>
      <c r="E53" s="188">
        <v>-4.5432E-4</v>
      </c>
      <c r="F53" s="188">
        <v>1.39422E-4</v>
      </c>
      <c r="G53" s="4">
        <f t="shared" si="2"/>
        <v>0</v>
      </c>
      <c r="H53" s="189">
        <f t="shared" si="3"/>
        <v>0.052286436</v>
      </c>
      <c r="I53" s="179">
        <f t="shared" si="4"/>
        <v>0.868906039</v>
      </c>
      <c r="J53" s="188">
        <v>0.016259998</v>
      </c>
      <c r="K53" s="188">
        <v>9.06859E-4</v>
      </c>
      <c r="L53" s="4">
        <f t="shared" si="5"/>
        <v>0</v>
      </c>
      <c r="M53" s="188">
        <v>-6.41993E-4</v>
      </c>
      <c r="N53" s="188">
        <v>1.25191E-4</v>
      </c>
      <c r="O53" s="4">
        <f t="shared" si="6"/>
        <v>0</v>
      </c>
      <c r="P53" s="189">
        <f t="shared" si="7"/>
        <v>0.015618005</v>
      </c>
      <c r="Q53" s="179">
        <f t="shared" si="8"/>
        <v>4.110595431</v>
      </c>
      <c r="R53" s="4">
        <v>50.0</v>
      </c>
      <c r="S53" s="188">
        <v>0.014412157</v>
      </c>
      <c r="T53" s="188">
        <v>3.51024E-4</v>
      </c>
      <c r="U53" s="4">
        <f t="shared" si="9"/>
        <v>0</v>
      </c>
      <c r="V53" s="188">
        <v>-3.51249E-4</v>
      </c>
      <c r="W53" s="188">
        <v>7.0902E-5</v>
      </c>
      <c r="X53" s="4">
        <f t="shared" si="10"/>
        <v>0</v>
      </c>
      <c r="Y53" s="189">
        <f t="shared" si="11"/>
        <v>0.014060908</v>
      </c>
      <c r="Z53" s="179">
        <f t="shared" si="12"/>
        <v>2.498053469</v>
      </c>
      <c r="AA53" s="188">
        <v>0.006095498</v>
      </c>
      <c r="AB53" s="188">
        <v>3.24402E-4</v>
      </c>
      <c r="AC53" s="4">
        <f t="shared" si="13"/>
        <v>0</v>
      </c>
      <c r="AD53" s="188">
        <v>-5.89076E-4</v>
      </c>
      <c r="AE53" s="188">
        <v>1.13921E-4</v>
      </c>
      <c r="AF53" s="4">
        <f t="shared" si="14"/>
        <v>0</v>
      </c>
      <c r="AG53" s="189">
        <f t="shared" si="15"/>
        <v>0.005506422</v>
      </c>
      <c r="AH53" s="196">
        <f t="shared" si="16"/>
        <v>10.69798138</v>
      </c>
      <c r="AI53" s="4">
        <v>50.0</v>
      </c>
      <c r="AJ53" s="190">
        <v>0.005486131</v>
      </c>
      <c r="AK53" s="190">
        <v>1.40196E-4</v>
      </c>
      <c r="AL53" s="4">
        <f t="shared" si="17"/>
        <v>0</v>
      </c>
      <c r="AM53" s="190">
        <v>-3.11317E-4</v>
      </c>
      <c r="AN53" s="190">
        <v>5.4823E-5</v>
      </c>
      <c r="AO53" s="4">
        <f t="shared" si="18"/>
        <v>0</v>
      </c>
      <c r="AP53" s="191">
        <f t="shared" si="19"/>
        <v>0.005174814</v>
      </c>
      <c r="AQ53" s="179">
        <f t="shared" si="20"/>
        <v>6.016003667</v>
      </c>
      <c r="AR53" s="193">
        <v>0.002737981</v>
      </c>
      <c r="AS53" s="193">
        <v>1.37307E-4</v>
      </c>
      <c r="AT53" s="4">
        <f t="shared" si="21"/>
        <v>0</v>
      </c>
      <c r="AU53" s="193">
        <v>-2.99566E-4</v>
      </c>
      <c r="AV53" s="193">
        <v>6.7845E-5</v>
      </c>
      <c r="AW53" s="4">
        <f t="shared" si="22"/>
        <v>0</v>
      </c>
      <c r="AX53" s="192">
        <f t="shared" si="23"/>
        <v>0.002438415</v>
      </c>
      <c r="AY53" s="196">
        <f t="shared" si="24"/>
        <v>12.28527548</v>
      </c>
      <c r="AZ53" s="4">
        <v>50.0</v>
      </c>
      <c r="BA53" s="193">
        <v>0.002320136</v>
      </c>
      <c r="BB53" s="193">
        <v>6.3133E-5</v>
      </c>
      <c r="BC53" s="4">
        <f t="shared" si="25"/>
        <v>0</v>
      </c>
      <c r="BD53" s="193">
        <v>-1.36671E-4</v>
      </c>
      <c r="BE53" s="193">
        <v>3.2596E-5</v>
      </c>
      <c r="BF53" s="4">
        <f t="shared" si="26"/>
        <v>0</v>
      </c>
      <c r="BG53" s="192">
        <f t="shared" si="27"/>
        <v>0.002183465</v>
      </c>
      <c r="BH53" s="179">
        <f t="shared" si="28"/>
        <v>6.259362985</v>
      </c>
      <c r="BI53" s="193">
        <v>0.001331292</v>
      </c>
      <c r="BJ53" s="193">
        <v>6.7144E-5</v>
      </c>
      <c r="BK53" s="4">
        <f t="shared" si="29"/>
        <v>0</v>
      </c>
      <c r="BL53" s="193">
        <v>-1.76457E-4</v>
      </c>
      <c r="BM53" s="193">
        <v>3.4398E-5</v>
      </c>
      <c r="BN53" s="4">
        <f t="shared" si="30"/>
        <v>0</v>
      </c>
      <c r="BO53" s="192">
        <f t="shared" si="31"/>
        <v>0.001154835</v>
      </c>
      <c r="BP53" s="196">
        <f t="shared" si="32"/>
        <v>15.27984517</v>
      </c>
    </row>
    <row r="54">
      <c r="A54" s="4">
        <v>51.0</v>
      </c>
      <c r="B54" s="188">
        <v>0.442801028</v>
      </c>
      <c r="C54" s="188">
        <v>0.013445811</v>
      </c>
      <c r="D54" s="4">
        <f t="shared" si="1"/>
        <v>0</v>
      </c>
      <c r="E54" s="188">
        <v>-0.00107305</v>
      </c>
      <c r="F54" s="188">
        <v>3.5957E-4</v>
      </c>
      <c r="G54" s="4">
        <f t="shared" si="2"/>
        <v>0</v>
      </c>
      <c r="H54" s="189">
        <f t="shared" si="3"/>
        <v>0.441727978</v>
      </c>
      <c r="I54" s="179">
        <f t="shared" si="4"/>
        <v>0.2429209951</v>
      </c>
      <c r="J54" s="188">
        <v>0.351915926</v>
      </c>
      <c r="K54" s="188">
        <v>0.015450561</v>
      </c>
      <c r="L54" s="4">
        <f t="shared" si="5"/>
        <v>0</v>
      </c>
      <c r="M54" s="188">
        <v>-0.002508196</v>
      </c>
      <c r="N54" s="188">
        <v>5.99349E-4</v>
      </c>
      <c r="O54" s="4">
        <f t="shared" si="6"/>
        <v>0</v>
      </c>
      <c r="P54" s="189">
        <f t="shared" si="7"/>
        <v>0.34940773</v>
      </c>
      <c r="Q54" s="179">
        <f t="shared" si="8"/>
        <v>0.7178421611</v>
      </c>
      <c r="R54" s="4">
        <v>51.0</v>
      </c>
      <c r="S54" s="188">
        <v>0.120801829</v>
      </c>
      <c r="T54" s="188">
        <v>0.004023302</v>
      </c>
      <c r="U54" s="4">
        <f t="shared" si="9"/>
        <v>0</v>
      </c>
      <c r="V54" s="188">
        <v>-6.50604E-4</v>
      </c>
      <c r="W54" s="188">
        <v>1.95171E-4</v>
      </c>
      <c r="X54" s="4">
        <f t="shared" si="10"/>
        <v>0</v>
      </c>
      <c r="Y54" s="189">
        <f t="shared" si="11"/>
        <v>0.120151225</v>
      </c>
      <c r="Z54" s="179">
        <f t="shared" si="12"/>
        <v>0.5414876128</v>
      </c>
      <c r="AA54" s="188">
        <v>0.132543415</v>
      </c>
      <c r="AB54" s="188">
        <v>0.00522511</v>
      </c>
      <c r="AC54" s="4">
        <f t="shared" si="13"/>
        <v>0</v>
      </c>
      <c r="AD54" s="188">
        <v>-0.002127279</v>
      </c>
      <c r="AE54" s="188">
        <v>4.46796E-4</v>
      </c>
      <c r="AF54" s="4">
        <f t="shared" si="14"/>
        <v>0</v>
      </c>
      <c r="AG54" s="189">
        <f t="shared" si="15"/>
        <v>0.130416136</v>
      </c>
      <c r="AH54" s="179">
        <f t="shared" si="16"/>
        <v>1.631147084</v>
      </c>
      <c r="AI54" s="4">
        <v>51.0</v>
      </c>
      <c r="AJ54" s="190">
        <v>0.038314104</v>
      </c>
      <c r="AK54" s="190">
        <v>0.00141836</v>
      </c>
      <c r="AL54" s="4">
        <f t="shared" si="17"/>
        <v>0</v>
      </c>
      <c r="AM54" s="190">
        <v>-3.15544E-4</v>
      </c>
      <c r="AN54" s="190">
        <v>1.25726E-4</v>
      </c>
      <c r="AO54" s="4">
        <f t="shared" si="18"/>
        <v>0</v>
      </c>
      <c r="AP54" s="191">
        <f t="shared" si="19"/>
        <v>0.03799856</v>
      </c>
      <c r="AQ54" s="179">
        <f t="shared" si="20"/>
        <v>0.8304104156</v>
      </c>
      <c r="AR54" s="193">
        <v>0.059168644</v>
      </c>
      <c r="AS54" s="193">
        <v>0.002285473</v>
      </c>
      <c r="AT54" s="4">
        <f t="shared" si="21"/>
        <v>0</v>
      </c>
      <c r="AU54" s="193">
        <v>-0.001135615</v>
      </c>
      <c r="AV54" s="193">
        <v>3.12068E-4</v>
      </c>
      <c r="AW54" s="4">
        <f t="shared" si="22"/>
        <v>0</v>
      </c>
      <c r="AX54" s="192">
        <f t="shared" si="23"/>
        <v>0.058033029</v>
      </c>
      <c r="AY54" s="179">
        <f t="shared" si="24"/>
        <v>1.956842542</v>
      </c>
      <c r="AZ54" s="4">
        <v>51.0</v>
      </c>
      <c r="BA54" s="193">
        <v>0.01744806</v>
      </c>
      <c r="BB54" s="193">
        <v>7.02128E-4</v>
      </c>
      <c r="BC54" s="4">
        <f t="shared" si="25"/>
        <v>0</v>
      </c>
      <c r="BD54" s="193">
        <v>-4.43474E-4</v>
      </c>
      <c r="BE54" s="193">
        <v>1.08687E-4</v>
      </c>
      <c r="BF54" s="4">
        <f t="shared" si="26"/>
        <v>0</v>
      </c>
      <c r="BG54" s="192">
        <f t="shared" si="27"/>
        <v>0.017004586</v>
      </c>
      <c r="BH54" s="179">
        <f t="shared" si="28"/>
        <v>2.607967051</v>
      </c>
      <c r="BI54" s="193">
        <v>0.030792275</v>
      </c>
      <c r="BJ54" s="193">
        <v>0.001149034</v>
      </c>
      <c r="BK54" s="4">
        <f t="shared" si="29"/>
        <v>0</v>
      </c>
      <c r="BL54" s="193">
        <v>-5.79387E-4</v>
      </c>
      <c r="BM54" s="193">
        <v>1.53644E-4</v>
      </c>
      <c r="BN54" s="4">
        <f t="shared" si="30"/>
        <v>0</v>
      </c>
      <c r="BO54" s="192">
        <f t="shared" si="31"/>
        <v>0.030212888</v>
      </c>
      <c r="BP54" s="179">
        <f t="shared" si="32"/>
        <v>1.91768162</v>
      </c>
    </row>
    <row r="55">
      <c r="A55" s="4">
        <v>52.0</v>
      </c>
      <c r="B55" s="188">
        <v>3.253592014</v>
      </c>
      <c r="C55" s="188">
        <v>0.130281373</v>
      </c>
      <c r="D55" s="4">
        <f t="shared" si="1"/>
        <v>0</v>
      </c>
      <c r="E55" s="188">
        <v>-0.004387101</v>
      </c>
      <c r="F55" s="188">
        <v>0.001723378</v>
      </c>
      <c r="G55" s="4">
        <f t="shared" si="2"/>
        <v>0</v>
      </c>
      <c r="H55" s="189">
        <f t="shared" si="3"/>
        <v>3.249204913</v>
      </c>
      <c r="I55" s="179">
        <f t="shared" si="4"/>
        <v>0.1350207548</v>
      </c>
      <c r="J55" s="188">
        <v>2.674872398</v>
      </c>
      <c r="K55" s="188">
        <v>0.145764274</v>
      </c>
      <c r="L55" s="4">
        <f t="shared" si="5"/>
        <v>0</v>
      </c>
      <c r="M55" s="188">
        <v>-0.011934386</v>
      </c>
      <c r="N55" s="188">
        <v>0.003384698</v>
      </c>
      <c r="O55" s="4">
        <f t="shared" si="6"/>
        <v>0</v>
      </c>
      <c r="P55" s="189">
        <f t="shared" si="7"/>
        <v>2.662938012</v>
      </c>
      <c r="Q55" s="179">
        <f t="shared" si="8"/>
        <v>0.4481661213</v>
      </c>
      <c r="R55" s="4">
        <v>52.0</v>
      </c>
      <c r="S55" s="188">
        <v>0.943683326</v>
      </c>
      <c r="T55" s="188">
        <v>0.039605858</v>
      </c>
      <c r="U55" s="4">
        <f t="shared" si="9"/>
        <v>0</v>
      </c>
      <c r="V55" s="188">
        <v>-0.001609173</v>
      </c>
      <c r="W55" s="188">
        <v>8.73417E-4</v>
      </c>
      <c r="X55" s="4">
        <f t="shared" si="10"/>
        <v>0</v>
      </c>
      <c r="Y55" s="189">
        <f t="shared" si="11"/>
        <v>0.942074153</v>
      </c>
      <c r="Z55" s="179">
        <f t="shared" si="12"/>
        <v>0.1708117132</v>
      </c>
      <c r="AA55" s="188">
        <v>1.073327899</v>
      </c>
      <c r="AB55" s="188">
        <v>0.052214544</v>
      </c>
      <c r="AC55" s="4">
        <f t="shared" si="13"/>
        <v>0</v>
      </c>
      <c r="AD55" s="188">
        <v>-0.005535425</v>
      </c>
      <c r="AE55" s="188">
        <v>0.001818265</v>
      </c>
      <c r="AF55" s="4">
        <f t="shared" si="14"/>
        <v>0</v>
      </c>
      <c r="AG55" s="189">
        <f t="shared" si="15"/>
        <v>1.067792474</v>
      </c>
      <c r="AH55" s="179">
        <f t="shared" si="16"/>
        <v>0.5183989525</v>
      </c>
      <c r="AI55" s="4">
        <v>52.0</v>
      </c>
      <c r="AJ55" s="190">
        <v>0.341894984</v>
      </c>
      <c r="AK55" s="190">
        <v>0.015454238</v>
      </c>
      <c r="AL55" s="4">
        <f t="shared" si="17"/>
        <v>0</v>
      </c>
      <c r="AM55" s="190">
        <v>-5.25549E-4</v>
      </c>
      <c r="AN55" s="190">
        <v>6.23193E-4</v>
      </c>
      <c r="AO55" s="4">
        <f t="shared" si="18"/>
        <v>1</v>
      </c>
      <c r="AP55" s="191">
        <f t="shared" si="19"/>
        <v>0.341369435</v>
      </c>
      <c r="AQ55" s="179">
        <f t="shared" si="20"/>
        <v>0.1539531505</v>
      </c>
      <c r="AR55" s="193">
        <v>0.465296865</v>
      </c>
      <c r="AS55" s="193">
        <v>0.022616611</v>
      </c>
      <c r="AT55" s="4">
        <f t="shared" si="21"/>
        <v>0</v>
      </c>
      <c r="AU55" s="193">
        <v>-0.005509158</v>
      </c>
      <c r="AV55" s="193">
        <v>0.001669955</v>
      </c>
      <c r="AW55" s="4">
        <f t="shared" si="22"/>
        <v>0</v>
      </c>
      <c r="AX55" s="192">
        <f t="shared" si="23"/>
        <v>0.459787707</v>
      </c>
      <c r="AY55" s="179">
        <f t="shared" si="24"/>
        <v>1.198196019</v>
      </c>
      <c r="AZ55" s="4">
        <v>52.0</v>
      </c>
      <c r="BA55" s="193">
        <v>0.14843674</v>
      </c>
      <c r="BB55" s="193">
        <v>0.007070601</v>
      </c>
      <c r="BC55" s="4">
        <f t="shared" si="25"/>
        <v>0</v>
      </c>
      <c r="BD55" s="193">
        <v>-7.09718E-4</v>
      </c>
      <c r="BE55" s="193">
        <v>5.00687E-4</v>
      </c>
      <c r="BF55" s="4">
        <f t="shared" si="26"/>
        <v>0</v>
      </c>
      <c r="BG55" s="192">
        <f t="shared" si="27"/>
        <v>0.147727022</v>
      </c>
      <c r="BH55" s="179">
        <f t="shared" si="28"/>
        <v>0.4804253077</v>
      </c>
      <c r="BI55" s="193">
        <v>0.240834415</v>
      </c>
      <c r="BJ55" s="193">
        <v>0.011270347</v>
      </c>
      <c r="BK55" s="4">
        <f t="shared" si="29"/>
        <v>0</v>
      </c>
      <c r="BL55" s="193">
        <v>-5.99949E-4</v>
      </c>
      <c r="BM55" s="193">
        <v>6.52152E-4</v>
      </c>
      <c r="BN55" s="4">
        <f t="shared" si="30"/>
        <v>1</v>
      </c>
      <c r="BO55" s="192">
        <f t="shared" si="31"/>
        <v>0.240234466</v>
      </c>
      <c r="BP55" s="179">
        <f t="shared" si="32"/>
        <v>0.2497347737</v>
      </c>
    </row>
    <row r="56">
      <c r="A56" s="4">
        <v>53.0</v>
      </c>
      <c r="B56" s="188">
        <v>9.064929008</v>
      </c>
      <c r="C56" s="188">
        <v>0.493178752</v>
      </c>
      <c r="D56" s="4">
        <f t="shared" si="1"/>
        <v>0</v>
      </c>
      <c r="E56" s="188">
        <v>-7.54788E-4</v>
      </c>
      <c r="F56" s="188">
        <v>0.002737346</v>
      </c>
      <c r="G56" s="4">
        <f t="shared" si="2"/>
        <v>1</v>
      </c>
      <c r="H56" s="189">
        <f t="shared" si="3"/>
        <v>9.06417422</v>
      </c>
      <c r="I56" s="179">
        <f t="shared" si="4"/>
        <v>0.008327156801</v>
      </c>
      <c r="J56" s="188">
        <v>7.76454401</v>
      </c>
      <c r="K56" s="188">
        <v>0.56980896</v>
      </c>
      <c r="L56" s="4">
        <f t="shared" si="5"/>
        <v>0</v>
      </c>
      <c r="M56" s="188">
        <v>-0.009727596</v>
      </c>
      <c r="N56" s="188">
        <v>0.005117631</v>
      </c>
      <c r="O56" s="4">
        <f t="shared" si="6"/>
        <v>0</v>
      </c>
      <c r="P56" s="189">
        <f t="shared" si="7"/>
        <v>7.754816414</v>
      </c>
      <c r="Q56" s="179">
        <f t="shared" si="8"/>
        <v>0.1254394106</v>
      </c>
      <c r="R56" s="4">
        <v>53.0</v>
      </c>
      <c r="S56" s="188">
        <v>3.175535202</v>
      </c>
      <c r="T56" s="188">
        <v>0.164588098</v>
      </c>
      <c r="U56" s="4">
        <f t="shared" si="9"/>
        <v>0</v>
      </c>
      <c r="V56" s="188">
        <v>-0.002710143</v>
      </c>
      <c r="W56" s="188">
        <v>0.001401632</v>
      </c>
      <c r="X56" s="4">
        <f t="shared" si="10"/>
        <v>0</v>
      </c>
      <c r="Y56" s="189">
        <f t="shared" si="11"/>
        <v>3.172825059</v>
      </c>
      <c r="Z56" s="179">
        <f t="shared" si="12"/>
        <v>0.0854173473</v>
      </c>
      <c r="AA56" s="188">
        <v>3.054514885</v>
      </c>
      <c r="AB56" s="188">
        <v>0.202132878</v>
      </c>
      <c r="AC56" s="4">
        <f t="shared" si="13"/>
        <v>0</v>
      </c>
      <c r="AD56" s="188">
        <v>-0.010169373</v>
      </c>
      <c r="AE56" s="188">
        <v>0.004517541</v>
      </c>
      <c r="AF56" s="4">
        <f t="shared" si="14"/>
        <v>0</v>
      </c>
      <c r="AG56" s="189">
        <f t="shared" si="15"/>
        <v>3.044345512</v>
      </c>
      <c r="AH56" s="179">
        <f t="shared" si="16"/>
        <v>0.334041355</v>
      </c>
      <c r="AI56" s="4">
        <v>53.0</v>
      </c>
      <c r="AJ56" s="190">
        <v>1.32945466</v>
      </c>
      <c r="AK56" s="190">
        <v>0.069024773</v>
      </c>
      <c r="AL56" s="4">
        <f t="shared" si="17"/>
        <v>0</v>
      </c>
      <c r="AM56" s="190">
        <v>-0.002336025</v>
      </c>
      <c r="AN56" s="190">
        <v>0.001414259</v>
      </c>
      <c r="AO56" s="4">
        <f t="shared" si="18"/>
        <v>0</v>
      </c>
      <c r="AP56" s="191">
        <f t="shared" si="19"/>
        <v>1.327118635</v>
      </c>
      <c r="AQ56" s="179">
        <f t="shared" si="20"/>
        <v>0.1760223192</v>
      </c>
      <c r="AR56" s="193">
        <v>1.525094151</v>
      </c>
      <c r="AS56" s="193">
        <v>0.09325441</v>
      </c>
      <c r="AT56" s="4">
        <f t="shared" si="21"/>
        <v>0</v>
      </c>
      <c r="AU56" s="193">
        <v>-0.00598244</v>
      </c>
      <c r="AV56" s="193">
        <v>0.003051815</v>
      </c>
      <c r="AW56" s="4">
        <f t="shared" si="22"/>
        <v>0</v>
      </c>
      <c r="AX56" s="192">
        <f t="shared" si="23"/>
        <v>1.519111711</v>
      </c>
      <c r="AY56" s="179">
        <f t="shared" si="24"/>
        <v>0.3938117228</v>
      </c>
      <c r="AZ56" s="4">
        <v>53.0</v>
      </c>
      <c r="BA56" s="193">
        <v>0.529470265</v>
      </c>
      <c r="BB56" s="193">
        <v>0.030510358</v>
      </c>
      <c r="BC56" s="4">
        <f t="shared" si="25"/>
        <v>0</v>
      </c>
      <c r="BD56" s="193">
        <v>-0.001501495</v>
      </c>
      <c r="BE56" s="193">
        <v>8.94092E-4</v>
      </c>
      <c r="BF56" s="4">
        <f t="shared" si="26"/>
        <v>0</v>
      </c>
      <c r="BG56" s="192">
        <f t="shared" si="27"/>
        <v>0.52796877</v>
      </c>
      <c r="BH56" s="179">
        <f t="shared" si="28"/>
        <v>0.2843908741</v>
      </c>
      <c r="BI56" s="193">
        <v>0.68756777</v>
      </c>
      <c r="BJ56" s="193">
        <v>0.042826184</v>
      </c>
      <c r="BK56" s="4">
        <f t="shared" si="29"/>
        <v>0</v>
      </c>
      <c r="BL56" s="193">
        <v>-0.001660347</v>
      </c>
      <c r="BM56" s="193">
        <v>0.001884134</v>
      </c>
      <c r="BN56" s="4">
        <f t="shared" si="30"/>
        <v>1</v>
      </c>
      <c r="BO56" s="192">
        <f t="shared" si="31"/>
        <v>0.685907423</v>
      </c>
      <c r="BP56" s="179">
        <f t="shared" si="32"/>
        <v>0.2420657576</v>
      </c>
    </row>
    <row r="57">
      <c r="A57" s="4">
        <v>54.0</v>
      </c>
      <c r="B57" s="188">
        <v>19.576436996</v>
      </c>
      <c r="C57" s="188">
        <v>1.327821104</v>
      </c>
      <c r="D57" s="4">
        <f t="shared" si="1"/>
        <v>0</v>
      </c>
      <c r="E57" s="188">
        <v>-0.006900816</v>
      </c>
      <c r="F57" s="188">
        <v>0.006513508</v>
      </c>
      <c r="G57" s="4">
        <f t="shared" si="2"/>
        <v>0</v>
      </c>
      <c r="H57" s="189">
        <f t="shared" si="3"/>
        <v>19.56953618</v>
      </c>
      <c r="I57" s="179">
        <f t="shared" si="4"/>
        <v>0.03526305343</v>
      </c>
      <c r="J57" s="188">
        <v>16.107528687</v>
      </c>
      <c r="K57" s="188">
        <v>1.479121041</v>
      </c>
      <c r="L57" s="4">
        <f t="shared" si="5"/>
        <v>0</v>
      </c>
      <c r="M57" s="188">
        <v>-0.01374212</v>
      </c>
      <c r="N57" s="188">
        <v>0.015234985</v>
      </c>
      <c r="O57" s="4">
        <f t="shared" si="6"/>
        <v>1</v>
      </c>
      <c r="P57" s="189">
        <f t="shared" si="7"/>
        <v>16.09378657</v>
      </c>
      <c r="Q57" s="179">
        <f t="shared" si="8"/>
        <v>0.08538773609</v>
      </c>
      <c r="R57" s="4">
        <v>54.0</v>
      </c>
      <c r="S57" s="188">
        <v>7.201239586</v>
      </c>
      <c r="T57" s="188">
        <v>0.465658249</v>
      </c>
      <c r="U57" s="4">
        <f t="shared" si="9"/>
        <v>0</v>
      </c>
      <c r="V57" s="188">
        <v>-0.001160095</v>
      </c>
      <c r="W57" s="188">
        <v>0.002654356</v>
      </c>
      <c r="X57" s="4">
        <f t="shared" si="10"/>
        <v>1</v>
      </c>
      <c r="Y57" s="189">
        <f t="shared" si="11"/>
        <v>7.200079491</v>
      </c>
      <c r="Z57" s="179">
        <f t="shared" si="12"/>
        <v>0.01611225267</v>
      </c>
      <c r="AA57" s="188">
        <v>7.576872826</v>
      </c>
      <c r="AB57" s="188">
        <v>0.578944446</v>
      </c>
      <c r="AC57" s="4">
        <f t="shared" si="13"/>
        <v>0</v>
      </c>
      <c r="AD57" s="188">
        <v>-0.029290058</v>
      </c>
      <c r="AE57" s="188">
        <v>0.009943971</v>
      </c>
      <c r="AF57" s="4">
        <f t="shared" si="14"/>
        <v>0</v>
      </c>
      <c r="AG57" s="189">
        <f t="shared" si="15"/>
        <v>7.547582768</v>
      </c>
      <c r="AH57" s="179">
        <f t="shared" si="16"/>
        <v>0.3880720345</v>
      </c>
      <c r="AI57" s="4">
        <v>54.0</v>
      </c>
      <c r="AJ57" s="190">
        <v>3.208969593</v>
      </c>
      <c r="AK57" s="190">
        <v>0.205613104</v>
      </c>
      <c r="AL57" s="4">
        <f t="shared" si="17"/>
        <v>0</v>
      </c>
      <c r="AM57" s="190">
        <v>-0.002522844</v>
      </c>
      <c r="AN57" s="190">
        <v>0.001886133</v>
      </c>
      <c r="AO57" s="4">
        <f t="shared" si="18"/>
        <v>0</v>
      </c>
      <c r="AP57" s="191">
        <f t="shared" si="19"/>
        <v>3.206446749</v>
      </c>
      <c r="AQ57" s="179">
        <f t="shared" si="20"/>
        <v>0.07868036482</v>
      </c>
      <c r="AR57" s="193">
        <v>3.202157021</v>
      </c>
      <c r="AS57" s="193">
        <v>0.242654534</v>
      </c>
      <c r="AT57" s="4">
        <f t="shared" si="21"/>
        <v>0</v>
      </c>
      <c r="AU57" s="193">
        <v>-0.008602241</v>
      </c>
      <c r="AV57" s="193">
        <v>0.004809978</v>
      </c>
      <c r="AW57" s="4">
        <f t="shared" si="22"/>
        <v>0</v>
      </c>
      <c r="AX57" s="192">
        <f t="shared" si="23"/>
        <v>3.19355478</v>
      </c>
      <c r="AY57" s="179">
        <f t="shared" si="24"/>
        <v>0.2693625628</v>
      </c>
      <c r="AZ57" s="4">
        <v>54.0</v>
      </c>
      <c r="BA57" s="193">
        <v>1.46705842</v>
      </c>
      <c r="BB57" s="193">
        <v>0.094911943</v>
      </c>
      <c r="BC57" s="4">
        <f t="shared" si="25"/>
        <v>0</v>
      </c>
      <c r="BD57" s="193">
        <v>-7.20163E-4</v>
      </c>
      <c r="BE57" s="193">
        <v>0.001751062</v>
      </c>
      <c r="BF57" s="4">
        <f t="shared" si="26"/>
        <v>1</v>
      </c>
      <c r="BG57" s="192">
        <f t="shared" si="27"/>
        <v>1.466338257</v>
      </c>
      <c r="BH57" s="179">
        <f t="shared" si="28"/>
        <v>0.0491130199</v>
      </c>
      <c r="BI57" s="193">
        <v>1.627732277</v>
      </c>
      <c r="BJ57" s="193">
        <v>0.123092795</v>
      </c>
      <c r="BK57" s="4">
        <f t="shared" si="29"/>
        <v>0</v>
      </c>
      <c r="BL57" s="193">
        <v>-9.51702E-4</v>
      </c>
      <c r="BM57" s="193">
        <v>0.002511047</v>
      </c>
      <c r="BN57" s="4">
        <f t="shared" si="30"/>
        <v>1</v>
      </c>
      <c r="BO57" s="192">
        <f t="shared" si="31"/>
        <v>1.626780575</v>
      </c>
      <c r="BP57" s="179">
        <f t="shared" si="32"/>
        <v>0.05850217384</v>
      </c>
    </row>
    <row r="58">
      <c r="A58" s="4">
        <v>55.0</v>
      </c>
      <c r="B58" s="188">
        <v>32.703357697</v>
      </c>
      <c r="C58" s="188">
        <v>2.730501734</v>
      </c>
      <c r="D58" s="4">
        <f t="shared" si="1"/>
        <v>0</v>
      </c>
      <c r="E58" s="188">
        <v>-0.009873212</v>
      </c>
      <c r="F58" s="188">
        <v>0.008077777</v>
      </c>
      <c r="G58" s="4">
        <f t="shared" si="2"/>
        <v>0</v>
      </c>
      <c r="H58" s="189">
        <f t="shared" si="3"/>
        <v>32.69348449</v>
      </c>
      <c r="I58" s="179">
        <f t="shared" si="4"/>
        <v>0.03019932612</v>
      </c>
      <c r="J58" s="188">
        <v>37.826023102</v>
      </c>
      <c r="K58" s="188">
        <v>3.936140466</v>
      </c>
      <c r="L58" s="4">
        <f t="shared" si="5"/>
        <v>0</v>
      </c>
      <c r="M58" s="188">
        <v>-0.015554231</v>
      </c>
      <c r="N58" s="188">
        <v>0.023113452</v>
      </c>
      <c r="O58" s="4">
        <f t="shared" si="6"/>
        <v>1</v>
      </c>
      <c r="P58" s="189">
        <f t="shared" si="7"/>
        <v>37.81046887</v>
      </c>
      <c r="Q58" s="179">
        <f t="shared" si="8"/>
        <v>0.04113736609</v>
      </c>
      <c r="R58" s="4">
        <v>55.0</v>
      </c>
      <c r="S58" s="188">
        <v>13.007023811</v>
      </c>
      <c r="T58" s="188">
        <v>1.017748608</v>
      </c>
      <c r="U58" s="4">
        <f t="shared" si="9"/>
        <v>0</v>
      </c>
      <c r="V58" s="188">
        <v>-8.43199E-4</v>
      </c>
      <c r="W58" s="188">
        <v>0.004332062</v>
      </c>
      <c r="X58" s="4">
        <f t="shared" si="10"/>
        <v>1</v>
      </c>
      <c r="Y58" s="189">
        <f t="shared" si="11"/>
        <v>13.00618061</v>
      </c>
      <c r="Z58" s="179">
        <f t="shared" si="12"/>
        <v>0.0064830639</v>
      </c>
      <c r="AA58" s="188">
        <v>12.778452873</v>
      </c>
      <c r="AB58" s="188">
        <v>1.241807284</v>
      </c>
      <c r="AC58" s="4">
        <f t="shared" si="13"/>
        <v>0</v>
      </c>
      <c r="AD58" s="188">
        <v>-0.00779563</v>
      </c>
      <c r="AE58" s="188">
        <v>0.00466335</v>
      </c>
      <c r="AF58" s="4">
        <f t="shared" si="14"/>
        <v>0</v>
      </c>
      <c r="AG58" s="189">
        <f t="shared" si="15"/>
        <v>12.77065724</v>
      </c>
      <c r="AH58" s="179">
        <f t="shared" si="16"/>
        <v>0.0610432952</v>
      </c>
      <c r="AI58" s="4">
        <v>55.0</v>
      </c>
      <c r="AJ58" s="190">
        <v>6.396173477</v>
      </c>
      <c r="AK58" s="190">
        <v>0.454770077</v>
      </c>
      <c r="AL58" s="4">
        <f t="shared" si="17"/>
        <v>0</v>
      </c>
      <c r="AM58" s="190">
        <v>-0.005269178</v>
      </c>
      <c r="AN58" s="190">
        <v>0.002687586</v>
      </c>
      <c r="AO58" s="4">
        <f t="shared" si="18"/>
        <v>0</v>
      </c>
      <c r="AP58" s="191">
        <f t="shared" si="19"/>
        <v>6.390904299</v>
      </c>
      <c r="AQ58" s="179">
        <f t="shared" si="20"/>
        <v>0.08244808173</v>
      </c>
      <c r="AR58" s="193">
        <v>6.327317715</v>
      </c>
      <c r="AS58" s="193">
        <v>0.565492874</v>
      </c>
      <c r="AT58" s="4">
        <f t="shared" si="21"/>
        <v>0</v>
      </c>
      <c r="AU58" s="193">
        <v>-0.024574772</v>
      </c>
      <c r="AV58" s="193">
        <v>0.010089337</v>
      </c>
      <c r="AW58" s="4">
        <f t="shared" si="22"/>
        <v>0</v>
      </c>
      <c r="AX58" s="192">
        <f t="shared" si="23"/>
        <v>6.302742943</v>
      </c>
      <c r="AY58" s="179">
        <f t="shared" si="24"/>
        <v>0.3899059857</v>
      </c>
      <c r="AZ58" s="4">
        <v>55.0</v>
      </c>
      <c r="BA58" s="193">
        <v>2.86552453</v>
      </c>
      <c r="BB58" s="193">
        <v>0.212539758</v>
      </c>
      <c r="BC58" s="4">
        <f t="shared" si="25"/>
        <v>0</v>
      </c>
      <c r="BD58" s="193">
        <v>8.93726E-4</v>
      </c>
      <c r="BE58" s="193">
        <v>8.93726E-4</v>
      </c>
      <c r="BF58" s="4">
        <f t="shared" si="26"/>
        <v>0</v>
      </c>
      <c r="BG58" s="192">
        <f t="shared" si="27"/>
        <v>2.866418256</v>
      </c>
      <c r="BH58" s="179">
        <f t="shared" si="28"/>
        <v>-0.0311791902</v>
      </c>
      <c r="BI58" s="193">
        <v>3.383251667</v>
      </c>
      <c r="BJ58" s="193">
        <v>0.284599249</v>
      </c>
      <c r="BK58" s="4">
        <f t="shared" si="29"/>
        <v>0</v>
      </c>
      <c r="BL58" s="193">
        <v>-0.007492154</v>
      </c>
      <c r="BM58" s="193">
        <v>0.004893516</v>
      </c>
      <c r="BN58" s="4">
        <f t="shared" si="30"/>
        <v>0</v>
      </c>
      <c r="BO58" s="192">
        <f t="shared" si="31"/>
        <v>3.375759513</v>
      </c>
      <c r="BP58" s="179">
        <f t="shared" si="32"/>
        <v>0.2219398026</v>
      </c>
    </row>
    <row r="59">
      <c r="A59" s="4">
        <v>56.0</v>
      </c>
      <c r="B59" s="188">
        <v>55.274036407</v>
      </c>
      <c r="C59" s="188">
        <v>5.55966824</v>
      </c>
      <c r="D59" s="4">
        <f t="shared" si="1"/>
        <v>0</v>
      </c>
      <c r="E59" s="188">
        <v>-0.005031781</v>
      </c>
      <c r="F59" s="188">
        <v>0.005031781</v>
      </c>
      <c r="G59" s="4">
        <f t="shared" si="2"/>
        <v>0</v>
      </c>
      <c r="H59" s="189">
        <f t="shared" si="3"/>
        <v>55.26900463</v>
      </c>
      <c r="I59" s="179">
        <f t="shared" si="4"/>
        <v>0.009104164321</v>
      </c>
      <c r="J59" s="188">
        <v>61.42483139</v>
      </c>
      <c r="K59" s="188">
        <v>6.87477731</v>
      </c>
      <c r="L59" s="4">
        <f t="shared" si="5"/>
        <v>0</v>
      </c>
      <c r="M59" s="188">
        <v>-0.052087475</v>
      </c>
      <c r="N59" s="188">
        <v>0.031689142</v>
      </c>
      <c r="O59" s="4">
        <f t="shared" si="6"/>
        <v>0</v>
      </c>
      <c r="P59" s="189">
        <f t="shared" si="7"/>
        <v>61.37274392</v>
      </c>
      <c r="Q59" s="179">
        <f t="shared" si="8"/>
        <v>0.08487069614</v>
      </c>
      <c r="R59" s="4">
        <v>56.0</v>
      </c>
      <c r="S59" s="188">
        <v>20.163232803</v>
      </c>
      <c r="T59" s="188">
        <v>1.865361976</v>
      </c>
      <c r="U59" s="4">
        <f t="shared" si="9"/>
        <v>0</v>
      </c>
      <c r="V59" s="188">
        <v>0.005146879</v>
      </c>
      <c r="W59" s="188">
        <v>0.005146879</v>
      </c>
      <c r="X59" s="4">
        <f t="shared" si="10"/>
        <v>0</v>
      </c>
      <c r="Y59" s="189">
        <f t="shared" si="11"/>
        <v>20.16837968</v>
      </c>
      <c r="Z59" s="179">
        <f t="shared" si="12"/>
        <v>-0.02551954635</v>
      </c>
      <c r="AA59" s="188">
        <v>23.810350418</v>
      </c>
      <c r="AB59" s="188">
        <v>2.498690948</v>
      </c>
      <c r="AC59" s="4">
        <f t="shared" si="13"/>
        <v>0</v>
      </c>
      <c r="AD59" s="188">
        <v>-0.011331731</v>
      </c>
      <c r="AE59" s="188">
        <v>0.012896758</v>
      </c>
      <c r="AF59" s="4">
        <f t="shared" si="14"/>
        <v>1</v>
      </c>
      <c r="AG59" s="189">
        <f t="shared" si="15"/>
        <v>23.79901869</v>
      </c>
      <c r="AH59" s="179">
        <f t="shared" si="16"/>
        <v>0.04761427834</v>
      </c>
      <c r="AI59" s="4">
        <v>56.0</v>
      </c>
      <c r="AJ59" s="190">
        <v>8.823344231</v>
      </c>
      <c r="AK59" s="190">
        <v>0.799299659</v>
      </c>
      <c r="AL59" s="4">
        <f t="shared" si="17"/>
        <v>0</v>
      </c>
      <c r="AM59" s="190">
        <v>4.45208E-4</v>
      </c>
      <c r="AN59" s="190">
        <v>0.004367174</v>
      </c>
      <c r="AO59" s="4">
        <f t="shared" si="18"/>
        <v>1</v>
      </c>
      <c r="AP59" s="191">
        <f t="shared" si="19"/>
        <v>8.823789439</v>
      </c>
      <c r="AQ59" s="179">
        <f t="shared" si="20"/>
        <v>-0.005045541976</v>
      </c>
      <c r="AR59" s="193">
        <v>12.911399841</v>
      </c>
      <c r="AS59" s="193">
        <v>1.214546536</v>
      </c>
      <c r="AT59" s="4">
        <f t="shared" si="21"/>
        <v>0</v>
      </c>
      <c r="AU59" s="193">
        <v>-0.021925446</v>
      </c>
      <c r="AV59" s="193">
        <v>0.011948522</v>
      </c>
      <c r="AW59" s="4">
        <f t="shared" si="22"/>
        <v>0</v>
      </c>
      <c r="AX59" s="192">
        <f t="shared" si="23"/>
        <v>12.8894744</v>
      </c>
      <c r="AY59" s="179">
        <f t="shared" si="24"/>
        <v>0.1701034916</v>
      </c>
      <c r="AZ59" s="4">
        <v>56.0</v>
      </c>
      <c r="BA59" s="193">
        <v>5.031248569</v>
      </c>
      <c r="BB59" s="193">
        <v>0.415890578</v>
      </c>
      <c r="BC59" s="4">
        <f t="shared" si="25"/>
        <v>0</v>
      </c>
      <c r="BD59" s="193">
        <v>-0.002380079</v>
      </c>
      <c r="BE59" s="193">
        <v>0.003735</v>
      </c>
      <c r="BF59" s="4">
        <f t="shared" si="26"/>
        <v>1</v>
      </c>
      <c r="BG59" s="192">
        <f t="shared" si="27"/>
        <v>5.02886849</v>
      </c>
      <c r="BH59" s="179">
        <f t="shared" si="28"/>
        <v>0.04732832057</v>
      </c>
      <c r="BI59" s="193">
        <v>5.496209145</v>
      </c>
      <c r="BJ59" s="193">
        <v>0.539938176</v>
      </c>
      <c r="BK59" s="4">
        <f t="shared" si="29"/>
        <v>0</v>
      </c>
      <c r="BL59" s="193">
        <v>-0.009146152</v>
      </c>
      <c r="BM59" s="193">
        <v>0.010361264</v>
      </c>
      <c r="BN59" s="4">
        <f t="shared" si="30"/>
        <v>1</v>
      </c>
      <c r="BO59" s="192">
        <f t="shared" si="31"/>
        <v>5.487062993</v>
      </c>
      <c r="BP59" s="179">
        <f t="shared" si="32"/>
        <v>0.1666857481</v>
      </c>
    </row>
    <row r="60">
      <c r="A60" s="4">
        <v>57.0</v>
      </c>
      <c r="B60" s="188">
        <v>0.007066304</v>
      </c>
      <c r="C60" s="188">
        <v>9.9727E-5</v>
      </c>
      <c r="D60" s="4">
        <f t="shared" si="1"/>
        <v>0</v>
      </c>
      <c r="E60" s="188">
        <v>-4.0116E-5</v>
      </c>
      <c r="F60" s="188">
        <v>1.6595E-5</v>
      </c>
      <c r="G60" s="4">
        <f t="shared" si="2"/>
        <v>0</v>
      </c>
      <c r="H60" s="189">
        <f t="shared" si="3"/>
        <v>0.007026188</v>
      </c>
      <c r="I60" s="179">
        <f t="shared" si="4"/>
        <v>0.5709497099</v>
      </c>
      <c r="J60" s="188">
        <v>0.002025268</v>
      </c>
      <c r="K60" s="188">
        <v>8.4398E-5</v>
      </c>
      <c r="L60" s="4">
        <f t="shared" si="5"/>
        <v>0</v>
      </c>
      <c r="M60" s="188">
        <v>-1.05085E-4</v>
      </c>
      <c r="N60" s="188">
        <v>2.4678E-5</v>
      </c>
      <c r="O60" s="4">
        <f t="shared" si="6"/>
        <v>0</v>
      </c>
      <c r="P60" s="189">
        <f t="shared" si="7"/>
        <v>0.001920183</v>
      </c>
      <c r="Q60" s="179">
        <f t="shared" si="8"/>
        <v>5.472655471</v>
      </c>
      <c r="R60" s="4">
        <v>57.0</v>
      </c>
      <c r="S60" s="188">
        <v>9.84137E-4</v>
      </c>
      <c r="T60" s="188">
        <v>2.1577E-5</v>
      </c>
      <c r="U60" s="4">
        <f t="shared" si="9"/>
        <v>0</v>
      </c>
      <c r="V60" s="188">
        <v>-1.4109E-5</v>
      </c>
      <c r="W60" s="188">
        <v>7.784E-6</v>
      </c>
      <c r="X60" s="4">
        <f t="shared" si="10"/>
        <v>0</v>
      </c>
      <c r="Y60" s="189">
        <f t="shared" si="11"/>
        <v>0.000970028</v>
      </c>
      <c r="Z60" s="179">
        <f t="shared" si="12"/>
        <v>1.454494097</v>
      </c>
      <c r="AA60" s="188">
        <v>7.23613E-4</v>
      </c>
      <c r="AB60" s="188">
        <v>2.848E-5</v>
      </c>
      <c r="AC60" s="4">
        <f t="shared" si="13"/>
        <v>0</v>
      </c>
      <c r="AD60" s="188">
        <v>-6.1474E-5</v>
      </c>
      <c r="AE60" s="188">
        <v>1.4823E-5</v>
      </c>
      <c r="AF60" s="4">
        <f t="shared" si="14"/>
        <v>0</v>
      </c>
      <c r="AG60" s="189">
        <f t="shared" si="15"/>
        <v>0.000662139</v>
      </c>
      <c r="AH60" s="179">
        <f t="shared" si="16"/>
        <v>9.284153327</v>
      </c>
      <c r="AI60" s="4">
        <v>57.0</v>
      </c>
      <c r="AJ60" s="190">
        <v>2.06218E-4</v>
      </c>
      <c r="AK60" s="190">
        <v>6.547E-6</v>
      </c>
      <c r="AL60" s="4">
        <f t="shared" si="17"/>
        <v>0</v>
      </c>
      <c r="AM60" s="190">
        <v>-2.6773E-5</v>
      </c>
      <c r="AN60" s="190">
        <v>6.249E-6</v>
      </c>
      <c r="AO60" s="4">
        <f t="shared" si="18"/>
        <v>0</v>
      </c>
      <c r="AP60" s="191">
        <f t="shared" si="19"/>
        <v>0.000179445</v>
      </c>
      <c r="AQ60" s="196">
        <f t="shared" si="20"/>
        <v>14.91989189</v>
      </c>
      <c r="AR60" s="193">
        <v>3.55505E-4</v>
      </c>
      <c r="AS60" s="193">
        <v>1.288E-5</v>
      </c>
      <c r="AT60" s="4">
        <f t="shared" si="21"/>
        <v>0</v>
      </c>
      <c r="AU60" s="193">
        <v>-3.6502E-5</v>
      </c>
      <c r="AV60" s="193">
        <v>9.955E-6</v>
      </c>
      <c r="AW60" s="4">
        <f t="shared" si="22"/>
        <v>0</v>
      </c>
      <c r="AX60" s="192">
        <f t="shared" si="23"/>
        <v>0.000319003</v>
      </c>
      <c r="AY60" s="196">
        <f t="shared" si="24"/>
        <v>11.44252562</v>
      </c>
      <c r="AZ60" s="4">
        <v>57.0</v>
      </c>
      <c r="BA60" s="193">
        <v>6.5283E-5</v>
      </c>
      <c r="BB60" s="193">
        <v>2.719E-6</v>
      </c>
      <c r="BC60" s="4">
        <f t="shared" si="25"/>
        <v>0</v>
      </c>
      <c r="BD60" s="193">
        <v>-1.0376E-5</v>
      </c>
      <c r="BE60" s="193">
        <v>3.563E-6</v>
      </c>
      <c r="BF60" s="4">
        <f t="shared" si="26"/>
        <v>0</v>
      </c>
      <c r="BG60" s="192">
        <f t="shared" si="27"/>
        <v>0.000054907</v>
      </c>
      <c r="BH60" s="196">
        <f t="shared" si="28"/>
        <v>18.89740835</v>
      </c>
      <c r="BI60" s="193">
        <v>1.8636E-4</v>
      </c>
      <c r="BJ60" s="193">
        <v>6.405E-6</v>
      </c>
      <c r="BK60" s="4">
        <f t="shared" si="29"/>
        <v>0</v>
      </c>
      <c r="BL60" s="193">
        <v>-3.0153E-5</v>
      </c>
      <c r="BM60" s="193">
        <v>6.577E-6</v>
      </c>
      <c r="BN60" s="4">
        <f t="shared" si="30"/>
        <v>0</v>
      </c>
      <c r="BO60" s="192">
        <f t="shared" si="31"/>
        <v>0.000156207</v>
      </c>
      <c r="BP60" s="196">
        <f t="shared" si="32"/>
        <v>19.30323225</v>
      </c>
    </row>
    <row r="61">
      <c r="A61" s="4">
        <v>58.0</v>
      </c>
      <c r="B61" s="188">
        <v>0.007066255</v>
      </c>
      <c r="C61" s="188">
        <v>9.9727E-5</v>
      </c>
      <c r="D61" s="4">
        <f t="shared" si="1"/>
        <v>0</v>
      </c>
      <c r="E61" s="188">
        <v>-4.0116E-5</v>
      </c>
      <c r="F61" s="188">
        <v>1.6595E-5</v>
      </c>
      <c r="G61" s="4">
        <f t="shared" si="2"/>
        <v>0</v>
      </c>
      <c r="H61" s="189">
        <f t="shared" si="3"/>
        <v>0.007026139</v>
      </c>
      <c r="I61" s="179">
        <f t="shared" si="4"/>
        <v>0.5709536916</v>
      </c>
      <c r="J61" s="188">
        <v>0.002025268</v>
      </c>
      <c r="K61" s="188">
        <v>8.4398E-5</v>
      </c>
      <c r="L61" s="4">
        <f t="shared" si="5"/>
        <v>0</v>
      </c>
      <c r="M61" s="188">
        <v>-1.05085E-4</v>
      </c>
      <c r="N61" s="188">
        <v>2.4678E-5</v>
      </c>
      <c r="O61" s="4">
        <f t="shared" si="6"/>
        <v>0</v>
      </c>
      <c r="P61" s="189">
        <f t="shared" si="7"/>
        <v>0.001920183</v>
      </c>
      <c r="Q61" s="179">
        <f t="shared" si="8"/>
        <v>5.472655471</v>
      </c>
      <c r="R61" s="4">
        <v>58.0</v>
      </c>
      <c r="S61" s="188">
        <v>9.8414E-4</v>
      </c>
      <c r="T61" s="188">
        <v>2.1577E-5</v>
      </c>
      <c r="U61" s="4">
        <f t="shared" si="9"/>
        <v>0</v>
      </c>
      <c r="V61" s="188">
        <v>-1.4109E-5</v>
      </c>
      <c r="W61" s="188">
        <v>7.784E-6</v>
      </c>
      <c r="X61" s="4">
        <f t="shared" si="10"/>
        <v>0</v>
      </c>
      <c r="Y61" s="189">
        <f t="shared" si="11"/>
        <v>0.000970031</v>
      </c>
      <c r="Z61" s="179">
        <f t="shared" si="12"/>
        <v>1.454489599</v>
      </c>
      <c r="AA61" s="188">
        <v>7.23613E-4</v>
      </c>
      <c r="AB61" s="188">
        <v>2.848E-5</v>
      </c>
      <c r="AC61" s="4">
        <f t="shared" si="13"/>
        <v>0</v>
      </c>
      <c r="AD61" s="188">
        <v>-6.1474E-5</v>
      </c>
      <c r="AE61" s="188">
        <v>1.4823E-5</v>
      </c>
      <c r="AF61" s="4">
        <f t="shared" si="14"/>
        <v>0</v>
      </c>
      <c r="AG61" s="189">
        <f t="shared" si="15"/>
        <v>0.000662139</v>
      </c>
      <c r="AH61" s="179">
        <f t="shared" si="16"/>
        <v>9.284153327</v>
      </c>
      <c r="AI61" s="4">
        <v>58.0</v>
      </c>
      <c r="AJ61" s="190">
        <v>2.06218E-4</v>
      </c>
      <c r="AK61" s="190">
        <v>6.547E-6</v>
      </c>
      <c r="AL61" s="4">
        <f t="shared" si="17"/>
        <v>0</v>
      </c>
      <c r="AM61" s="190">
        <v>-2.6773E-5</v>
      </c>
      <c r="AN61" s="190">
        <v>6.249E-6</v>
      </c>
      <c r="AO61" s="4">
        <f t="shared" si="18"/>
        <v>0</v>
      </c>
      <c r="AP61" s="191">
        <f t="shared" si="19"/>
        <v>0.000179445</v>
      </c>
      <c r="AQ61" s="196">
        <f t="shared" si="20"/>
        <v>14.91989189</v>
      </c>
      <c r="AR61" s="193">
        <v>3.55505E-4</v>
      </c>
      <c r="AS61" s="193">
        <v>1.288E-5</v>
      </c>
      <c r="AT61" s="4">
        <f t="shared" si="21"/>
        <v>0</v>
      </c>
      <c r="AU61" s="193">
        <v>-3.6502E-5</v>
      </c>
      <c r="AV61" s="193">
        <v>9.955E-6</v>
      </c>
      <c r="AW61" s="4">
        <f t="shared" si="22"/>
        <v>0</v>
      </c>
      <c r="AX61" s="192">
        <f t="shared" si="23"/>
        <v>0.000319003</v>
      </c>
      <c r="AY61" s="196">
        <f t="shared" si="24"/>
        <v>11.44252562</v>
      </c>
      <c r="AZ61" s="4">
        <v>58.0</v>
      </c>
      <c r="BA61" s="193">
        <v>6.5283E-5</v>
      </c>
      <c r="BB61" s="193">
        <v>2.719E-6</v>
      </c>
      <c r="BC61" s="4">
        <f t="shared" si="25"/>
        <v>0</v>
      </c>
      <c r="BD61" s="193">
        <v>-1.0376E-5</v>
      </c>
      <c r="BE61" s="193">
        <v>3.563E-6</v>
      </c>
      <c r="BF61" s="4">
        <f t="shared" si="26"/>
        <v>0</v>
      </c>
      <c r="BG61" s="192">
        <f t="shared" si="27"/>
        <v>0.000054907</v>
      </c>
      <c r="BH61" s="196">
        <f t="shared" si="28"/>
        <v>18.89740835</v>
      </c>
      <c r="BI61" s="193">
        <v>1.8636E-4</v>
      </c>
      <c r="BJ61" s="193">
        <v>6.405E-6</v>
      </c>
      <c r="BK61" s="4">
        <f t="shared" si="29"/>
        <v>0</v>
      </c>
      <c r="BL61" s="193">
        <v>-3.0153E-5</v>
      </c>
      <c r="BM61" s="193">
        <v>6.577E-6</v>
      </c>
      <c r="BN61" s="4">
        <f t="shared" si="30"/>
        <v>0</v>
      </c>
      <c r="BO61" s="192">
        <f t="shared" si="31"/>
        <v>0.000156207</v>
      </c>
      <c r="BP61" s="196">
        <f t="shared" si="32"/>
        <v>19.30323225</v>
      </c>
    </row>
    <row r="62">
      <c r="A62" s="4">
        <v>59.0</v>
      </c>
      <c r="B62" s="188">
        <v>7.5932E-5</v>
      </c>
      <c r="C62" s="188">
        <v>3.8574E-5</v>
      </c>
      <c r="D62" s="4">
        <f t="shared" si="1"/>
        <v>0</v>
      </c>
      <c r="E62" s="188">
        <v>3.6691E-5</v>
      </c>
      <c r="F62" s="188">
        <v>3.6691E-5</v>
      </c>
      <c r="G62" s="4">
        <f t="shared" si="2"/>
        <v>0</v>
      </c>
      <c r="H62" s="189">
        <f t="shared" si="3"/>
        <v>0.000112623</v>
      </c>
      <c r="I62" s="196">
        <f t="shared" si="4"/>
        <v>-32.57860295</v>
      </c>
      <c r="J62" s="188">
        <v>2.43514E-4</v>
      </c>
      <c r="K62" s="188">
        <v>7.6127E-5</v>
      </c>
      <c r="L62" s="4">
        <f t="shared" si="5"/>
        <v>0</v>
      </c>
      <c r="M62" s="188">
        <v>2.16487E-4</v>
      </c>
      <c r="N62" s="188">
        <v>2.15136E-4</v>
      </c>
      <c r="O62" s="4">
        <f t="shared" si="6"/>
        <v>0</v>
      </c>
      <c r="P62" s="189">
        <f t="shared" si="7"/>
        <v>0.000460001</v>
      </c>
      <c r="Q62" s="196">
        <f t="shared" si="8"/>
        <v>-47.062289</v>
      </c>
      <c r="R62" s="4">
        <v>59.0</v>
      </c>
      <c r="S62" s="188">
        <v>8.299E-6</v>
      </c>
      <c r="T62" s="188">
        <v>5.869E-6</v>
      </c>
      <c r="U62" s="4">
        <f t="shared" si="9"/>
        <v>0</v>
      </c>
      <c r="V62" s="188">
        <v>-1.878E-5</v>
      </c>
      <c r="W62" s="188">
        <v>1.878E-5</v>
      </c>
      <c r="X62" s="4">
        <f t="shared" si="10"/>
        <v>0</v>
      </c>
      <c r="Y62" s="195">
        <f t="shared" si="11"/>
        <v>-0.000010481</v>
      </c>
      <c r="Z62" s="196">
        <f t="shared" si="12"/>
        <v>-179.1813758</v>
      </c>
      <c r="AA62" s="188">
        <v>5.4348E-5</v>
      </c>
      <c r="AB62" s="188">
        <v>2.1075E-5</v>
      </c>
      <c r="AC62" s="4">
        <f t="shared" si="13"/>
        <v>0</v>
      </c>
      <c r="AD62" s="188">
        <v>6.2654E-5</v>
      </c>
      <c r="AE62" s="188">
        <v>7.5888E-5</v>
      </c>
      <c r="AF62" s="4">
        <f t="shared" si="14"/>
        <v>1</v>
      </c>
      <c r="AG62" s="189">
        <f t="shared" si="15"/>
        <v>0.000117002</v>
      </c>
      <c r="AH62" s="196">
        <f t="shared" si="16"/>
        <v>-53.54951197</v>
      </c>
      <c r="AI62" s="4">
        <v>59.0</v>
      </c>
      <c r="AJ62" s="190">
        <v>3.577E-6</v>
      </c>
      <c r="AK62" s="190">
        <v>2.533E-6</v>
      </c>
      <c r="AL62" s="4">
        <f t="shared" si="17"/>
        <v>0</v>
      </c>
      <c r="AM62" s="190">
        <v>8.475E-6</v>
      </c>
      <c r="AN62" s="190">
        <v>3.0926E-5</v>
      </c>
      <c r="AO62" s="4">
        <f t="shared" si="18"/>
        <v>1</v>
      </c>
      <c r="AP62" s="191">
        <f t="shared" si="19"/>
        <v>0.000012052</v>
      </c>
      <c r="AQ62" s="196">
        <f t="shared" si="20"/>
        <v>-70.32027879</v>
      </c>
      <c r="AR62" s="193">
        <v>4.0871E-5</v>
      </c>
      <c r="AS62" s="193">
        <v>1.1122E-5</v>
      </c>
      <c r="AT62" s="4">
        <f t="shared" si="21"/>
        <v>0</v>
      </c>
      <c r="AU62" s="193">
        <v>-4.1636E-5</v>
      </c>
      <c r="AV62" s="193">
        <v>3.6302E-5</v>
      </c>
      <c r="AW62" s="4">
        <f t="shared" si="22"/>
        <v>0</v>
      </c>
      <c r="AX62" s="197">
        <f t="shared" si="23"/>
        <v>-0.000000765</v>
      </c>
      <c r="AY62" s="196">
        <f t="shared" si="24"/>
        <v>-5442.614379</v>
      </c>
      <c r="AZ62" s="4">
        <v>59.0</v>
      </c>
      <c r="BA62" s="193">
        <v>8.1E-7</v>
      </c>
      <c r="BB62" s="193">
        <v>8.1E-7</v>
      </c>
      <c r="BC62" s="4">
        <f t="shared" si="25"/>
        <v>0</v>
      </c>
      <c r="BD62" s="193">
        <v>-1.0857E-5</v>
      </c>
      <c r="BE62" s="193">
        <v>1.0857E-5</v>
      </c>
      <c r="BF62" s="4">
        <f t="shared" si="26"/>
        <v>0</v>
      </c>
      <c r="BG62" s="197">
        <f t="shared" si="27"/>
        <v>-0.000010047</v>
      </c>
      <c r="BH62" s="196">
        <f t="shared" si="28"/>
        <v>-108.0621081</v>
      </c>
      <c r="BI62" s="193">
        <v>2.5725E-5</v>
      </c>
      <c r="BJ62" s="193">
        <v>6.531E-6</v>
      </c>
      <c r="BK62" s="4">
        <f t="shared" si="29"/>
        <v>0</v>
      </c>
      <c r="BL62" s="193">
        <v>-3.385E-5</v>
      </c>
      <c r="BM62" s="193">
        <v>4.3589E-5</v>
      </c>
      <c r="BN62" s="4">
        <f t="shared" si="30"/>
        <v>1</v>
      </c>
      <c r="BO62" s="197">
        <f t="shared" si="31"/>
        <v>-0.000008125</v>
      </c>
      <c r="BP62" s="196">
        <f t="shared" si="32"/>
        <v>-416.6153846</v>
      </c>
    </row>
    <row r="63">
      <c r="A63" s="4">
        <v>60.0</v>
      </c>
      <c r="B63" s="188">
        <v>0.002330447</v>
      </c>
      <c r="C63" s="188">
        <v>3.1968E-5</v>
      </c>
      <c r="D63" s="4">
        <f t="shared" si="1"/>
        <v>0</v>
      </c>
      <c r="E63" s="188">
        <v>-6.025E-5</v>
      </c>
      <c r="F63" s="188">
        <v>1.9981E-5</v>
      </c>
      <c r="G63" s="4">
        <f t="shared" si="2"/>
        <v>0</v>
      </c>
      <c r="H63" s="189">
        <f t="shared" si="3"/>
        <v>0.002270197</v>
      </c>
      <c r="I63" s="179">
        <f t="shared" si="4"/>
        <v>2.653954701</v>
      </c>
      <c r="J63" s="188">
        <v>5.15539E-4</v>
      </c>
      <c r="K63" s="188">
        <v>2.3799E-5</v>
      </c>
      <c r="L63" s="4">
        <f t="shared" si="5"/>
        <v>0</v>
      </c>
      <c r="M63" s="188">
        <v>-1.19618E-4</v>
      </c>
      <c r="N63" s="188">
        <v>2.5607E-5</v>
      </c>
      <c r="O63" s="4">
        <f t="shared" si="6"/>
        <v>0</v>
      </c>
      <c r="P63" s="189">
        <f t="shared" si="7"/>
        <v>0.000395921</v>
      </c>
      <c r="Q63" s="196">
        <f t="shared" si="8"/>
        <v>30.21259292</v>
      </c>
      <c r="R63" s="4">
        <v>60.0</v>
      </c>
      <c r="S63" s="188">
        <v>3.99741E-4</v>
      </c>
      <c r="T63" s="188">
        <v>7.464E-6</v>
      </c>
      <c r="U63" s="4">
        <f t="shared" si="9"/>
        <v>0</v>
      </c>
      <c r="V63" s="188">
        <v>-2.9593E-5</v>
      </c>
      <c r="W63" s="188">
        <v>9.339E-6</v>
      </c>
      <c r="X63" s="4">
        <f t="shared" si="10"/>
        <v>0</v>
      </c>
      <c r="Y63" s="189">
        <f t="shared" si="11"/>
        <v>0.000370148</v>
      </c>
      <c r="Z63" s="179">
        <f t="shared" si="12"/>
        <v>7.994910144</v>
      </c>
      <c r="AA63" s="188">
        <v>1.73495E-4</v>
      </c>
      <c r="AB63" s="188">
        <v>7.568E-6</v>
      </c>
      <c r="AC63" s="4">
        <f t="shared" si="13"/>
        <v>0</v>
      </c>
      <c r="AD63" s="188">
        <v>-8.0119E-5</v>
      </c>
      <c r="AE63" s="188">
        <v>1.714E-5</v>
      </c>
      <c r="AF63" s="4">
        <f t="shared" si="14"/>
        <v>0</v>
      </c>
      <c r="AG63" s="189">
        <f t="shared" si="15"/>
        <v>0.000093376</v>
      </c>
      <c r="AH63" s="196">
        <f t="shared" si="16"/>
        <v>85.80256169</v>
      </c>
      <c r="AI63" s="4">
        <v>60.0</v>
      </c>
      <c r="AJ63" s="190">
        <v>8.4337E-5</v>
      </c>
      <c r="AK63" s="190">
        <v>2.239E-6</v>
      </c>
      <c r="AL63" s="4">
        <f t="shared" si="17"/>
        <v>0</v>
      </c>
      <c r="AM63" s="190">
        <v>-1.3128E-5</v>
      </c>
      <c r="AN63" s="190">
        <v>4.393E-6</v>
      </c>
      <c r="AO63" s="4">
        <f t="shared" si="18"/>
        <v>0</v>
      </c>
      <c r="AP63" s="191">
        <f t="shared" si="19"/>
        <v>0.000071209</v>
      </c>
      <c r="AQ63" s="196">
        <f t="shared" si="20"/>
        <v>18.43587187</v>
      </c>
      <c r="AR63" s="193">
        <v>8.072E-5</v>
      </c>
      <c r="AS63" s="193">
        <v>3.407E-6</v>
      </c>
      <c r="AT63" s="4">
        <f t="shared" si="21"/>
        <v>0</v>
      </c>
      <c r="AU63" s="193">
        <v>-3.4882E-5</v>
      </c>
      <c r="AV63" s="193">
        <v>9.709E-6</v>
      </c>
      <c r="AW63" s="4">
        <f t="shared" si="22"/>
        <v>0</v>
      </c>
      <c r="AX63" s="192">
        <f t="shared" si="23"/>
        <v>0.000045838</v>
      </c>
      <c r="AY63" s="196">
        <f t="shared" si="24"/>
        <v>76.09843361</v>
      </c>
      <c r="AZ63" s="4">
        <v>60.0</v>
      </c>
      <c r="BA63" s="193">
        <v>2.5901E-5</v>
      </c>
      <c r="BB63" s="193">
        <v>8.75E-7</v>
      </c>
      <c r="BC63" s="4">
        <f t="shared" si="25"/>
        <v>0</v>
      </c>
      <c r="BD63" s="193">
        <v>-1.2216E-5</v>
      </c>
      <c r="BE63" s="193">
        <v>3.539E-6</v>
      </c>
      <c r="BF63" s="4">
        <f t="shared" si="26"/>
        <v>0</v>
      </c>
      <c r="BG63" s="192">
        <f t="shared" si="27"/>
        <v>0.000013685</v>
      </c>
      <c r="BH63" s="196">
        <f t="shared" si="28"/>
        <v>89.26561929</v>
      </c>
      <c r="BI63" s="193">
        <v>3.9725E-5</v>
      </c>
      <c r="BJ63" s="193">
        <v>1.611E-6</v>
      </c>
      <c r="BK63" s="4">
        <f t="shared" si="29"/>
        <v>0</v>
      </c>
      <c r="BL63" s="193">
        <v>-2.703E-5</v>
      </c>
      <c r="BM63" s="193">
        <v>6.964E-6</v>
      </c>
      <c r="BN63" s="4">
        <f t="shared" si="30"/>
        <v>0</v>
      </c>
      <c r="BO63" s="192">
        <f t="shared" si="31"/>
        <v>0.000012695</v>
      </c>
      <c r="BP63" s="196">
        <f t="shared" si="32"/>
        <v>212.9184718</v>
      </c>
    </row>
    <row r="64">
      <c r="A64" s="4">
        <v>61.0</v>
      </c>
      <c r="B64" s="188">
        <v>0.002364957</v>
      </c>
      <c r="C64" s="188">
        <v>3.212E-5</v>
      </c>
      <c r="D64" s="4">
        <f t="shared" si="1"/>
        <v>0</v>
      </c>
      <c r="E64" s="188">
        <v>-1.605E-5</v>
      </c>
      <c r="F64" s="188">
        <v>1.447E-5</v>
      </c>
      <c r="G64" s="4">
        <f t="shared" si="2"/>
        <v>0</v>
      </c>
      <c r="H64" s="189">
        <f t="shared" si="3"/>
        <v>0.002348907</v>
      </c>
      <c r="I64" s="179">
        <f t="shared" si="4"/>
        <v>0.683296529</v>
      </c>
      <c r="J64" s="188">
        <v>4.80592E-4</v>
      </c>
      <c r="K64" s="188">
        <v>2.2649E-5</v>
      </c>
      <c r="L64" s="4">
        <f t="shared" si="5"/>
        <v>0</v>
      </c>
      <c r="M64" s="188">
        <v>-1.34747E-4</v>
      </c>
      <c r="N64" s="188">
        <v>2.8197E-5</v>
      </c>
      <c r="O64" s="4">
        <f t="shared" si="6"/>
        <v>0</v>
      </c>
      <c r="P64" s="189">
        <f t="shared" si="7"/>
        <v>0.000345845</v>
      </c>
      <c r="Q64" s="196">
        <f t="shared" si="8"/>
        <v>38.96167358</v>
      </c>
      <c r="R64" s="4">
        <v>61.0</v>
      </c>
      <c r="S64" s="188">
        <v>3.93581E-4</v>
      </c>
      <c r="T64" s="188">
        <v>7.288E-6</v>
      </c>
      <c r="U64" s="4">
        <f t="shared" si="9"/>
        <v>0</v>
      </c>
      <c r="V64" s="188">
        <v>-3.2833E-5</v>
      </c>
      <c r="W64" s="188">
        <v>8.996E-6</v>
      </c>
      <c r="X64" s="4">
        <f t="shared" si="10"/>
        <v>0</v>
      </c>
      <c r="Y64" s="189">
        <f t="shared" si="11"/>
        <v>0.000360748</v>
      </c>
      <c r="Z64" s="179">
        <f t="shared" si="12"/>
        <v>9.101367159</v>
      </c>
      <c r="AA64" s="188">
        <v>1.62541E-4</v>
      </c>
      <c r="AB64" s="188">
        <v>7.277E-6</v>
      </c>
      <c r="AC64" s="4">
        <f t="shared" si="13"/>
        <v>0</v>
      </c>
      <c r="AD64" s="188">
        <v>-6.2008E-5</v>
      </c>
      <c r="AE64" s="188">
        <v>1.4902E-5</v>
      </c>
      <c r="AF64" s="4">
        <f t="shared" si="14"/>
        <v>0</v>
      </c>
      <c r="AG64" s="189">
        <f t="shared" si="15"/>
        <v>0.000100533</v>
      </c>
      <c r="AH64" s="196">
        <f t="shared" si="16"/>
        <v>61.6792496</v>
      </c>
      <c r="AI64" s="4">
        <v>61.0</v>
      </c>
      <c r="AJ64" s="190">
        <v>8.858E-5</v>
      </c>
      <c r="AK64" s="190">
        <v>2.263E-6</v>
      </c>
      <c r="AL64" s="4">
        <f t="shared" si="17"/>
        <v>0</v>
      </c>
      <c r="AM64" s="190">
        <v>-2.1345E-5</v>
      </c>
      <c r="AN64" s="190">
        <v>5.52E-6</v>
      </c>
      <c r="AO64" s="4">
        <f t="shared" si="18"/>
        <v>0</v>
      </c>
      <c r="AP64" s="191">
        <f t="shared" si="19"/>
        <v>0.000067235</v>
      </c>
      <c r="AQ64" s="196">
        <f t="shared" si="20"/>
        <v>31.74685804</v>
      </c>
      <c r="AR64" s="193">
        <v>7.8913E-5</v>
      </c>
      <c r="AS64" s="193">
        <v>3.282E-6</v>
      </c>
      <c r="AT64" s="4">
        <f t="shared" si="21"/>
        <v>0</v>
      </c>
      <c r="AU64" s="193">
        <v>-3.1473E-5</v>
      </c>
      <c r="AV64" s="193">
        <v>8.819E-6</v>
      </c>
      <c r="AW64" s="4">
        <f t="shared" si="22"/>
        <v>0</v>
      </c>
      <c r="AX64" s="192">
        <f t="shared" si="23"/>
        <v>0.00004744</v>
      </c>
      <c r="AY64" s="196">
        <f t="shared" si="24"/>
        <v>66.34274874</v>
      </c>
      <c r="AZ64" s="4">
        <v>61.0</v>
      </c>
      <c r="BA64" s="193">
        <v>2.5409E-5</v>
      </c>
      <c r="BB64" s="193">
        <v>8.57E-7</v>
      </c>
      <c r="BC64" s="4">
        <f t="shared" si="25"/>
        <v>0</v>
      </c>
      <c r="BD64" s="193">
        <v>-1.7575E-5</v>
      </c>
      <c r="BE64" s="193">
        <v>3.798E-6</v>
      </c>
      <c r="BF64" s="4">
        <f t="shared" si="26"/>
        <v>0</v>
      </c>
      <c r="BG64" s="192">
        <f t="shared" si="27"/>
        <v>0.000007834</v>
      </c>
      <c r="BH64" s="196">
        <f t="shared" si="28"/>
        <v>224.3426091</v>
      </c>
      <c r="BI64" s="193">
        <v>3.8813E-5</v>
      </c>
      <c r="BJ64" s="193">
        <v>1.64E-6</v>
      </c>
      <c r="BK64" s="4">
        <f t="shared" si="29"/>
        <v>0</v>
      </c>
      <c r="BL64" s="193">
        <v>-2.7092E-5</v>
      </c>
      <c r="BM64" s="193">
        <v>7.046E-6</v>
      </c>
      <c r="BN64" s="4">
        <f t="shared" si="30"/>
        <v>0</v>
      </c>
      <c r="BO64" s="192">
        <f t="shared" si="31"/>
        <v>0.000011721</v>
      </c>
      <c r="BP64" s="196">
        <f t="shared" si="32"/>
        <v>231.1406877</v>
      </c>
    </row>
    <row r="65">
      <c r="B65" s="188"/>
      <c r="C65" s="188"/>
      <c r="E65" s="189"/>
      <c r="F65" s="189"/>
      <c r="I65" s="179"/>
      <c r="J65" s="188"/>
      <c r="K65" s="188"/>
      <c r="M65" s="189"/>
      <c r="N65" s="189"/>
      <c r="Q65" s="179"/>
      <c r="S65" s="189"/>
      <c r="T65" s="189"/>
      <c r="V65" s="189"/>
      <c r="W65" s="189"/>
      <c r="Z65" s="179"/>
      <c r="AA65" s="189"/>
      <c r="AB65" s="189"/>
      <c r="AD65" s="189"/>
      <c r="AE65" s="189"/>
      <c r="AH65" s="179"/>
      <c r="AJ65" s="191"/>
      <c r="AK65" s="191"/>
      <c r="AM65" s="191"/>
      <c r="AN65" s="191"/>
      <c r="AQ65" s="179"/>
      <c r="AR65" s="192"/>
      <c r="AS65" s="192"/>
      <c r="AU65" s="192"/>
      <c r="AV65" s="192"/>
      <c r="AY65" s="179"/>
      <c r="BA65" s="192"/>
      <c r="BB65" s="192"/>
      <c r="BD65" s="192"/>
      <c r="BE65" s="192"/>
      <c r="BH65" s="179"/>
      <c r="BI65" s="192"/>
      <c r="BJ65" s="192"/>
      <c r="BL65" s="192"/>
      <c r="BM65" s="192"/>
      <c r="BP65" s="179"/>
    </row>
    <row r="66">
      <c r="B66" s="189"/>
      <c r="C66" s="189"/>
      <c r="E66" s="189"/>
      <c r="F66" s="189"/>
      <c r="I66" s="179"/>
      <c r="J66" s="189"/>
      <c r="K66" s="189"/>
      <c r="M66" s="189"/>
      <c r="N66" s="189"/>
      <c r="Q66" s="179"/>
      <c r="S66" s="189"/>
      <c r="T66" s="189"/>
      <c r="V66" s="189"/>
      <c r="W66" s="189"/>
      <c r="Z66" s="179"/>
      <c r="AA66" s="189"/>
      <c r="AB66" s="189"/>
      <c r="AD66" s="189"/>
      <c r="AE66" s="189"/>
      <c r="AH66" s="179"/>
      <c r="AJ66" s="191"/>
      <c r="AK66" s="191"/>
      <c r="AM66" s="191"/>
      <c r="AN66" s="191"/>
      <c r="AQ66" s="179"/>
      <c r="AR66" s="192"/>
      <c r="AS66" s="192"/>
      <c r="AU66" s="192"/>
      <c r="AV66" s="192"/>
      <c r="AY66" s="179"/>
      <c r="BA66" s="192"/>
      <c r="BB66" s="192"/>
      <c r="BD66" s="192"/>
      <c r="BE66" s="192"/>
      <c r="BH66" s="179"/>
      <c r="BI66" s="192"/>
      <c r="BJ66" s="192"/>
      <c r="BL66" s="192"/>
      <c r="BM66" s="192"/>
      <c r="BP66" s="179"/>
    </row>
    <row r="67">
      <c r="B67" s="189"/>
      <c r="C67" s="189"/>
      <c r="E67" s="189"/>
      <c r="F67" s="189"/>
      <c r="I67" s="179"/>
      <c r="J67" s="189"/>
      <c r="K67" s="189"/>
      <c r="M67" s="189"/>
      <c r="N67" s="189"/>
      <c r="Q67" s="179"/>
      <c r="S67" s="189"/>
      <c r="T67" s="189"/>
      <c r="V67" s="189"/>
      <c r="W67" s="189"/>
      <c r="Z67" s="179"/>
      <c r="AA67" s="189"/>
      <c r="AB67" s="189"/>
      <c r="AD67" s="189"/>
      <c r="AE67" s="189"/>
      <c r="AH67" s="179"/>
      <c r="AJ67" s="191"/>
      <c r="AK67" s="191"/>
      <c r="AM67" s="191"/>
      <c r="AN67" s="191"/>
      <c r="AQ67" s="179"/>
      <c r="AR67" s="192"/>
      <c r="AS67" s="192"/>
      <c r="AU67" s="192"/>
      <c r="AV67" s="192"/>
      <c r="AY67" s="179"/>
      <c r="BA67" s="192"/>
      <c r="BB67" s="192"/>
      <c r="BD67" s="192"/>
      <c r="BE67" s="192"/>
      <c r="BH67" s="179"/>
      <c r="BI67" s="192"/>
      <c r="BJ67" s="192"/>
      <c r="BL67" s="192"/>
      <c r="BM67" s="192"/>
      <c r="BP67" s="179"/>
    </row>
    <row r="68">
      <c r="B68" s="189"/>
      <c r="C68" s="189"/>
      <c r="E68" s="189"/>
      <c r="F68" s="189"/>
      <c r="I68" s="179"/>
      <c r="J68" s="189"/>
      <c r="K68" s="189"/>
      <c r="M68" s="189"/>
      <c r="N68" s="189"/>
      <c r="Q68" s="179"/>
      <c r="S68" s="189"/>
      <c r="T68" s="189"/>
      <c r="V68" s="189"/>
      <c r="W68" s="189"/>
      <c r="Z68" s="179"/>
      <c r="AA68" s="189"/>
      <c r="AB68" s="189"/>
      <c r="AD68" s="189"/>
      <c r="AE68" s="189"/>
      <c r="AH68" s="179"/>
      <c r="AJ68" s="191"/>
      <c r="AK68" s="191"/>
      <c r="AM68" s="191"/>
      <c r="AN68" s="191"/>
      <c r="AQ68" s="179"/>
      <c r="AR68" s="192"/>
      <c r="AS68" s="192"/>
      <c r="AU68" s="192"/>
      <c r="AV68" s="192"/>
      <c r="AY68" s="179"/>
      <c r="BA68" s="192"/>
      <c r="BB68" s="192"/>
      <c r="BD68" s="192"/>
      <c r="BE68" s="192"/>
      <c r="BH68" s="179"/>
      <c r="BI68" s="192"/>
      <c r="BJ68" s="192"/>
      <c r="BL68" s="192"/>
      <c r="BM68" s="192"/>
      <c r="BP68" s="179"/>
    </row>
    <row r="69">
      <c r="B69" s="189"/>
      <c r="C69" s="189"/>
      <c r="E69" s="189"/>
      <c r="F69" s="189"/>
      <c r="I69" s="179"/>
      <c r="J69" s="189"/>
      <c r="K69" s="189"/>
      <c r="M69" s="189"/>
      <c r="N69" s="189"/>
      <c r="Q69" s="179"/>
      <c r="S69" s="189"/>
      <c r="T69" s="189"/>
      <c r="V69" s="189"/>
      <c r="W69" s="189"/>
      <c r="Z69" s="179"/>
      <c r="AA69" s="189"/>
      <c r="AB69" s="189"/>
      <c r="AD69" s="189"/>
      <c r="AE69" s="189"/>
      <c r="AH69" s="179"/>
      <c r="AJ69" s="191"/>
      <c r="AK69" s="191"/>
      <c r="AM69" s="191"/>
      <c r="AN69" s="191"/>
      <c r="AQ69" s="179"/>
      <c r="AR69" s="192"/>
      <c r="AS69" s="192"/>
      <c r="AU69" s="192"/>
      <c r="AV69" s="192"/>
      <c r="AY69" s="179"/>
      <c r="BA69" s="192"/>
      <c r="BB69" s="192"/>
      <c r="BD69" s="192"/>
      <c r="BE69" s="192"/>
      <c r="BH69" s="179"/>
      <c r="BI69" s="192"/>
      <c r="BJ69" s="192"/>
      <c r="BL69" s="192"/>
      <c r="BM69" s="192"/>
      <c r="BP69" s="179"/>
    </row>
    <row r="70">
      <c r="B70" s="189"/>
      <c r="C70" s="189"/>
      <c r="E70" s="189"/>
      <c r="F70" s="189"/>
      <c r="I70" s="179"/>
      <c r="J70" s="189"/>
      <c r="K70" s="189"/>
      <c r="M70" s="189"/>
      <c r="N70" s="189"/>
      <c r="Q70" s="179"/>
      <c r="S70" s="189"/>
      <c r="T70" s="189"/>
      <c r="V70" s="189"/>
      <c r="W70" s="189"/>
      <c r="Z70" s="179"/>
      <c r="AA70" s="189"/>
      <c r="AB70" s="189"/>
      <c r="AD70" s="189"/>
      <c r="AE70" s="189"/>
      <c r="AH70" s="179"/>
      <c r="AJ70" s="191"/>
      <c r="AK70" s="191"/>
      <c r="AM70" s="191"/>
      <c r="AN70" s="191"/>
      <c r="AQ70" s="179"/>
      <c r="AR70" s="192"/>
      <c r="AS70" s="192"/>
      <c r="AU70" s="192"/>
      <c r="AV70" s="192"/>
      <c r="AY70" s="179"/>
      <c r="BA70" s="192"/>
      <c r="BB70" s="192"/>
      <c r="BD70" s="192"/>
      <c r="BE70" s="192"/>
      <c r="BH70" s="179"/>
      <c r="BI70" s="192"/>
      <c r="BJ70" s="192"/>
      <c r="BL70" s="192"/>
      <c r="BM70" s="192"/>
      <c r="BP70" s="179"/>
    </row>
    <row r="71">
      <c r="B71" s="189"/>
      <c r="C71" s="189"/>
      <c r="E71" s="189"/>
      <c r="F71" s="189"/>
      <c r="I71" s="179"/>
      <c r="J71" s="189"/>
      <c r="K71" s="189"/>
      <c r="M71" s="189"/>
      <c r="N71" s="189"/>
      <c r="Q71" s="179"/>
      <c r="S71" s="189"/>
      <c r="T71" s="189"/>
      <c r="V71" s="189"/>
      <c r="W71" s="189"/>
      <c r="Z71" s="179"/>
      <c r="AA71" s="189"/>
      <c r="AB71" s="189"/>
      <c r="AD71" s="189"/>
      <c r="AE71" s="189"/>
      <c r="AH71" s="179"/>
      <c r="AJ71" s="191"/>
      <c r="AK71" s="191"/>
      <c r="AM71" s="191"/>
      <c r="AN71" s="191"/>
      <c r="AQ71" s="179"/>
      <c r="AR71" s="192"/>
      <c r="AS71" s="192"/>
      <c r="AU71" s="192"/>
      <c r="AV71" s="192"/>
      <c r="AY71" s="179"/>
      <c r="BA71" s="192"/>
      <c r="BB71" s="192"/>
      <c r="BD71" s="192"/>
      <c r="BE71" s="192"/>
      <c r="BH71" s="179"/>
      <c r="BI71" s="192"/>
      <c r="BJ71" s="192"/>
      <c r="BL71" s="192"/>
      <c r="BM71" s="192"/>
      <c r="BP71" s="179"/>
    </row>
    <row r="72">
      <c r="B72" s="189"/>
      <c r="C72" s="189"/>
      <c r="E72" s="189"/>
      <c r="F72" s="189"/>
      <c r="I72" s="179"/>
      <c r="J72" s="189"/>
      <c r="K72" s="189"/>
      <c r="M72" s="189"/>
      <c r="N72" s="189"/>
      <c r="Q72" s="179"/>
      <c r="S72" s="189"/>
      <c r="T72" s="189"/>
      <c r="V72" s="189"/>
      <c r="W72" s="189"/>
      <c r="Z72" s="179"/>
      <c r="AA72" s="189"/>
      <c r="AB72" s="189"/>
      <c r="AD72" s="189"/>
      <c r="AE72" s="189"/>
      <c r="AH72" s="179"/>
      <c r="AJ72" s="191"/>
      <c r="AK72" s="191"/>
      <c r="AM72" s="191"/>
      <c r="AN72" s="191"/>
      <c r="AQ72" s="179"/>
      <c r="AR72" s="192"/>
      <c r="AS72" s="192"/>
      <c r="AU72" s="192"/>
      <c r="AV72" s="192"/>
      <c r="AY72" s="179"/>
      <c r="BA72" s="192"/>
      <c r="BB72" s="192"/>
      <c r="BD72" s="192"/>
      <c r="BE72" s="192"/>
      <c r="BH72" s="179"/>
      <c r="BI72" s="192"/>
      <c r="BJ72" s="192"/>
      <c r="BL72" s="192"/>
      <c r="BM72" s="192"/>
      <c r="BP72" s="179"/>
    </row>
    <row r="73">
      <c r="B73" s="189"/>
      <c r="C73" s="189"/>
      <c r="E73" s="189"/>
      <c r="F73" s="189"/>
      <c r="I73" s="179"/>
      <c r="J73" s="189"/>
      <c r="K73" s="189"/>
      <c r="M73" s="189"/>
      <c r="N73" s="189"/>
      <c r="Q73" s="179"/>
      <c r="S73" s="189"/>
      <c r="T73" s="189"/>
      <c r="V73" s="189"/>
      <c r="W73" s="189"/>
      <c r="Z73" s="179"/>
      <c r="AA73" s="189"/>
      <c r="AB73" s="189"/>
      <c r="AD73" s="189"/>
      <c r="AE73" s="189"/>
      <c r="AH73" s="179"/>
      <c r="AJ73" s="191"/>
      <c r="AK73" s="191"/>
      <c r="AM73" s="191"/>
      <c r="AN73" s="191"/>
      <c r="AQ73" s="179"/>
      <c r="AR73" s="192"/>
      <c r="AS73" s="192"/>
      <c r="AU73" s="192"/>
      <c r="AV73" s="192"/>
      <c r="AY73" s="179"/>
      <c r="BA73" s="192"/>
      <c r="BB73" s="192"/>
      <c r="BD73" s="192"/>
      <c r="BE73" s="192"/>
      <c r="BH73" s="179"/>
      <c r="BI73" s="192"/>
      <c r="BJ73" s="192"/>
      <c r="BL73" s="192"/>
      <c r="BM73" s="192"/>
      <c r="BP73" s="179"/>
    </row>
    <row r="74">
      <c r="B74" s="189"/>
      <c r="C74" s="189"/>
      <c r="E74" s="189"/>
      <c r="F74" s="189"/>
      <c r="I74" s="179"/>
      <c r="J74" s="189"/>
      <c r="K74" s="189"/>
      <c r="M74" s="189"/>
      <c r="N74" s="189"/>
      <c r="Q74" s="179"/>
      <c r="S74" s="189"/>
      <c r="T74" s="189"/>
      <c r="V74" s="189"/>
      <c r="W74" s="189"/>
      <c r="Z74" s="179"/>
      <c r="AA74" s="189"/>
      <c r="AB74" s="189"/>
      <c r="AD74" s="189"/>
      <c r="AE74" s="189"/>
      <c r="AH74" s="179"/>
      <c r="AJ74" s="191"/>
      <c r="AK74" s="191"/>
      <c r="AM74" s="191"/>
      <c r="AN74" s="191"/>
      <c r="AQ74" s="179"/>
      <c r="AR74" s="192"/>
      <c r="AS74" s="192"/>
      <c r="AU74" s="192"/>
      <c r="AV74" s="192"/>
      <c r="AY74" s="179"/>
      <c r="BA74" s="192"/>
      <c r="BB74" s="192"/>
      <c r="BD74" s="192"/>
      <c r="BE74" s="192"/>
      <c r="BH74" s="179"/>
      <c r="BI74" s="192"/>
      <c r="BJ74" s="192"/>
      <c r="BL74" s="192"/>
      <c r="BM74" s="192"/>
      <c r="BP74" s="179"/>
    </row>
    <row r="75">
      <c r="B75" s="189"/>
      <c r="C75" s="189"/>
      <c r="E75" s="189"/>
      <c r="F75" s="189"/>
      <c r="I75" s="179"/>
      <c r="J75" s="189"/>
      <c r="K75" s="189"/>
      <c r="M75" s="189"/>
      <c r="N75" s="189"/>
      <c r="Q75" s="179"/>
      <c r="S75" s="189"/>
      <c r="T75" s="189"/>
      <c r="V75" s="189"/>
      <c r="W75" s="189"/>
      <c r="Z75" s="179"/>
      <c r="AA75" s="189"/>
      <c r="AB75" s="189"/>
      <c r="AD75" s="189"/>
      <c r="AE75" s="189"/>
      <c r="AH75" s="179"/>
      <c r="AJ75" s="191"/>
      <c r="AK75" s="191"/>
      <c r="AM75" s="191"/>
      <c r="AN75" s="191"/>
      <c r="AQ75" s="179"/>
      <c r="AR75" s="192"/>
      <c r="AS75" s="192"/>
      <c r="AU75" s="192"/>
      <c r="AV75" s="192"/>
      <c r="AY75" s="179"/>
      <c r="BA75" s="192"/>
      <c r="BB75" s="192"/>
      <c r="BD75" s="192"/>
      <c r="BE75" s="192"/>
      <c r="BH75" s="179"/>
      <c r="BI75" s="192"/>
      <c r="BJ75" s="192"/>
      <c r="BL75" s="192"/>
      <c r="BM75" s="192"/>
      <c r="BP75" s="179"/>
    </row>
    <row r="76">
      <c r="B76" s="189"/>
      <c r="C76" s="189"/>
      <c r="E76" s="189"/>
      <c r="F76" s="189"/>
      <c r="I76" s="179"/>
      <c r="J76" s="189"/>
      <c r="K76" s="189"/>
      <c r="M76" s="189"/>
      <c r="N76" s="189"/>
      <c r="Q76" s="179"/>
      <c r="S76" s="189"/>
      <c r="T76" s="189"/>
      <c r="V76" s="189"/>
      <c r="W76" s="189"/>
      <c r="Z76" s="179"/>
      <c r="AA76" s="189"/>
      <c r="AB76" s="189"/>
      <c r="AD76" s="189"/>
      <c r="AE76" s="189"/>
      <c r="AH76" s="179"/>
      <c r="AJ76" s="191"/>
      <c r="AK76" s="191"/>
      <c r="AM76" s="191"/>
      <c r="AN76" s="191"/>
      <c r="AQ76" s="179"/>
      <c r="AR76" s="192"/>
      <c r="AS76" s="192"/>
      <c r="AU76" s="192"/>
      <c r="AV76" s="192"/>
      <c r="AY76" s="179"/>
      <c r="BA76" s="192"/>
      <c r="BB76" s="192"/>
      <c r="BD76" s="192"/>
      <c r="BE76" s="192"/>
      <c r="BH76" s="179"/>
      <c r="BI76" s="192"/>
      <c r="BJ76" s="192"/>
      <c r="BL76" s="192"/>
      <c r="BM76" s="192"/>
      <c r="BP76" s="179"/>
    </row>
    <row r="77">
      <c r="B77" s="189"/>
      <c r="C77" s="189"/>
      <c r="E77" s="189"/>
      <c r="F77" s="189"/>
      <c r="I77" s="179"/>
      <c r="J77" s="189"/>
      <c r="K77" s="189"/>
      <c r="M77" s="189"/>
      <c r="N77" s="189"/>
      <c r="Q77" s="179"/>
      <c r="S77" s="189"/>
      <c r="T77" s="189"/>
      <c r="V77" s="189"/>
      <c r="W77" s="189"/>
      <c r="Z77" s="179"/>
      <c r="AA77" s="189"/>
      <c r="AB77" s="189"/>
      <c r="AD77" s="189"/>
      <c r="AE77" s="189"/>
      <c r="AH77" s="179"/>
      <c r="AJ77" s="191"/>
      <c r="AK77" s="191"/>
      <c r="AM77" s="191"/>
      <c r="AN77" s="191"/>
      <c r="AQ77" s="179"/>
      <c r="AR77" s="192"/>
      <c r="AS77" s="192"/>
      <c r="AU77" s="192"/>
      <c r="AV77" s="192"/>
      <c r="AY77" s="179"/>
      <c r="BA77" s="192"/>
      <c r="BB77" s="192"/>
      <c r="BD77" s="192"/>
      <c r="BE77" s="192"/>
      <c r="BH77" s="179"/>
      <c r="BI77" s="192"/>
      <c r="BJ77" s="192"/>
      <c r="BL77" s="192"/>
      <c r="BM77" s="192"/>
      <c r="BP77" s="179"/>
    </row>
    <row r="78">
      <c r="B78" s="189"/>
      <c r="C78" s="189"/>
      <c r="E78" s="189"/>
      <c r="F78" s="189"/>
      <c r="I78" s="179"/>
      <c r="J78" s="189"/>
      <c r="K78" s="189"/>
      <c r="M78" s="189"/>
      <c r="N78" s="189"/>
      <c r="Q78" s="179"/>
      <c r="S78" s="189"/>
      <c r="T78" s="189"/>
      <c r="V78" s="189"/>
      <c r="W78" s="189"/>
      <c r="Z78" s="179"/>
      <c r="AA78" s="189"/>
      <c r="AB78" s="189"/>
      <c r="AD78" s="189"/>
      <c r="AE78" s="189"/>
      <c r="AH78" s="179"/>
      <c r="AJ78" s="191"/>
      <c r="AK78" s="191"/>
      <c r="AM78" s="191"/>
      <c r="AN78" s="191"/>
      <c r="AQ78" s="179"/>
      <c r="AR78" s="192"/>
      <c r="AS78" s="192"/>
      <c r="AU78" s="192"/>
      <c r="AV78" s="192"/>
      <c r="AY78" s="179"/>
      <c r="BA78" s="192"/>
      <c r="BB78" s="192"/>
      <c r="BD78" s="192"/>
      <c r="BE78" s="192"/>
      <c r="BH78" s="179"/>
      <c r="BI78" s="192"/>
      <c r="BJ78" s="192"/>
      <c r="BL78" s="192"/>
      <c r="BM78" s="192"/>
      <c r="BP78" s="179"/>
    </row>
    <row r="79">
      <c r="B79" s="189"/>
      <c r="C79" s="189"/>
      <c r="E79" s="189"/>
      <c r="F79" s="189"/>
      <c r="I79" s="179"/>
      <c r="J79" s="189"/>
      <c r="K79" s="189"/>
      <c r="M79" s="189"/>
      <c r="N79" s="189"/>
      <c r="Q79" s="179"/>
      <c r="S79" s="189"/>
      <c r="T79" s="189"/>
      <c r="V79" s="189"/>
      <c r="W79" s="189"/>
      <c r="Z79" s="179"/>
      <c r="AA79" s="189"/>
      <c r="AB79" s="189"/>
      <c r="AD79" s="189"/>
      <c r="AE79" s="189"/>
      <c r="AH79" s="179"/>
      <c r="AJ79" s="191"/>
      <c r="AK79" s="191"/>
      <c r="AM79" s="191"/>
      <c r="AN79" s="191"/>
      <c r="AQ79" s="179"/>
      <c r="AR79" s="192"/>
      <c r="AS79" s="192"/>
      <c r="AU79" s="192"/>
      <c r="AV79" s="192"/>
      <c r="AY79" s="179"/>
      <c r="BA79" s="192"/>
      <c r="BB79" s="192"/>
      <c r="BD79" s="192"/>
      <c r="BE79" s="192"/>
      <c r="BH79" s="179"/>
      <c r="BI79" s="192"/>
      <c r="BJ79" s="192"/>
      <c r="BL79" s="192"/>
      <c r="BM79" s="192"/>
      <c r="BP79" s="179"/>
    </row>
    <row r="80">
      <c r="B80" s="189"/>
      <c r="C80" s="189"/>
      <c r="E80" s="189"/>
      <c r="F80" s="189"/>
      <c r="I80" s="179"/>
      <c r="J80" s="189"/>
      <c r="K80" s="189"/>
      <c r="M80" s="189"/>
      <c r="N80" s="189"/>
      <c r="Q80" s="179"/>
      <c r="S80" s="189"/>
      <c r="T80" s="189"/>
      <c r="V80" s="189"/>
      <c r="W80" s="189"/>
      <c r="Z80" s="179"/>
      <c r="AA80" s="189"/>
      <c r="AB80" s="189"/>
      <c r="AD80" s="189"/>
      <c r="AE80" s="189"/>
      <c r="AH80" s="179"/>
      <c r="AJ80" s="191"/>
      <c r="AK80" s="191"/>
      <c r="AM80" s="191"/>
      <c r="AN80" s="191"/>
      <c r="AQ80" s="179"/>
      <c r="AR80" s="192"/>
      <c r="AS80" s="192"/>
      <c r="AU80" s="192"/>
      <c r="AV80" s="192"/>
      <c r="AY80" s="179"/>
      <c r="BA80" s="192"/>
      <c r="BB80" s="192"/>
      <c r="BD80" s="192"/>
      <c r="BE80" s="192"/>
      <c r="BH80" s="179"/>
      <c r="BI80" s="192"/>
      <c r="BJ80" s="192"/>
      <c r="BL80" s="192"/>
      <c r="BM80" s="192"/>
      <c r="BP80" s="179"/>
    </row>
    <row r="81">
      <c r="B81" s="189"/>
      <c r="C81" s="189"/>
      <c r="E81" s="189"/>
      <c r="F81" s="189"/>
      <c r="I81" s="179"/>
      <c r="J81" s="189"/>
      <c r="K81" s="189"/>
      <c r="M81" s="189"/>
      <c r="N81" s="189"/>
      <c r="Q81" s="179"/>
      <c r="S81" s="189"/>
      <c r="T81" s="189"/>
      <c r="V81" s="189"/>
      <c r="W81" s="189"/>
      <c r="Z81" s="179"/>
      <c r="AA81" s="189"/>
      <c r="AB81" s="189"/>
      <c r="AD81" s="189"/>
      <c r="AE81" s="189"/>
      <c r="AH81" s="179"/>
      <c r="AJ81" s="191"/>
      <c r="AK81" s="191"/>
      <c r="AM81" s="191"/>
      <c r="AN81" s="191"/>
      <c r="AQ81" s="179"/>
      <c r="AR81" s="192"/>
      <c r="AS81" s="192"/>
      <c r="AU81" s="192"/>
      <c r="AV81" s="192"/>
      <c r="AY81" s="179"/>
      <c r="BA81" s="192"/>
      <c r="BB81" s="192"/>
      <c r="BD81" s="192"/>
      <c r="BE81" s="192"/>
      <c r="BH81" s="179"/>
      <c r="BI81" s="192"/>
      <c r="BJ81" s="192"/>
      <c r="BL81" s="192"/>
      <c r="BM81" s="192"/>
      <c r="BP81" s="179"/>
    </row>
    <row r="82">
      <c r="B82" s="189"/>
      <c r="C82" s="189"/>
      <c r="E82" s="189"/>
      <c r="F82" s="189"/>
      <c r="I82" s="179"/>
      <c r="J82" s="189"/>
      <c r="K82" s="189"/>
      <c r="M82" s="189"/>
      <c r="N82" s="189"/>
      <c r="Q82" s="179"/>
      <c r="S82" s="189"/>
      <c r="T82" s="189"/>
      <c r="V82" s="189"/>
      <c r="W82" s="189"/>
      <c r="Z82" s="179"/>
      <c r="AA82" s="189"/>
      <c r="AB82" s="189"/>
      <c r="AD82" s="189"/>
      <c r="AE82" s="189"/>
      <c r="AH82" s="179"/>
      <c r="AJ82" s="191"/>
      <c r="AK82" s="191"/>
      <c r="AM82" s="191"/>
      <c r="AN82" s="191"/>
      <c r="AQ82" s="179"/>
      <c r="AR82" s="192"/>
      <c r="AS82" s="192"/>
      <c r="AU82" s="192"/>
      <c r="AV82" s="192"/>
      <c r="AY82" s="179"/>
      <c r="BA82" s="192"/>
      <c r="BB82" s="192"/>
      <c r="BD82" s="192"/>
      <c r="BE82" s="192"/>
      <c r="BH82" s="179"/>
      <c r="BI82" s="192"/>
      <c r="BJ82" s="192"/>
      <c r="BL82" s="192"/>
      <c r="BM82" s="192"/>
      <c r="BP82" s="179"/>
    </row>
    <row r="83">
      <c r="B83" s="189"/>
      <c r="C83" s="189"/>
      <c r="E83" s="189"/>
      <c r="F83" s="189"/>
      <c r="I83" s="179"/>
      <c r="J83" s="189"/>
      <c r="K83" s="189"/>
      <c r="M83" s="189"/>
      <c r="N83" s="189"/>
      <c r="Q83" s="179"/>
      <c r="S83" s="189"/>
      <c r="T83" s="189"/>
      <c r="V83" s="189"/>
      <c r="W83" s="189"/>
      <c r="Z83" s="179"/>
      <c r="AA83" s="189"/>
      <c r="AB83" s="189"/>
      <c r="AD83" s="189"/>
      <c r="AE83" s="189"/>
      <c r="AH83" s="179"/>
      <c r="AJ83" s="191"/>
      <c r="AK83" s="191"/>
      <c r="AM83" s="191"/>
      <c r="AN83" s="191"/>
      <c r="AQ83" s="179"/>
      <c r="AR83" s="192"/>
      <c r="AS83" s="192"/>
      <c r="AU83" s="192"/>
      <c r="AV83" s="192"/>
      <c r="AY83" s="179"/>
      <c r="BA83" s="192"/>
      <c r="BB83" s="192"/>
      <c r="BD83" s="192"/>
      <c r="BE83" s="192"/>
      <c r="BH83" s="179"/>
      <c r="BI83" s="192"/>
      <c r="BJ83" s="192"/>
      <c r="BL83" s="192"/>
      <c r="BM83" s="192"/>
      <c r="BP83" s="179"/>
    </row>
    <row r="84">
      <c r="B84" s="189"/>
      <c r="C84" s="189"/>
      <c r="E84" s="189"/>
      <c r="F84" s="189"/>
      <c r="I84" s="179"/>
      <c r="J84" s="189"/>
      <c r="K84" s="189"/>
      <c r="M84" s="189"/>
      <c r="N84" s="189"/>
      <c r="Q84" s="179"/>
      <c r="S84" s="189"/>
      <c r="T84" s="189"/>
      <c r="V84" s="189"/>
      <c r="W84" s="189"/>
      <c r="Z84" s="179"/>
      <c r="AA84" s="189"/>
      <c r="AB84" s="189"/>
      <c r="AD84" s="189"/>
      <c r="AE84" s="189"/>
      <c r="AH84" s="179"/>
      <c r="AJ84" s="191"/>
      <c r="AK84" s="191"/>
      <c r="AM84" s="191"/>
      <c r="AN84" s="191"/>
      <c r="AQ84" s="179"/>
      <c r="AR84" s="192"/>
      <c r="AS84" s="192"/>
      <c r="AU84" s="192"/>
      <c r="AV84" s="192"/>
      <c r="AY84" s="179"/>
      <c r="BA84" s="192"/>
      <c r="BB84" s="192"/>
      <c r="BD84" s="192"/>
      <c r="BE84" s="192"/>
      <c r="BH84" s="179"/>
      <c r="BI84" s="192"/>
      <c r="BJ84" s="192"/>
      <c r="BL84" s="192"/>
      <c r="BM84" s="192"/>
      <c r="BP84" s="179"/>
    </row>
    <row r="85">
      <c r="B85" s="189"/>
      <c r="C85" s="189"/>
      <c r="E85" s="189"/>
      <c r="F85" s="189"/>
      <c r="I85" s="179"/>
      <c r="J85" s="189"/>
      <c r="K85" s="189"/>
      <c r="M85" s="189"/>
      <c r="N85" s="189"/>
      <c r="Q85" s="179"/>
      <c r="S85" s="189"/>
      <c r="T85" s="189"/>
      <c r="V85" s="189"/>
      <c r="W85" s="189"/>
      <c r="Z85" s="179"/>
      <c r="AA85" s="189"/>
      <c r="AB85" s="189"/>
      <c r="AD85" s="189"/>
      <c r="AE85" s="189"/>
      <c r="AH85" s="179"/>
      <c r="AJ85" s="191"/>
      <c r="AK85" s="191"/>
      <c r="AM85" s="191"/>
      <c r="AN85" s="191"/>
      <c r="AQ85" s="179"/>
      <c r="AR85" s="192"/>
      <c r="AS85" s="192"/>
      <c r="AU85" s="192"/>
      <c r="AV85" s="192"/>
      <c r="AY85" s="179"/>
      <c r="BA85" s="192"/>
      <c r="BB85" s="192"/>
      <c r="BD85" s="192"/>
      <c r="BE85" s="192"/>
      <c r="BH85" s="179"/>
      <c r="BI85" s="192"/>
      <c r="BJ85" s="192"/>
      <c r="BL85" s="192"/>
      <c r="BM85" s="192"/>
      <c r="BP85" s="179"/>
    </row>
    <row r="86">
      <c r="B86" s="189"/>
      <c r="C86" s="189"/>
      <c r="E86" s="189"/>
      <c r="F86" s="189"/>
      <c r="I86" s="179"/>
      <c r="J86" s="189"/>
      <c r="K86" s="189"/>
      <c r="M86" s="189"/>
      <c r="N86" s="189"/>
      <c r="Q86" s="179"/>
      <c r="S86" s="189"/>
      <c r="T86" s="189"/>
      <c r="V86" s="189"/>
      <c r="W86" s="189"/>
      <c r="Z86" s="179"/>
      <c r="AA86" s="189"/>
      <c r="AB86" s="189"/>
      <c r="AD86" s="189"/>
      <c r="AE86" s="189"/>
      <c r="AH86" s="179"/>
      <c r="AJ86" s="191"/>
      <c r="AK86" s="191"/>
      <c r="AM86" s="191"/>
      <c r="AN86" s="191"/>
      <c r="AQ86" s="179"/>
      <c r="AR86" s="192"/>
      <c r="AS86" s="192"/>
      <c r="AU86" s="192"/>
      <c r="AV86" s="192"/>
      <c r="AY86" s="179"/>
      <c r="BA86" s="192"/>
      <c r="BB86" s="192"/>
      <c r="BD86" s="192"/>
      <c r="BE86" s="192"/>
      <c r="BH86" s="179"/>
      <c r="BI86" s="192"/>
      <c r="BJ86" s="192"/>
      <c r="BL86" s="192"/>
      <c r="BM86" s="192"/>
      <c r="BP86" s="179"/>
    </row>
    <row r="87">
      <c r="B87" s="189"/>
      <c r="C87" s="189"/>
      <c r="E87" s="189"/>
      <c r="F87" s="189"/>
      <c r="I87" s="179"/>
      <c r="J87" s="189"/>
      <c r="K87" s="189"/>
      <c r="M87" s="189"/>
      <c r="N87" s="189"/>
      <c r="Q87" s="179"/>
      <c r="S87" s="189"/>
      <c r="T87" s="189"/>
      <c r="V87" s="189"/>
      <c r="W87" s="189"/>
      <c r="Z87" s="179"/>
      <c r="AA87" s="189"/>
      <c r="AB87" s="189"/>
      <c r="AD87" s="189"/>
      <c r="AE87" s="189"/>
      <c r="AH87" s="179"/>
      <c r="AJ87" s="191"/>
      <c r="AK87" s="191"/>
      <c r="AM87" s="191"/>
      <c r="AN87" s="191"/>
      <c r="AQ87" s="179"/>
      <c r="AR87" s="192"/>
      <c r="AS87" s="192"/>
      <c r="AU87" s="192"/>
      <c r="AV87" s="192"/>
      <c r="AY87" s="179"/>
      <c r="BA87" s="192"/>
      <c r="BB87" s="192"/>
      <c r="BD87" s="192"/>
      <c r="BE87" s="192"/>
      <c r="BH87" s="179"/>
      <c r="BI87" s="192"/>
      <c r="BJ87" s="192"/>
      <c r="BL87" s="192"/>
      <c r="BM87" s="192"/>
      <c r="BP87" s="179"/>
    </row>
    <row r="88">
      <c r="B88" s="189"/>
      <c r="C88" s="189"/>
      <c r="E88" s="189"/>
      <c r="F88" s="189"/>
      <c r="I88" s="179"/>
      <c r="J88" s="189"/>
      <c r="K88" s="189"/>
      <c r="M88" s="189"/>
      <c r="N88" s="189"/>
      <c r="Q88" s="179"/>
      <c r="S88" s="189"/>
      <c r="T88" s="189"/>
      <c r="V88" s="189"/>
      <c r="W88" s="189"/>
      <c r="Z88" s="179"/>
      <c r="AA88" s="189"/>
      <c r="AB88" s="189"/>
      <c r="AD88" s="189"/>
      <c r="AE88" s="189"/>
      <c r="AH88" s="179"/>
      <c r="AJ88" s="191"/>
      <c r="AK88" s="191"/>
      <c r="AM88" s="191"/>
      <c r="AN88" s="191"/>
      <c r="AQ88" s="179"/>
      <c r="AR88" s="192"/>
      <c r="AS88" s="192"/>
      <c r="AU88" s="192"/>
      <c r="AV88" s="192"/>
      <c r="AY88" s="179"/>
      <c r="BA88" s="192"/>
      <c r="BB88" s="192"/>
      <c r="BD88" s="192"/>
      <c r="BE88" s="192"/>
      <c r="BH88" s="179"/>
      <c r="BI88" s="192"/>
      <c r="BJ88" s="192"/>
      <c r="BL88" s="192"/>
      <c r="BM88" s="192"/>
      <c r="BP88" s="179"/>
    </row>
    <row r="89">
      <c r="B89" s="189"/>
      <c r="C89" s="189"/>
      <c r="E89" s="189"/>
      <c r="F89" s="189"/>
      <c r="I89" s="179"/>
      <c r="J89" s="189"/>
      <c r="K89" s="189"/>
      <c r="M89" s="189"/>
      <c r="N89" s="189"/>
      <c r="Q89" s="179"/>
      <c r="S89" s="189"/>
      <c r="T89" s="189"/>
      <c r="V89" s="189"/>
      <c r="W89" s="189"/>
      <c r="Z89" s="179"/>
      <c r="AA89" s="189"/>
      <c r="AB89" s="189"/>
      <c r="AD89" s="189"/>
      <c r="AE89" s="189"/>
      <c r="AH89" s="179"/>
      <c r="AJ89" s="191"/>
      <c r="AK89" s="191"/>
      <c r="AM89" s="191"/>
      <c r="AN89" s="191"/>
      <c r="AQ89" s="179"/>
      <c r="AR89" s="192"/>
      <c r="AS89" s="192"/>
      <c r="AU89" s="192"/>
      <c r="AV89" s="192"/>
      <c r="AY89" s="179"/>
      <c r="BA89" s="192"/>
      <c r="BB89" s="192"/>
      <c r="BD89" s="192"/>
      <c r="BE89" s="192"/>
      <c r="BH89" s="179"/>
      <c r="BI89" s="192"/>
      <c r="BJ89" s="192"/>
      <c r="BL89" s="192"/>
      <c r="BM89" s="192"/>
      <c r="BP89" s="179"/>
    </row>
    <row r="90">
      <c r="B90" s="189"/>
      <c r="C90" s="189"/>
      <c r="E90" s="189"/>
      <c r="F90" s="189"/>
      <c r="I90" s="179"/>
      <c r="J90" s="189"/>
      <c r="K90" s="189"/>
      <c r="M90" s="189"/>
      <c r="N90" s="189"/>
      <c r="Q90" s="179"/>
      <c r="S90" s="189"/>
      <c r="T90" s="189"/>
      <c r="V90" s="189"/>
      <c r="W90" s="189"/>
      <c r="Z90" s="179"/>
      <c r="AA90" s="189"/>
      <c r="AB90" s="189"/>
      <c r="AD90" s="189"/>
      <c r="AE90" s="189"/>
      <c r="AH90" s="179"/>
      <c r="AJ90" s="191"/>
      <c r="AK90" s="191"/>
      <c r="AM90" s="191"/>
      <c r="AN90" s="191"/>
      <c r="AQ90" s="179"/>
      <c r="AR90" s="192"/>
      <c r="AS90" s="192"/>
      <c r="AU90" s="192"/>
      <c r="AV90" s="192"/>
      <c r="AY90" s="179"/>
      <c r="BA90" s="192"/>
      <c r="BB90" s="192"/>
      <c r="BD90" s="192"/>
      <c r="BE90" s="192"/>
      <c r="BH90" s="179"/>
      <c r="BI90" s="192"/>
      <c r="BJ90" s="192"/>
      <c r="BL90" s="192"/>
      <c r="BM90" s="192"/>
      <c r="BP90" s="179"/>
    </row>
    <row r="91">
      <c r="B91" s="189"/>
      <c r="C91" s="189"/>
      <c r="E91" s="189"/>
      <c r="F91" s="189"/>
      <c r="I91" s="179"/>
      <c r="J91" s="189"/>
      <c r="K91" s="189"/>
      <c r="M91" s="189"/>
      <c r="N91" s="189"/>
      <c r="Q91" s="179"/>
      <c r="S91" s="189"/>
      <c r="T91" s="189"/>
      <c r="V91" s="189"/>
      <c r="W91" s="189"/>
      <c r="Z91" s="179"/>
      <c r="AA91" s="189"/>
      <c r="AB91" s="189"/>
      <c r="AD91" s="189"/>
      <c r="AE91" s="189"/>
      <c r="AH91" s="179"/>
      <c r="AJ91" s="191"/>
      <c r="AK91" s="191"/>
      <c r="AM91" s="191"/>
      <c r="AN91" s="191"/>
      <c r="AQ91" s="179"/>
      <c r="AR91" s="192"/>
      <c r="AS91" s="192"/>
      <c r="AU91" s="192"/>
      <c r="AV91" s="192"/>
      <c r="AY91" s="179"/>
      <c r="BA91" s="192"/>
      <c r="BB91" s="192"/>
      <c r="BD91" s="192"/>
      <c r="BE91" s="192"/>
      <c r="BH91" s="179"/>
      <c r="BI91" s="192"/>
      <c r="BJ91" s="192"/>
      <c r="BL91" s="192"/>
      <c r="BM91" s="192"/>
      <c r="BP91" s="179"/>
    </row>
    <row r="92">
      <c r="B92" s="189"/>
      <c r="C92" s="189"/>
      <c r="E92" s="189"/>
      <c r="F92" s="189"/>
      <c r="I92" s="179"/>
      <c r="J92" s="189"/>
      <c r="K92" s="189"/>
      <c r="M92" s="189"/>
      <c r="N92" s="189"/>
      <c r="Q92" s="179"/>
      <c r="S92" s="189"/>
      <c r="T92" s="189"/>
      <c r="V92" s="189"/>
      <c r="W92" s="189"/>
      <c r="Z92" s="179"/>
      <c r="AA92" s="189"/>
      <c r="AB92" s="189"/>
      <c r="AD92" s="189"/>
      <c r="AE92" s="189"/>
      <c r="AH92" s="179"/>
      <c r="AJ92" s="191"/>
      <c r="AK92" s="191"/>
      <c r="AM92" s="191"/>
      <c r="AN92" s="191"/>
      <c r="AQ92" s="179"/>
      <c r="AR92" s="192"/>
      <c r="AS92" s="192"/>
      <c r="AU92" s="192"/>
      <c r="AV92" s="192"/>
      <c r="AY92" s="179"/>
      <c r="BA92" s="192"/>
      <c r="BB92" s="192"/>
      <c r="BD92" s="192"/>
      <c r="BE92" s="192"/>
      <c r="BH92" s="179"/>
      <c r="BI92" s="192"/>
      <c r="BJ92" s="192"/>
      <c r="BL92" s="192"/>
      <c r="BM92" s="192"/>
      <c r="BP92" s="179"/>
    </row>
    <row r="93">
      <c r="B93" s="189"/>
      <c r="C93" s="189"/>
      <c r="E93" s="189"/>
      <c r="F93" s="189"/>
      <c r="I93" s="179"/>
      <c r="J93" s="189"/>
      <c r="K93" s="189"/>
      <c r="M93" s="189"/>
      <c r="N93" s="189"/>
      <c r="Q93" s="179"/>
      <c r="S93" s="189"/>
      <c r="T93" s="189"/>
      <c r="V93" s="189"/>
      <c r="W93" s="189"/>
      <c r="Z93" s="179"/>
      <c r="AA93" s="189"/>
      <c r="AB93" s="189"/>
      <c r="AD93" s="189"/>
      <c r="AE93" s="189"/>
      <c r="AH93" s="179"/>
      <c r="AJ93" s="191"/>
      <c r="AK93" s="191"/>
      <c r="AM93" s="191"/>
      <c r="AN93" s="191"/>
      <c r="AQ93" s="179"/>
      <c r="AR93" s="192"/>
      <c r="AS93" s="192"/>
      <c r="AU93" s="192"/>
      <c r="AV93" s="192"/>
      <c r="AY93" s="179"/>
      <c r="BA93" s="192"/>
      <c r="BB93" s="192"/>
      <c r="BD93" s="192"/>
      <c r="BE93" s="192"/>
      <c r="BH93" s="179"/>
      <c r="BI93" s="192"/>
      <c r="BJ93" s="192"/>
      <c r="BL93" s="192"/>
      <c r="BM93" s="192"/>
      <c r="BP93" s="179"/>
    </row>
    <row r="94">
      <c r="B94" s="189"/>
      <c r="C94" s="189"/>
      <c r="E94" s="189"/>
      <c r="F94" s="189"/>
      <c r="I94" s="179"/>
      <c r="J94" s="189"/>
      <c r="K94" s="189"/>
      <c r="M94" s="189"/>
      <c r="N94" s="189"/>
      <c r="Q94" s="179"/>
      <c r="S94" s="189"/>
      <c r="T94" s="189"/>
      <c r="V94" s="189"/>
      <c r="W94" s="189"/>
      <c r="Z94" s="179"/>
      <c r="AA94" s="189"/>
      <c r="AB94" s="189"/>
      <c r="AD94" s="189"/>
      <c r="AE94" s="189"/>
      <c r="AH94" s="179"/>
      <c r="AJ94" s="191"/>
      <c r="AK94" s="191"/>
      <c r="AM94" s="191"/>
      <c r="AN94" s="191"/>
      <c r="AQ94" s="179"/>
      <c r="AR94" s="192"/>
      <c r="AS94" s="192"/>
      <c r="AU94" s="192"/>
      <c r="AV94" s="192"/>
      <c r="AY94" s="179"/>
      <c r="BA94" s="192"/>
      <c r="BB94" s="192"/>
      <c r="BD94" s="192"/>
      <c r="BE94" s="192"/>
      <c r="BH94" s="179"/>
      <c r="BI94" s="192"/>
      <c r="BJ94" s="192"/>
      <c r="BL94" s="192"/>
      <c r="BM94" s="192"/>
      <c r="BP94" s="179"/>
    </row>
    <row r="95">
      <c r="B95" s="189"/>
      <c r="C95" s="189"/>
      <c r="E95" s="189"/>
      <c r="F95" s="189"/>
      <c r="I95" s="179"/>
      <c r="J95" s="189"/>
      <c r="K95" s="189"/>
      <c r="M95" s="189"/>
      <c r="N95" s="189"/>
      <c r="Q95" s="179"/>
      <c r="S95" s="189"/>
      <c r="T95" s="189"/>
      <c r="V95" s="189"/>
      <c r="W95" s="189"/>
      <c r="Z95" s="179"/>
      <c r="AA95" s="189"/>
      <c r="AB95" s="189"/>
      <c r="AD95" s="189"/>
      <c r="AE95" s="189"/>
      <c r="AH95" s="179"/>
      <c r="AJ95" s="191"/>
      <c r="AK95" s="191"/>
      <c r="AM95" s="191"/>
      <c r="AN95" s="191"/>
      <c r="AQ95" s="179"/>
      <c r="AR95" s="192"/>
      <c r="AS95" s="192"/>
      <c r="AU95" s="192"/>
      <c r="AV95" s="192"/>
      <c r="AY95" s="179"/>
      <c r="BA95" s="192"/>
      <c r="BB95" s="192"/>
      <c r="BD95" s="192"/>
      <c r="BE95" s="192"/>
      <c r="BH95" s="179"/>
      <c r="BI95" s="192"/>
      <c r="BJ95" s="192"/>
      <c r="BL95" s="192"/>
      <c r="BM95" s="192"/>
      <c r="BP95" s="179"/>
    </row>
    <row r="96">
      <c r="B96" s="189"/>
      <c r="C96" s="189"/>
      <c r="E96" s="189"/>
      <c r="F96" s="189"/>
      <c r="I96" s="179"/>
      <c r="J96" s="189"/>
      <c r="K96" s="189"/>
      <c r="M96" s="189"/>
      <c r="N96" s="189"/>
      <c r="Q96" s="179"/>
      <c r="S96" s="189"/>
      <c r="T96" s="189"/>
      <c r="V96" s="189"/>
      <c r="W96" s="189"/>
      <c r="Z96" s="179"/>
      <c r="AA96" s="189"/>
      <c r="AB96" s="189"/>
      <c r="AD96" s="189"/>
      <c r="AE96" s="189"/>
      <c r="AH96" s="179"/>
      <c r="AJ96" s="191"/>
      <c r="AK96" s="191"/>
      <c r="AM96" s="191"/>
      <c r="AN96" s="191"/>
      <c r="AQ96" s="179"/>
      <c r="AR96" s="192"/>
      <c r="AS96" s="192"/>
      <c r="AU96" s="192"/>
      <c r="AV96" s="192"/>
      <c r="AY96" s="179"/>
      <c r="BA96" s="192"/>
      <c r="BB96" s="192"/>
      <c r="BD96" s="192"/>
      <c r="BE96" s="192"/>
      <c r="BH96" s="179"/>
      <c r="BI96" s="192"/>
      <c r="BJ96" s="192"/>
      <c r="BL96" s="192"/>
      <c r="BM96" s="192"/>
      <c r="BP96" s="179"/>
    </row>
    <row r="97">
      <c r="B97" s="189"/>
      <c r="C97" s="189"/>
      <c r="E97" s="189"/>
      <c r="F97" s="189"/>
      <c r="I97" s="179"/>
      <c r="J97" s="189"/>
      <c r="K97" s="189"/>
      <c r="M97" s="189"/>
      <c r="N97" s="189"/>
      <c r="Q97" s="179"/>
      <c r="S97" s="189"/>
      <c r="T97" s="189"/>
      <c r="V97" s="189"/>
      <c r="W97" s="189"/>
      <c r="Z97" s="179"/>
      <c r="AA97" s="189"/>
      <c r="AB97" s="189"/>
      <c r="AD97" s="189"/>
      <c r="AE97" s="189"/>
      <c r="AH97" s="179"/>
      <c r="AJ97" s="191"/>
      <c r="AK97" s="191"/>
      <c r="AM97" s="191"/>
      <c r="AN97" s="191"/>
      <c r="AQ97" s="179"/>
      <c r="AR97" s="192"/>
      <c r="AS97" s="192"/>
      <c r="AU97" s="192"/>
      <c r="AV97" s="192"/>
      <c r="AY97" s="179"/>
      <c r="BA97" s="192"/>
      <c r="BB97" s="192"/>
      <c r="BD97" s="192"/>
      <c r="BE97" s="192"/>
      <c r="BH97" s="179"/>
      <c r="BI97" s="192"/>
      <c r="BJ97" s="192"/>
      <c r="BL97" s="192"/>
      <c r="BM97" s="192"/>
      <c r="BP97" s="179"/>
    </row>
    <row r="98">
      <c r="B98" s="189"/>
      <c r="C98" s="189"/>
      <c r="E98" s="189"/>
      <c r="F98" s="189"/>
      <c r="I98" s="179"/>
      <c r="J98" s="189"/>
      <c r="K98" s="189"/>
      <c r="M98" s="189"/>
      <c r="N98" s="189"/>
      <c r="Q98" s="179"/>
      <c r="S98" s="189"/>
      <c r="T98" s="189"/>
      <c r="V98" s="189"/>
      <c r="W98" s="189"/>
      <c r="Z98" s="179"/>
      <c r="AA98" s="189"/>
      <c r="AB98" s="189"/>
      <c r="AD98" s="189"/>
      <c r="AE98" s="189"/>
      <c r="AH98" s="179"/>
      <c r="AJ98" s="191"/>
      <c r="AK98" s="191"/>
      <c r="AM98" s="191"/>
      <c r="AN98" s="191"/>
      <c r="AQ98" s="179"/>
      <c r="AR98" s="192"/>
      <c r="AS98" s="192"/>
      <c r="AU98" s="192"/>
      <c r="AV98" s="192"/>
      <c r="AY98" s="179"/>
      <c r="BA98" s="192"/>
      <c r="BB98" s="192"/>
      <c r="BD98" s="192"/>
      <c r="BE98" s="192"/>
      <c r="BH98" s="179"/>
      <c r="BI98" s="192"/>
      <c r="BJ98" s="192"/>
      <c r="BL98" s="192"/>
      <c r="BM98" s="192"/>
      <c r="BP98" s="179"/>
    </row>
    <row r="99">
      <c r="B99" s="189"/>
      <c r="C99" s="189"/>
      <c r="E99" s="189"/>
      <c r="F99" s="189"/>
      <c r="I99" s="179"/>
      <c r="J99" s="189"/>
      <c r="K99" s="189"/>
      <c r="M99" s="189"/>
      <c r="N99" s="189"/>
      <c r="Q99" s="179"/>
      <c r="S99" s="189"/>
      <c r="T99" s="189"/>
      <c r="V99" s="189"/>
      <c r="W99" s="189"/>
      <c r="Z99" s="179"/>
      <c r="AA99" s="189"/>
      <c r="AB99" s="189"/>
      <c r="AD99" s="189"/>
      <c r="AE99" s="189"/>
      <c r="AH99" s="179"/>
      <c r="AJ99" s="191"/>
      <c r="AK99" s="191"/>
      <c r="AM99" s="191"/>
      <c r="AN99" s="191"/>
      <c r="AQ99" s="179"/>
      <c r="AR99" s="192"/>
      <c r="AS99" s="192"/>
      <c r="AU99" s="192"/>
      <c r="AV99" s="192"/>
      <c r="AY99" s="179"/>
      <c r="BA99" s="192"/>
      <c r="BB99" s="192"/>
      <c r="BD99" s="192"/>
      <c r="BE99" s="192"/>
      <c r="BH99" s="179"/>
      <c r="BI99" s="192"/>
      <c r="BJ99" s="192"/>
      <c r="BL99" s="192"/>
      <c r="BM99" s="192"/>
      <c r="BP99" s="179"/>
    </row>
    <row r="100">
      <c r="B100" s="189"/>
      <c r="C100" s="189"/>
      <c r="E100" s="189"/>
      <c r="F100" s="189"/>
      <c r="I100" s="179"/>
      <c r="J100" s="189"/>
      <c r="K100" s="189"/>
      <c r="M100" s="189"/>
      <c r="N100" s="189"/>
      <c r="Q100" s="179"/>
      <c r="S100" s="189"/>
      <c r="T100" s="189"/>
      <c r="V100" s="189"/>
      <c r="W100" s="189"/>
      <c r="Z100" s="179"/>
      <c r="AA100" s="189"/>
      <c r="AB100" s="189"/>
      <c r="AD100" s="189"/>
      <c r="AE100" s="189"/>
      <c r="AH100" s="179"/>
      <c r="AJ100" s="191"/>
      <c r="AK100" s="191"/>
      <c r="AM100" s="191"/>
      <c r="AN100" s="191"/>
      <c r="AQ100" s="179"/>
      <c r="AR100" s="192"/>
      <c r="AS100" s="192"/>
      <c r="AU100" s="192"/>
      <c r="AV100" s="192"/>
      <c r="AY100" s="179"/>
      <c r="BA100" s="192"/>
      <c r="BB100" s="192"/>
      <c r="BD100" s="192"/>
      <c r="BE100" s="192"/>
      <c r="BH100" s="179"/>
      <c r="BI100" s="192"/>
      <c r="BJ100" s="192"/>
      <c r="BL100" s="192"/>
      <c r="BM100" s="192"/>
      <c r="BP100" s="179"/>
    </row>
    <row r="101">
      <c r="B101" s="189"/>
      <c r="C101" s="189"/>
      <c r="E101" s="189"/>
      <c r="F101" s="189"/>
      <c r="I101" s="179"/>
      <c r="J101" s="189"/>
      <c r="K101" s="189"/>
      <c r="M101" s="189"/>
      <c r="N101" s="189"/>
      <c r="Q101" s="179"/>
      <c r="S101" s="189"/>
      <c r="T101" s="189"/>
      <c r="V101" s="189"/>
      <c r="W101" s="189"/>
      <c r="Z101" s="179"/>
      <c r="AA101" s="189"/>
      <c r="AB101" s="189"/>
      <c r="AD101" s="189"/>
      <c r="AE101" s="189"/>
      <c r="AH101" s="179"/>
      <c r="AJ101" s="191"/>
      <c r="AK101" s="191"/>
      <c r="AM101" s="191"/>
      <c r="AN101" s="191"/>
      <c r="AQ101" s="179"/>
      <c r="AR101" s="192"/>
      <c r="AS101" s="192"/>
      <c r="AU101" s="192"/>
      <c r="AV101" s="192"/>
      <c r="AY101" s="179"/>
      <c r="BA101" s="192"/>
      <c r="BB101" s="192"/>
      <c r="BD101" s="192"/>
      <c r="BE101" s="192"/>
      <c r="BH101" s="179"/>
      <c r="BI101" s="192"/>
      <c r="BJ101" s="192"/>
      <c r="BL101" s="192"/>
      <c r="BM101" s="192"/>
      <c r="BP101" s="179"/>
    </row>
    <row r="102">
      <c r="B102" s="189"/>
      <c r="C102" s="189"/>
      <c r="E102" s="189"/>
      <c r="F102" s="189"/>
      <c r="I102" s="179"/>
      <c r="J102" s="189"/>
      <c r="K102" s="189"/>
      <c r="M102" s="189"/>
      <c r="N102" s="189"/>
      <c r="Q102" s="179"/>
      <c r="S102" s="189"/>
      <c r="T102" s="189"/>
      <c r="V102" s="189"/>
      <c r="W102" s="189"/>
      <c r="Z102" s="179"/>
      <c r="AA102" s="189"/>
      <c r="AB102" s="189"/>
      <c r="AD102" s="189"/>
      <c r="AE102" s="189"/>
      <c r="AH102" s="179"/>
      <c r="AJ102" s="191"/>
      <c r="AK102" s="191"/>
      <c r="AM102" s="191"/>
      <c r="AN102" s="191"/>
      <c r="AQ102" s="179"/>
      <c r="AR102" s="192"/>
      <c r="AS102" s="192"/>
      <c r="AU102" s="192"/>
      <c r="AV102" s="192"/>
      <c r="AY102" s="179"/>
      <c r="BA102" s="192"/>
      <c r="BB102" s="192"/>
      <c r="BD102" s="192"/>
      <c r="BE102" s="192"/>
      <c r="BH102" s="179"/>
      <c r="BI102" s="192"/>
      <c r="BJ102" s="192"/>
      <c r="BL102" s="192"/>
      <c r="BM102" s="192"/>
      <c r="BP102" s="179"/>
    </row>
    <row r="103">
      <c r="B103" s="189"/>
      <c r="C103" s="189"/>
      <c r="E103" s="189"/>
      <c r="F103" s="189"/>
      <c r="I103" s="179"/>
      <c r="J103" s="189"/>
      <c r="K103" s="189"/>
      <c r="M103" s="189"/>
      <c r="N103" s="189"/>
      <c r="Q103" s="179"/>
      <c r="S103" s="189"/>
      <c r="T103" s="189"/>
      <c r="V103" s="189"/>
      <c r="W103" s="189"/>
      <c r="Z103" s="179"/>
      <c r="AA103" s="189"/>
      <c r="AB103" s="189"/>
      <c r="AD103" s="189"/>
      <c r="AE103" s="189"/>
      <c r="AH103" s="179"/>
      <c r="AJ103" s="191"/>
      <c r="AK103" s="191"/>
      <c r="AM103" s="191"/>
      <c r="AN103" s="191"/>
      <c r="AQ103" s="179"/>
      <c r="AR103" s="192"/>
      <c r="AS103" s="192"/>
      <c r="AU103" s="192"/>
      <c r="AV103" s="192"/>
      <c r="AY103" s="179"/>
      <c r="BA103" s="192"/>
      <c r="BB103" s="192"/>
      <c r="BD103" s="192"/>
      <c r="BE103" s="192"/>
      <c r="BH103" s="179"/>
      <c r="BI103" s="192"/>
      <c r="BJ103" s="192"/>
      <c r="BL103" s="192"/>
      <c r="BM103" s="192"/>
      <c r="BP103" s="179"/>
    </row>
    <row r="104">
      <c r="B104" s="189"/>
      <c r="C104" s="189"/>
      <c r="E104" s="189"/>
      <c r="F104" s="189"/>
      <c r="I104" s="179"/>
      <c r="J104" s="189"/>
      <c r="K104" s="189"/>
      <c r="M104" s="189"/>
      <c r="N104" s="189"/>
      <c r="Q104" s="179"/>
      <c r="S104" s="189"/>
      <c r="T104" s="189"/>
      <c r="V104" s="189"/>
      <c r="W104" s="189"/>
      <c r="Z104" s="179"/>
      <c r="AA104" s="189"/>
      <c r="AB104" s="189"/>
      <c r="AD104" s="189"/>
      <c r="AE104" s="189"/>
      <c r="AH104" s="179"/>
      <c r="AJ104" s="191"/>
      <c r="AK104" s="191"/>
      <c r="AM104" s="191"/>
      <c r="AN104" s="191"/>
      <c r="AQ104" s="179"/>
      <c r="AR104" s="192"/>
      <c r="AS104" s="192"/>
      <c r="AU104" s="192"/>
      <c r="AV104" s="192"/>
      <c r="AY104" s="179"/>
      <c r="BA104" s="192"/>
      <c r="BB104" s="192"/>
      <c r="BD104" s="192"/>
      <c r="BE104" s="192"/>
      <c r="BH104" s="179"/>
      <c r="BI104" s="192"/>
      <c r="BJ104" s="192"/>
      <c r="BL104" s="192"/>
      <c r="BM104" s="192"/>
      <c r="BP104" s="179"/>
    </row>
    <row r="105">
      <c r="B105" s="189"/>
      <c r="C105" s="189"/>
      <c r="E105" s="189"/>
      <c r="F105" s="189"/>
      <c r="I105" s="179"/>
      <c r="J105" s="189"/>
      <c r="K105" s="189"/>
      <c r="M105" s="189"/>
      <c r="N105" s="189"/>
      <c r="Q105" s="179"/>
      <c r="S105" s="189"/>
      <c r="T105" s="189"/>
      <c r="V105" s="189"/>
      <c r="W105" s="189"/>
      <c r="Z105" s="179"/>
      <c r="AA105" s="189"/>
      <c r="AB105" s="189"/>
      <c r="AD105" s="189"/>
      <c r="AE105" s="189"/>
      <c r="AH105" s="179"/>
      <c r="AJ105" s="191"/>
      <c r="AK105" s="191"/>
      <c r="AM105" s="191"/>
      <c r="AN105" s="191"/>
      <c r="AQ105" s="179"/>
      <c r="AR105" s="192"/>
      <c r="AS105" s="192"/>
      <c r="AU105" s="192"/>
      <c r="AV105" s="192"/>
      <c r="AY105" s="179"/>
      <c r="BA105" s="192"/>
      <c r="BB105" s="192"/>
      <c r="BD105" s="192"/>
      <c r="BE105" s="192"/>
      <c r="BH105" s="179"/>
      <c r="BI105" s="192"/>
      <c r="BJ105" s="192"/>
      <c r="BL105" s="192"/>
      <c r="BM105" s="192"/>
      <c r="BP105" s="179"/>
    </row>
    <row r="106">
      <c r="B106" s="189"/>
      <c r="C106" s="189"/>
      <c r="E106" s="189"/>
      <c r="F106" s="189"/>
      <c r="I106" s="179"/>
      <c r="J106" s="189"/>
      <c r="K106" s="189"/>
      <c r="M106" s="189"/>
      <c r="N106" s="189"/>
      <c r="Q106" s="179"/>
      <c r="S106" s="189"/>
      <c r="T106" s="189"/>
      <c r="V106" s="189"/>
      <c r="W106" s="189"/>
      <c r="Z106" s="179"/>
      <c r="AA106" s="189"/>
      <c r="AB106" s="189"/>
      <c r="AD106" s="189"/>
      <c r="AE106" s="189"/>
      <c r="AH106" s="179"/>
      <c r="AJ106" s="191"/>
      <c r="AK106" s="191"/>
      <c r="AM106" s="191"/>
      <c r="AN106" s="191"/>
      <c r="AQ106" s="179"/>
      <c r="AR106" s="192"/>
      <c r="AS106" s="192"/>
      <c r="AU106" s="192"/>
      <c r="AV106" s="192"/>
      <c r="AY106" s="179"/>
      <c r="BA106" s="192"/>
      <c r="BB106" s="192"/>
      <c r="BD106" s="192"/>
      <c r="BE106" s="192"/>
      <c r="BH106" s="179"/>
      <c r="BI106" s="192"/>
      <c r="BJ106" s="192"/>
      <c r="BL106" s="192"/>
      <c r="BM106" s="192"/>
      <c r="BP106" s="179"/>
    </row>
    <row r="107">
      <c r="B107" s="189"/>
      <c r="C107" s="189"/>
      <c r="E107" s="189"/>
      <c r="F107" s="189"/>
      <c r="I107" s="179"/>
      <c r="J107" s="189"/>
      <c r="K107" s="189"/>
      <c r="M107" s="189"/>
      <c r="N107" s="189"/>
      <c r="Q107" s="179"/>
      <c r="S107" s="189"/>
      <c r="T107" s="189"/>
      <c r="V107" s="189"/>
      <c r="W107" s="189"/>
      <c r="Z107" s="179"/>
      <c r="AA107" s="189"/>
      <c r="AB107" s="189"/>
      <c r="AD107" s="189"/>
      <c r="AE107" s="189"/>
      <c r="AH107" s="179"/>
      <c r="AJ107" s="191"/>
      <c r="AK107" s="191"/>
      <c r="AM107" s="191"/>
      <c r="AN107" s="191"/>
      <c r="AQ107" s="179"/>
      <c r="AR107" s="192"/>
      <c r="AS107" s="192"/>
      <c r="AU107" s="192"/>
      <c r="AV107" s="192"/>
      <c r="AY107" s="179"/>
      <c r="BA107" s="192"/>
      <c r="BB107" s="192"/>
      <c r="BD107" s="192"/>
      <c r="BE107" s="192"/>
      <c r="BH107" s="179"/>
      <c r="BI107" s="192"/>
      <c r="BJ107" s="192"/>
      <c r="BL107" s="192"/>
      <c r="BM107" s="192"/>
      <c r="BP107" s="179"/>
    </row>
    <row r="108">
      <c r="B108" s="189"/>
      <c r="C108" s="189"/>
      <c r="E108" s="189"/>
      <c r="F108" s="189"/>
      <c r="I108" s="179"/>
      <c r="J108" s="189"/>
      <c r="K108" s="189"/>
      <c r="M108" s="189"/>
      <c r="N108" s="189"/>
      <c r="Q108" s="179"/>
      <c r="S108" s="189"/>
      <c r="T108" s="189"/>
      <c r="V108" s="189"/>
      <c r="W108" s="189"/>
      <c r="Z108" s="179"/>
      <c r="AA108" s="189"/>
      <c r="AB108" s="189"/>
      <c r="AD108" s="189"/>
      <c r="AE108" s="189"/>
      <c r="AH108" s="179"/>
      <c r="AJ108" s="191"/>
      <c r="AK108" s="191"/>
      <c r="AM108" s="191"/>
      <c r="AN108" s="191"/>
      <c r="AQ108" s="179"/>
      <c r="AR108" s="192"/>
      <c r="AS108" s="192"/>
      <c r="AU108" s="192"/>
      <c r="AV108" s="192"/>
      <c r="AY108" s="179"/>
      <c r="BA108" s="192"/>
      <c r="BB108" s="192"/>
      <c r="BD108" s="192"/>
      <c r="BE108" s="192"/>
      <c r="BH108" s="179"/>
      <c r="BI108" s="192"/>
      <c r="BJ108" s="192"/>
      <c r="BL108" s="192"/>
      <c r="BM108" s="192"/>
      <c r="BP108" s="179"/>
    </row>
    <row r="109">
      <c r="B109" s="189"/>
      <c r="C109" s="189"/>
      <c r="E109" s="189"/>
      <c r="F109" s="189"/>
      <c r="I109" s="179"/>
      <c r="J109" s="189"/>
      <c r="K109" s="189"/>
      <c r="M109" s="189"/>
      <c r="N109" s="189"/>
      <c r="Q109" s="179"/>
      <c r="S109" s="189"/>
      <c r="T109" s="189"/>
      <c r="V109" s="189"/>
      <c r="W109" s="189"/>
      <c r="Z109" s="179"/>
      <c r="AA109" s="189"/>
      <c r="AB109" s="189"/>
      <c r="AD109" s="189"/>
      <c r="AE109" s="189"/>
      <c r="AH109" s="179"/>
      <c r="AJ109" s="191"/>
      <c r="AK109" s="191"/>
      <c r="AM109" s="191"/>
      <c r="AN109" s="191"/>
      <c r="AQ109" s="179"/>
      <c r="AR109" s="192"/>
      <c r="AS109" s="192"/>
      <c r="AU109" s="192"/>
      <c r="AV109" s="192"/>
      <c r="AY109" s="179"/>
      <c r="BA109" s="192"/>
      <c r="BB109" s="192"/>
      <c r="BD109" s="192"/>
      <c r="BE109" s="192"/>
      <c r="BH109" s="179"/>
      <c r="BI109" s="192"/>
      <c r="BJ109" s="192"/>
      <c r="BL109" s="192"/>
      <c r="BM109" s="192"/>
      <c r="BP109" s="179"/>
    </row>
    <row r="110">
      <c r="B110" s="189"/>
      <c r="C110" s="189"/>
      <c r="E110" s="189"/>
      <c r="F110" s="189"/>
      <c r="I110" s="179"/>
      <c r="J110" s="189"/>
      <c r="K110" s="189"/>
      <c r="M110" s="189"/>
      <c r="N110" s="189"/>
      <c r="Q110" s="179"/>
      <c r="S110" s="189"/>
      <c r="T110" s="189"/>
      <c r="V110" s="189"/>
      <c r="W110" s="189"/>
      <c r="Z110" s="179"/>
      <c r="AA110" s="189"/>
      <c r="AB110" s="189"/>
      <c r="AD110" s="189"/>
      <c r="AE110" s="189"/>
      <c r="AH110" s="179"/>
      <c r="AJ110" s="191"/>
      <c r="AK110" s="191"/>
      <c r="AM110" s="191"/>
      <c r="AN110" s="191"/>
      <c r="AQ110" s="179"/>
      <c r="AR110" s="192"/>
      <c r="AS110" s="192"/>
      <c r="AU110" s="192"/>
      <c r="AV110" s="192"/>
      <c r="AY110" s="179"/>
      <c r="BA110" s="192"/>
      <c r="BB110" s="192"/>
      <c r="BD110" s="192"/>
      <c r="BE110" s="192"/>
      <c r="BH110" s="179"/>
      <c r="BI110" s="192"/>
      <c r="BJ110" s="192"/>
      <c r="BL110" s="192"/>
      <c r="BM110" s="192"/>
      <c r="BP110" s="179"/>
    </row>
    <row r="111">
      <c r="B111" s="189"/>
      <c r="C111" s="189"/>
      <c r="E111" s="189"/>
      <c r="F111" s="189"/>
      <c r="I111" s="179"/>
      <c r="J111" s="189"/>
      <c r="K111" s="189"/>
      <c r="M111" s="189"/>
      <c r="N111" s="189"/>
      <c r="Q111" s="179"/>
      <c r="S111" s="189"/>
      <c r="T111" s="189"/>
      <c r="V111" s="189"/>
      <c r="W111" s="189"/>
      <c r="Z111" s="179"/>
      <c r="AA111" s="189"/>
      <c r="AB111" s="189"/>
      <c r="AD111" s="189"/>
      <c r="AE111" s="189"/>
      <c r="AH111" s="179"/>
      <c r="AJ111" s="191"/>
      <c r="AK111" s="191"/>
      <c r="AM111" s="191"/>
      <c r="AN111" s="191"/>
      <c r="AQ111" s="179"/>
      <c r="AR111" s="192"/>
      <c r="AS111" s="192"/>
      <c r="AU111" s="192"/>
      <c r="AV111" s="192"/>
      <c r="AY111" s="179"/>
      <c r="BA111" s="192"/>
      <c r="BB111" s="192"/>
      <c r="BD111" s="192"/>
      <c r="BE111" s="192"/>
      <c r="BH111" s="179"/>
      <c r="BI111" s="192"/>
      <c r="BJ111" s="192"/>
      <c r="BL111" s="192"/>
      <c r="BM111" s="192"/>
      <c r="BP111" s="179"/>
    </row>
    <row r="112">
      <c r="B112" s="189"/>
      <c r="C112" s="189"/>
      <c r="E112" s="189"/>
      <c r="F112" s="189"/>
      <c r="I112" s="179"/>
      <c r="J112" s="189"/>
      <c r="K112" s="189"/>
      <c r="M112" s="189"/>
      <c r="N112" s="189"/>
      <c r="Q112" s="179"/>
      <c r="S112" s="189"/>
      <c r="T112" s="189"/>
      <c r="V112" s="189"/>
      <c r="W112" s="189"/>
      <c r="Z112" s="179"/>
      <c r="AA112" s="189"/>
      <c r="AB112" s="189"/>
      <c r="AD112" s="189"/>
      <c r="AE112" s="189"/>
      <c r="AH112" s="179"/>
      <c r="AJ112" s="191"/>
      <c r="AK112" s="191"/>
      <c r="AM112" s="191"/>
      <c r="AN112" s="191"/>
      <c r="AQ112" s="179"/>
      <c r="AR112" s="192"/>
      <c r="AS112" s="192"/>
      <c r="AU112" s="192"/>
      <c r="AV112" s="192"/>
      <c r="AY112" s="179"/>
      <c r="BA112" s="192"/>
      <c r="BB112" s="192"/>
      <c r="BD112" s="192"/>
      <c r="BE112" s="192"/>
      <c r="BH112" s="179"/>
      <c r="BI112" s="192"/>
      <c r="BJ112" s="192"/>
      <c r="BL112" s="192"/>
      <c r="BM112" s="192"/>
      <c r="BP112" s="179"/>
    </row>
    <row r="113">
      <c r="B113" s="189"/>
      <c r="C113" s="189"/>
      <c r="E113" s="189"/>
      <c r="F113" s="189"/>
      <c r="I113" s="179"/>
      <c r="J113" s="189"/>
      <c r="K113" s="189"/>
      <c r="M113" s="189"/>
      <c r="N113" s="189"/>
      <c r="Q113" s="179"/>
      <c r="S113" s="189"/>
      <c r="T113" s="189"/>
      <c r="V113" s="189"/>
      <c r="W113" s="189"/>
      <c r="Z113" s="179"/>
      <c r="AA113" s="189"/>
      <c r="AB113" s="189"/>
      <c r="AD113" s="189"/>
      <c r="AE113" s="189"/>
      <c r="AH113" s="179"/>
      <c r="AJ113" s="191"/>
      <c r="AK113" s="191"/>
      <c r="AM113" s="191"/>
      <c r="AN113" s="191"/>
      <c r="AQ113" s="179"/>
      <c r="AR113" s="192"/>
      <c r="AS113" s="192"/>
      <c r="AU113" s="192"/>
      <c r="AV113" s="192"/>
      <c r="AY113" s="179"/>
      <c r="BA113" s="192"/>
      <c r="BB113" s="192"/>
      <c r="BD113" s="192"/>
      <c r="BE113" s="192"/>
      <c r="BH113" s="179"/>
      <c r="BI113" s="192"/>
      <c r="BJ113" s="192"/>
      <c r="BL113" s="192"/>
      <c r="BM113" s="192"/>
      <c r="BP113" s="179"/>
    </row>
    <row r="114">
      <c r="B114" s="189"/>
      <c r="C114" s="189"/>
      <c r="E114" s="189"/>
      <c r="F114" s="189"/>
      <c r="I114" s="179"/>
      <c r="J114" s="189"/>
      <c r="K114" s="189"/>
      <c r="M114" s="189"/>
      <c r="N114" s="189"/>
      <c r="Q114" s="179"/>
      <c r="S114" s="189"/>
      <c r="T114" s="189"/>
      <c r="V114" s="189"/>
      <c r="W114" s="189"/>
      <c r="Z114" s="179"/>
      <c r="AA114" s="189"/>
      <c r="AB114" s="189"/>
      <c r="AD114" s="189"/>
      <c r="AE114" s="189"/>
      <c r="AH114" s="179"/>
      <c r="AJ114" s="191"/>
      <c r="AK114" s="191"/>
      <c r="AM114" s="191"/>
      <c r="AN114" s="191"/>
      <c r="AQ114" s="179"/>
      <c r="AR114" s="192"/>
      <c r="AS114" s="192"/>
      <c r="AU114" s="192"/>
      <c r="AV114" s="192"/>
      <c r="AY114" s="179"/>
      <c r="BA114" s="192"/>
      <c r="BB114" s="192"/>
      <c r="BD114" s="192"/>
      <c r="BE114" s="192"/>
      <c r="BH114" s="179"/>
      <c r="BI114" s="192"/>
      <c r="BJ114" s="192"/>
      <c r="BL114" s="192"/>
      <c r="BM114" s="192"/>
      <c r="BP114" s="179"/>
    </row>
    <row r="115">
      <c r="B115" s="189"/>
      <c r="C115" s="189"/>
      <c r="E115" s="189"/>
      <c r="F115" s="189"/>
      <c r="I115" s="179"/>
      <c r="J115" s="189"/>
      <c r="K115" s="189"/>
      <c r="M115" s="189"/>
      <c r="N115" s="189"/>
      <c r="Q115" s="179"/>
      <c r="S115" s="189"/>
      <c r="T115" s="189"/>
      <c r="V115" s="189"/>
      <c r="W115" s="189"/>
      <c r="Z115" s="179"/>
      <c r="AA115" s="189"/>
      <c r="AB115" s="189"/>
      <c r="AD115" s="189"/>
      <c r="AE115" s="189"/>
      <c r="AH115" s="179"/>
      <c r="AJ115" s="191"/>
      <c r="AK115" s="191"/>
      <c r="AM115" s="191"/>
      <c r="AN115" s="191"/>
      <c r="AQ115" s="179"/>
      <c r="AR115" s="192"/>
      <c r="AS115" s="192"/>
      <c r="AU115" s="192"/>
      <c r="AV115" s="192"/>
      <c r="AY115" s="179"/>
      <c r="BA115" s="192"/>
      <c r="BB115" s="192"/>
      <c r="BD115" s="192"/>
      <c r="BE115" s="192"/>
      <c r="BH115" s="179"/>
      <c r="BI115" s="192"/>
      <c r="BJ115" s="192"/>
      <c r="BL115" s="192"/>
      <c r="BM115" s="192"/>
      <c r="BP115" s="179"/>
    </row>
    <row r="116">
      <c r="B116" s="189"/>
      <c r="C116" s="189"/>
      <c r="E116" s="189"/>
      <c r="F116" s="189"/>
      <c r="I116" s="179"/>
      <c r="J116" s="189"/>
      <c r="K116" s="189"/>
      <c r="M116" s="189"/>
      <c r="N116" s="189"/>
      <c r="Q116" s="179"/>
      <c r="S116" s="189"/>
      <c r="T116" s="189"/>
      <c r="V116" s="189"/>
      <c r="W116" s="189"/>
      <c r="Z116" s="179"/>
      <c r="AA116" s="189"/>
      <c r="AB116" s="189"/>
      <c r="AD116" s="189"/>
      <c r="AE116" s="189"/>
      <c r="AH116" s="179"/>
      <c r="AJ116" s="191"/>
      <c r="AK116" s="191"/>
      <c r="AM116" s="191"/>
      <c r="AN116" s="191"/>
      <c r="AQ116" s="179"/>
      <c r="AR116" s="192"/>
      <c r="AS116" s="192"/>
      <c r="AU116" s="192"/>
      <c r="AV116" s="192"/>
      <c r="AY116" s="179"/>
      <c r="BA116" s="192"/>
      <c r="BB116" s="192"/>
      <c r="BD116" s="192"/>
      <c r="BE116" s="192"/>
      <c r="BH116" s="179"/>
      <c r="BI116" s="192"/>
      <c r="BJ116" s="192"/>
      <c r="BL116" s="192"/>
      <c r="BM116" s="192"/>
      <c r="BP116" s="179"/>
    </row>
    <row r="117">
      <c r="B117" s="189"/>
      <c r="C117" s="189"/>
      <c r="E117" s="189"/>
      <c r="F117" s="189"/>
      <c r="I117" s="179"/>
      <c r="J117" s="189"/>
      <c r="K117" s="189"/>
      <c r="M117" s="189"/>
      <c r="N117" s="189"/>
      <c r="Q117" s="179"/>
      <c r="S117" s="189"/>
      <c r="T117" s="189"/>
      <c r="V117" s="189"/>
      <c r="W117" s="189"/>
      <c r="Z117" s="179"/>
      <c r="AA117" s="189"/>
      <c r="AB117" s="189"/>
      <c r="AD117" s="189"/>
      <c r="AE117" s="189"/>
      <c r="AH117" s="179"/>
      <c r="AJ117" s="191"/>
      <c r="AK117" s="191"/>
      <c r="AM117" s="191"/>
      <c r="AN117" s="191"/>
      <c r="AQ117" s="179"/>
      <c r="AR117" s="192"/>
      <c r="AS117" s="192"/>
      <c r="AU117" s="192"/>
      <c r="AV117" s="192"/>
      <c r="AY117" s="179"/>
      <c r="BA117" s="192"/>
      <c r="BB117" s="192"/>
      <c r="BD117" s="192"/>
      <c r="BE117" s="192"/>
      <c r="BH117" s="179"/>
      <c r="BI117" s="192"/>
      <c r="BJ117" s="192"/>
      <c r="BL117" s="192"/>
      <c r="BM117" s="192"/>
      <c r="BP117" s="179"/>
    </row>
    <row r="118">
      <c r="B118" s="189"/>
      <c r="C118" s="189"/>
      <c r="E118" s="189"/>
      <c r="F118" s="189"/>
      <c r="I118" s="179"/>
      <c r="J118" s="189"/>
      <c r="K118" s="189"/>
      <c r="M118" s="189"/>
      <c r="N118" s="189"/>
      <c r="Q118" s="179"/>
      <c r="S118" s="189"/>
      <c r="T118" s="189"/>
      <c r="V118" s="189"/>
      <c r="W118" s="189"/>
      <c r="Z118" s="179"/>
      <c r="AA118" s="189"/>
      <c r="AB118" s="189"/>
      <c r="AD118" s="189"/>
      <c r="AE118" s="189"/>
      <c r="AH118" s="179"/>
      <c r="AJ118" s="191"/>
      <c r="AK118" s="191"/>
      <c r="AM118" s="191"/>
      <c r="AN118" s="191"/>
      <c r="AQ118" s="179"/>
      <c r="AR118" s="192"/>
      <c r="AS118" s="192"/>
      <c r="AU118" s="192"/>
      <c r="AV118" s="192"/>
      <c r="AY118" s="179"/>
      <c r="BA118" s="192"/>
      <c r="BB118" s="192"/>
      <c r="BD118" s="192"/>
      <c r="BE118" s="192"/>
      <c r="BH118" s="179"/>
      <c r="BI118" s="192"/>
      <c r="BJ118" s="192"/>
      <c r="BL118" s="192"/>
      <c r="BM118" s="192"/>
      <c r="BP118" s="179"/>
    </row>
    <row r="119">
      <c r="B119" s="189"/>
      <c r="C119" s="189"/>
      <c r="E119" s="189"/>
      <c r="F119" s="189"/>
      <c r="I119" s="179"/>
      <c r="J119" s="189"/>
      <c r="K119" s="189"/>
      <c r="M119" s="189"/>
      <c r="N119" s="189"/>
      <c r="Q119" s="179"/>
      <c r="S119" s="189"/>
      <c r="T119" s="189"/>
      <c r="V119" s="189"/>
      <c r="W119" s="189"/>
      <c r="Z119" s="179"/>
      <c r="AA119" s="189"/>
      <c r="AB119" s="189"/>
      <c r="AD119" s="189"/>
      <c r="AE119" s="189"/>
      <c r="AH119" s="179"/>
      <c r="AJ119" s="191"/>
      <c r="AK119" s="191"/>
      <c r="AM119" s="191"/>
      <c r="AN119" s="191"/>
      <c r="AQ119" s="179"/>
      <c r="AR119" s="192"/>
      <c r="AS119" s="192"/>
      <c r="AU119" s="192"/>
      <c r="AV119" s="192"/>
      <c r="AY119" s="179"/>
      <c r="BA119" s="192"/>
      <c r="BB119" s="192"/>
      <c r="BD119" s="192"/>
      <c r="BE119" s="192"/>
      <c r="BH119" s="179"/>
      <c r="BI119" s="192"/>
      <c r="BJ119" s="192"/>
      <c r="BL119" s="192"/>
      <c r="BM119" s="192"/>
      <c r="BP119" s="179"/>
    </row>
    <row r="120">
      <c r="B120" s="189"/>
      <c r="C120" s="189"/>
      <c r="E120" s="189"/>
      <c r="F120" s="189"/>
      <c r="I120" s="179"/>
      <c r="J120" s="189"/>
      <c r="K120" s="189"/>
      <c r="M120" s="189"/>
      <c r="N120" s="189"/>
      <c r="Q120" s="179"/>
      <c r="S120" s="189"/>
      <c r="T120" s="189"/>
      <c r="V120" s="189"/>
      <c r="W120" s="189"/>
      <c r="Z120" s="179"/>
      <c r="AA120" s="189"/>
      <c r="AB120" s="189"/>
      <c r="AD120" s="189"/>
      <c r="AE120" s="189"/>
      <c r="AH120" s="179"/>
      <c r="AJ120" s="191"/>
      <c r="AK120" s="191"/>
      <c r="AM120" s="191"/>
      <c r="AN120" s="191"/>
      <c r="AQ120" s="179"/>
      <c r="AR120" s="192"/>
      <c r="AS120" s="192"/>
      <c r="AU120" s="192"/>
      <c r="AV120" s="192"/>
      <c r="AY120" s="179"/>
      <c r="BA120" s="192"/>
      <c r="BB120" s="192"/>
      <c r="BD120" s="192"/>
      <c r="BE120" s="192"/>
      <c r="BH120" s="179"/>
      <c r="BI120" s="192"/>
      <c r="BJ120" s="192"/>
      <c r="BL120" s="192"/>
      <c r="BM120" s="192"/>
      <c r="BP120" s="179"/>
    </row>
    <row r="121">
      <c r="B121" s="189"/>
      <c r="C121" s="189"/>
      <c r="E121" s="189"/>
      <c r="F121" s="189"/>
      <c r="I121" s="179"/>
      <c r="J121" s="189"/>
      <c r="K121" s="189"/>
      <c r="M121" s="189"/>
      <c r="N121" s="189"/>
      <c r="Q121" s="179"/>
      <c r="S121" s="189"/>
      <c r="T121" s="189"/>
      <c r="V121" s="189"/>
      <c r="W121" s="189"/>
      <c r="Z121" s="179"/>
      <c r="AA121" s="189"/>
      <c r="AB121" s="189"/>
      <c r="AD121" s="189"/>
      <c r="AE121" s="189"/>
      <c r="AH121" s="179"/>
      <c r="AJ121" s="191"/>
      <c r="AK121" s="191"/>
      <c r="AM121" s="191"/>
      <c r="AN121" s="191"/>
      <c r="AQ121" s="179"/>
      <c r="AR121" s="192"/>
      <c r="AS121" s="192"/>
      <c r="AU121" s="192"/>
      <c r="AV121" s="192"/>
      <c r="AY121" s="179"/>
      <c r="BA121" s="192"/>
      <c r="BB121" s="192"/>
      <c r="BD121" s="192"/>
      <c r="BE121" s="192"/>
      <c r="BH121" s="179"/>
      <c r="BI121" s="192"/>
      <c r="BJ121" s="192"/>
      <c r="BL121" s="192"/>
      <c r="BM121" s="192"/>
      <c r="BP121" s="179"/>
    </row>
    <row r="122">
      <c r="B122" s="189"/>
      <c r="C122" s="189"/>
      <c r="E122" s="189"/>
      <c r="F122" s="189"/>
      <c r="I122" s="179"/>
      <c r="J122" s="189"/>
      <c r="K122" s="189"/>
      <c r="M122" s="189"/>
      <c r="N122" s="189"/>
      <c r="Q122" s="179"/>
      <c r="S122" s="189"/>
      <c r="T122" s="189"/>
      <c r="V122" s="189"/>
      <c r="W122" s="189"/>
      <c r="Z122" s="179"/>
      <c r="AA122" s="189"/>
      <c r="AB122" s="189"/>
      <c r="AD122" s="189"/>
      <c r="AE122" s="189"/>
      <c r="AH122" s="179"/>
      <c r="AJ122" s="191"/>
      <c r="AK122" s="191"/>
      <c r="AM122" s="191"/>
      <c r="AN122" s="191"/>
      <c r="AQ122" s="179"/>
      <c r="AR122" s="192"/>
      <c r="AS122" s="192"/>
      <c r="AU122" s="192"/>
      <c r="AV122" s="192"/>
      <c r="AY122" s="179"/>
      <c r="BA122" s="192"/>
      <c r="BB122" s="192"/>
      <c r="BD122" s="192"/>
      <c r="BE122" s="192"/>
      <c r="BH122" s="179"/>
      <c r="BI122" s="192"/>
      <c r="BJ122" s="192"/>
      <c r="BL122" s="192"/>
      <c r="BM122" s="192"/>
      <c r="BP122" s="179"/>
    </row>
    <row r="123">
      <c r="B123" s="189"/>
      <c r="C123" s="189"/>
      <c r="E123" s="189"/>
      <c r="F123" s="189"/>
      <c r="I123" s="179"/>
      <c r="J123" s="189"/>
      <c r="K123" s="189"/>
      <c r="M123" s="189"/>
      <c r="N123" s="189"/>
      <c r="Q123" s="179"/>
      <c r="S123" s="189"/>
      <c r="T123" s="189"/>
      <c r="V123" s="189"/>
      <c r="W123" s="189"/>
      <c r="Z123" s="179"/>
      <c r="AA123" s="189"/>
      <c r="AB123" s="189"/>
      <c r="AD123" s="189"/>
      <c r="AE123" s="189"/>
      <c r="AH123" s="179"/>
      <c r="AJ123" s="191"/>
      <c r="AK123" s="191"/>
      <c r="AM123" s="191"/>
      <c r="AN123" s="191"/>
      <c r="AQ123" s="179"/>
      <c r="AR123" s="192"/>
      <c r="AS123" s="192"/>
      <c r="AU123" s="192"/>
      <c r="AV123" s="192"/>
      <c r="AY123" s="179"/>
      <c r="BA123" s="192"/>
      <c r="BB123" s="192"/>
      <c r="BD123" s="192"/>
      <c r="BE123" s="192"/>
      <c r="BH123" s="179"/>
      <c r="BI123" s="192"/>
      <c r="BJ123" s="192"/>
      <c r="BL123" s="192"/>
      <c r="BM123" s="192"/>
      <c r="BP123" s="179"/>
    </row>
    <row r="124">
      <c r="B124" s="189"/>
      <c r="C124" s="189"/>
      <c r="E124" s="189"/>
      <c r="F124" s="189"/>
      <c r="I124" s="179"/>
      <c r="J124" s="189"/>
      <c r="K124" s="189"/>
      <c r="M124" s="189"/>
      <c r="N124" s="189"/>
      <c r="Q124" s="179"/>
      <c r="S124" s="189"/>
      <c r="T124" s="189"/>
      <c r="V124" s="189"/>
      <c r="W124" s="189"/>
      <c r="Z124" s="179"/>
      <c r="AA124" s="189"/>
      <c r="AB124" s="189"/>
      <c r="AD124" s="189"/>
      <c r="AE124" s="189"/>
      <c r="AH124" s="179"/>
      <c r="AJ124" s="191"/>
      <c r="AK124" s="191"/>
      <c r="AM124" s="191"/>
      <c r="AN124" s="191"/>
      <c r="AQ124" s="179"/>
      <c r="AR124" s="192"/>
      <c r="AS124" s="192"/>
      <c r="AU124" s="192"/>
      <c r="AV124" s="192"/>
      <c r="AY124" s="179"/>
      <c r="BA124" s="192"/>
      <c r="BB124" s="192"/>
      <c r="BD124" s="192"/>
      <c r="BE124" s="192"/>
      <c r="BH124" s="179"/>
      <c r="BI124" s="192"/>
      <c r="BJ124" s="192"/>
      <c r="BL124" s="192"/>
      <c r="BM124" s="192"/>
      <c r="BP124" s="179"/>
    </row>
    <row r="125">
      <c r="B125" s="189"/>
      <c r="C125" s="189"/>
      <c r="E125" s="189"/>
      <c r="F125" s="189"/>
      <c r="I125" s="179"/>
      <c r="J125" s="189"/>
      <c r="K125" s="189"/>
      <c r="M125" s="189"/>
      <c r="N125" s="189"/>
      <c r="Q125" s="179"/>
      <c r="S125" s="189"/>
      <c r="T125" s="189"/>
      <c r="V125" s="189"/>
      <c r="W125" s="189"/>
      <c r="Z125" s="179"/>
      <c r="AA125" s="189"/>
      <c r="AB125" s="189"/>
      <c r="AD125" s="189"/>
      <c r="AE125" s="189"/>
      <c r="AH125" s="179"/>
      <c r="AJ125" s="191"/>
      <c r="AK125" s="191"/>
      <c r="AM125" s="191"/>
      <c r="AN125" s="191"/>
      <c r="AQ125" s="179"/>
      <c r="AR125" s="192"/>
      <c r="AS125" s="192"/>
      <c r="AU125" s="192"/>
      <c r="AV125" s="192"/>
      <c r="AY125" s="179"/>
      <c r="BA125" s="192"/>
      <c r="BB125" s="192"/>
      <c r="BD125" s="192"/>
      <c r="BE125" s="192"/>
      <c r="BH125" s="179"/>
      <c r="BI125" s="192"/>
      <c r="BJ125" s="192"/>
      <c r="BL125" s="192"/>
      <c r="BM125" s="192"/>
      <c r="BP125" s="179"/>
    </row>
    <row r="126">
      <c r="B126" s="189"/>
      <c r="C126" s="189"/>
      <c r="E126" s="189"/>
      <c r="F126" s="189"/>
      <c r="I126" s="179"/>
      <c r="J126" s="189"/>
      <c r="K126" s="189"/>
      <c r="M126" s="189"/>
      <c r="N126" s="189"/>
      <c r="Q126" s="179"/>
      <c r="S126" s="189"/>
      <c r="T126" s="189"/>
      <c r="V126" s="189"/>
      <c r="W126" s="189"/>
      <c r="Z126" s="179"/>
      <c r="AA126" s="189"/>
      <c r="AB126" s="189"/>
      <c r="AD126" s="189"/>
      <c r="AE126" s="189"/>
      <c r="AH126" s="179"/>
      <c r="AJ126" s="191"/>
      <c r="AK126" s="191"/>
      <c r="AM126" s="191"/>
      <c r="AN126" s="191"/>
      <c r="AQ126" s="179"/>
      <c r="AR126" s="192"/>
      <c r="AS126" s="192"/>
      <c r="AU126" s="192"/>
      <c r="AV126" s="192"/>
      <c r="AY126" s="179"/>
      <c r="BA126" s="192"/>
      <c r="BB126" s="192"/>
      <c r="BD126" s="192"/>
      <c r="BE126" s="192"/>
      <c r="BH126" s="179"/>
      <c r="BI126" s="192"/>
      <c r="BJ126" s="192"/>
      <c r="BL126" s="192"/>
      <c r="BM126" s="192"/>
      <c r="BP126" s="179"/>
    </row>
    <row r="127">
      <c r="B127" s="189"/>
      <c r="C127" s="189"/>
      <c r="E127" s="189"/>
      <c r="F127" s="189"/>
      <c r="I127" s="179"/>
      <c r="J127" s="189"/>
      <c r="K127" s="189"/>
      <c r="M127" s="189"/>
      <c r="N127" s="189"/>
      <c r="Q127" s="179"/>
      <c r="S127" s="189"/>
      <c r="T127" s="189"/>
      <c r="V127" s="189"/>
      <c r="W127" s="189"/>
      <c r="Z127" s="179"/>
      <c r="AA127" s="189"/>
      <c r="AB127" s="189"/>
      <c r="AD127" s="189"/>
      <c r="AE127" s="189"/>
      <c r="AH127" s="179"/>
      <c r="AJ127" s="191"/>
      <c r="AK127" s="191"/>
      <c r="AM127" s="191"/>
      <c r="AN127" s="191"/>
      <c r="AQ127" s="179"/>
      <c r="AR127" s="192"/>
      <c r="AS127" s="192"/>
      <c r="AU127" s="192"/>
      <c r="AV127" s="192"/>
      <c r="AY127" s="179"/>
      <c r="BA127" s="192"/>
      <c r="BB127" s="192"/>
      <c r="BD127" s="192"/>
      <c r="BE127" s="192"/>
      <c r="BH127" s="179"/>
      <c r="BI127" s="192"/>
      <c r="BJ127" s="192"/>
      <c r="BL127" s="192"/>
      <c r="BM127" s="192"/>
      <c r="BP127" s="179"/>
    </row>
    <row r="128">
      <c r="B128" s="189"/>
      <c r="C128" s="189"/>
      <c r="E128" s="189"/>
      <c r="F128" s="189"/>
      <c r="I128" s="179"/>
      <c r="J128" s="189"/>
      <c r="K128" s="189"/>
      <c r="M128" s="189"/>
      <c r="N128" s="189"/>
      <c r="Q128" s="179"/>
      <c r="S128" s="189"/>
      <c r="T128" s="189"/>
      <c r="V128" s="189"/>
      <c r="W128" s="189"/>
      <c r="Z128" s="179"/>
      <c r="AA128" s="189"/>
      <c r="AB128" s="189"/>
      <c r="AD128" s="189"/>
      <c r="AE128" s="189"/>
      <c r="AH128" s="179"/>
      <c r="AJ128" s="191"/>
      <c r="AK128" s="191"/>
      <c r="AM128" s="191"/>
      <c r="AN128" s="191"/>
      <c r="AQ128" s="179"/>
      <c r="AR128" s="192"/>
      <c r="AS128" s="192"/>
      <c r="AU128" s="192"/>
      <c r="AV128" s="192"/>
      <c r="AY128" s="179"/>
      <c r="BA128" s="192"/>
      <c r="BB128" s="192"/>
      <c r="BD128" s="192"/>
      <c r="BE128" s="192"/>
      <c r="BH128" s="179"/>
      <c r="BI128" s="192"/>
      <c r="BJ128" s="192"/>
      <c r="BL128" s="192"/>
      <c r="BM128" s="192"/>
      <c r="BP128" s="179"/>
    </row>
    <row r="129">
      <c r="B129" s="189"/>
      <c r="C129" s="189"/>
      <c r="E129" s="189"/>
      <c r="F129" s="189"/>
      <c r="I129" s="179"/>
      <c r="J129" s="189"/>
      <c r="K129" s="189"/>
      <c r="M129" s="189"/>
      <c r="N129" s="189"/>
      <c r="Q129" s="179"/>
      <c r="S129" s="189"/>
      <c r="T129" s="189"/>
      <c r="V129" s="189"/>
      <c r="W129" s="189"/>
      <c r="Z129" s="179"/>
      <c r="AA129" s="189"/>
      <c r="AB129" s="189"/>
      <c r="AD129" s="189"/>
      <c r="AE129" s="189"/>
      <c r="AH129" s="179"/>
      <c r="AJ129" s="191"/>
      <c r="AK129" s="191"/>
      <c r="AM129" s="191"/>
      <c r="AN129" s="191"/>
      <c r="AQ129" s="179"/>
      <c r="AR129" s="192"/>
      <c r="AS129" s="192"/>
      <c r="AU129" s="192"/>
      <c r="AV129" s="192"/>
      <c r="AY129" s="179"/>
      <c r="BA129" s="192"/>
      <c r="BB129" s="192"/>
      <c r="BD129" s="192"/>
      <c r="BE129" s="192"/>
      <c r="BH129" s="179"/>
      <c r="BI129" s="192"/>
      <c r="BJ129" s="192"/>
      <c r="BL129" s="192"/>
      <c r="BM129" s="192"/>
      <c r="BP129" s="179"/>
    </row>
    <row r="130">
      <c r="B130" s="189"/>
      <c r="C130" s="189"/>
      <c r="E130" s="189"/>
      <c r="F130" s="189"/>
      <c r="I130" s="179"/>
      <c r="J130" s="189"/>
      <c r="K130" s="189"/>
      <c r="M130" s="189"/>
      <c r="N130" s="189"/>
      <c r="Q130" s="179"/>
      <c r="S130" s="189"/>
      <c r="T130" s="189"/>
      <c r="V130" s="189"/>
      <c r="W130" s="189"/>
      <c r="Z130" s="179"/>
      <c r="AA130" s="189"/>
      <c r="AB130" s="189"/>
      <c r="AD130" s="189"/>
      <c r="AE130" s="189"/>
      <c r="AH130" s="179"/>
      <c r="AJ130" s="191"/>
      <c r="AK130" s="191"/>
      <c r="AM130" s="191"/>
      <c r="AN130" s="191"/>
      <c r="AQ130" s="179"/>
      <c r="AR130" s="192"/>
      <c r="AS130" s="192"/>
      <c r="AU130" s="192"/>
      <c r="AV130" s="192"/>
      <c r="AY130" s="179"/>
      <c r="BA130" s="192"/>
      <c r="BB130" s="192"/>
      <c r="BD130" s="192"/>
      <c r="BE130" s="192"/>
      <c r="BH130" s="179"/>
      <c r="BI130" s="192"/>
      <c r="BJ130" s="192"/>
      <c r="BL130" s="192"/>
      <c r="BM130" s="192"/>
      <c r="BP130" s="179"/>
    </row>
    <row r="131">
      <c r="B131" s="189"/>
      <c r="C131" s="189"/>
      <c r="E131" s="189"/>
      <c r="F131" s="189"/>
      <c r="I131" s="179"/>
      <c r="J131" s="189"/>
      <c r="K131" s="189"/>
      <c r="M131" s="189"/>
      <c r="N131" s="189"/>
      <c r="Q131" s="179"/>
      <c r="S131" s="189"/>
      <c r="T131" s="189"/>
      <c r="V131" s="189"/>
      <c r="W131" s="189"/>
      <c r="Z131" s="179"/>
      <c r="AA131" s="189"/>
      <c r="AB131" s="189"/>
      <c r="AD131" s="189"/>
      <c r="AE131" s="189"/>
      <c r="AH131" s="179"/>
      <c r="AJ131" s="191"/>
      <c r="AK131" s="191"/>
      <c r="AM131" s="191"/>
      <c r="AN131" s="191"/>
      <c r="AQ131" s="179"/>
      <c r="AR131" s="192"/>
      <c r="AS131" s="192"/>
      <c r="AU131" s="192"/>
      <c r="AV131" s="192"/>
      <c r="AY131" s="179"/>
      <c r="BA131" s="192"/>
      <c r="BB131" s="192"/>
      <c r="BD131" s="192"/>
      <c r="BE131" s="192"/>
      <c r="BH131" s="179"/>
      <c r="BI131" s="192"/>
      <c r="BJ131" s="192"/>
      <c r="BL131" s="192"/>
      <c r="BM131" s="192"/>
      <c r="BP131" s="179"/>
    </row>
    <row r="132">
      <c r="B132" s="189"/>
      <c r="C132" s="189"/>
      <c r="E132" s="189"/>
      <c r="F132" s="189"/>
      <c r="I132" s="179"/>
      <c r="J132" s="189"/>
      <c r="K132" s="189"/>
      <c r="M132" s="189"/>
      <c r="N132" s="189"/>
      <c r="Q132" s="179"/>
      <c r="S132" s="189"/>
      <c r="T132" s="189"/>
      <c r="V132" s="189"/>
      <c r="W132" s="189"/>
      <c r="Z132" s="179"/>
      <c r="AA132" s="189"/>
      <c r="AB132" s="189"/>
      <c r="AD132" s="189"/>
      <c r="AE132" s="189"/>
      <c r="AH132" s="179"/>
      <c r="AJ132" s="191"/>
      <c r="AK132" s="191"/>
      <c r="AM132" s="191"/>
      <c r="AN132" s="191"/>
      <c r="AQ132" s="179"/>
      <c r="AR132" s="192"/>
      <c r="AS132" s="192"/>
      <c r="AU132" s="192"/>
      <c r="AV132" s="192"/>
      <c r="AY132" s="179"/>
      <c r="BA132" s="192"/>
      <c r="BB132" s="192"/>
      <c r="BD132" s="192"/>
      <c r="BE132" s="192"/>
      <c r="BH132" s="179"/>
      <c r="BI132" s="192"/>
      <c r="BJ132" s="192"/>
      <c r="BL132" s="192"/>
      <c r="BM132" s="192"/>
      <c r="BP132" s="179"/>
    </row>
    <row r="133">
      <c r="B133" s="189"/>
      <c r="C133" s="189"/>
      <c r="E133" s="189"/>
      <c r="F133" s="189"/>
      <c r="I133" s="179"/>
      <c r="J133" s="189"/>
      <c r="K133" s="189"/>
      <c r="M133" s="189"/>
      <c r="N133" s="189"/>
      <c r="Q133" s="179"/>
      <c r="S133" s="189"/>
      <c r="T133" s="189"/>
      <c r="V133" s="189"/>
      <c r="W133" s="189"/>
      <c r="Z133" s="179"/>
      <c r="AA133" s="189"/>
      <c r="AB133" s="189"/>
      <c r="AD133" s="189"/>
      <c r="AE133" s="189"/>
      <c r="AH133" s="179"/>
      <c r="AJ133" s="191"/>
      <c r="AK133" s="191"/>
      <c r="AM133" s="191"/>
      <c r="AN133" s="191"/>
      <c r="AQ133" s="179"/>
      <c r="AR133" s="192"/>
      <c r="AS133" s="192"/>
      <c r="AU133" s="192"/>
      <c r="AV133" s="192"/>
      <c r="AY133" s="179"/>
      <c r="BA133" s="192"/>
      <c r="BB133" s="192"/>
      <c r="BD133" s="192"/>
      <c r="BE133" s="192"/>
      <c r="BH133" s="179"/>
      <c r="BI133" s="192"/>
      <c r="BJ133" s="192"/>
      <c r="BL133" s="192"/>
      <c r="BM133" s="192"/>
      <c r="BP133" s="179"/>
    </row>
    <row r="134">
      <c r="B134" s="189"/>
      <c r="C134" s="189"/>
      <c r="E134" s="189"/>
      <c r="F134" s="189"/>
      <c r="I134" s="179"/>
      <c r="J134" s="189"/>
      <c r="K134" s="189"/>
      <c r="M134" s="189"/>
      <c r="N134" s="189"/>
      <c r="Q134" s="179"/>
      <c r="S134" s="189"/>
      <c r="T134" s="189"/>
      <c r="V134" s="189"/>
      <c r="W134" s="189"/>
      <c r="Z134" s="179"/>
      <c r="AA134" s="189"/>
      <c r="AB134" s="189"/>
      <c r="AD134" s="189"/>
      <c r="AE134" s="189"/>
      <c r="AH134" s="179"/>
      <c r="AJ134" s="191"/>
      <c r="AK134" s="191"/>
      <c r="AM134" s="191"/>
      <c r="AN134" s="191"/>
      <c r="AQ134" s="179"/>
      <c r="AR134" s="192"/>
      <c r="AS134" s="192"/>
      <c r="AU134" s="192"/>
      <c r="AV134" s="192"/>
      <c r="AY134" s="179"/>
      <c r="BA134" s="192"/>
      <c r="BB134" s="192"/>
      <c r="BD134" s="192"/>
      <c r="BE134" s="192"/>
      <c r="BH134" s="179"/>
      <c r="BI134" s="192"/>
      <c r="BJ134" s="192"/>
      <c r="BL134" s="192"/>
      <c r="BM134" s="192"/>
      <c r="BP134" s="179"/>
    </row>
    <row r="135">
      <c r="B135" s="189"/>
      <c r="C135" s="189"/>
      <c r="E135" s="189"/>
      <c r="F135" s="189"/>
      <c r="I135" s="179"/>
      <c r="J135" s="189"/>
      <c r="K135" s="189"/>
      <c r="M135" s="189"/>
      <c r="N135" s="189"/>
      <c r="Q135" s="179"/>
      <c r="S135" s="189"/>
      <c r="T135" s="189"/>
      <c r="V135" s="189"/>
      <c r="W135" s="189"/>
      <c r="Z135" s="179"/>
      <c r="AA135" s="189"/>
      <c r="AB135" s="189"/>
      <c r="AD135" s="189"/>
      <c r="AE135" s="189"/>
      <c r="AH135" s="179"/>
      <c r="AJ135" s="191"/>
      <c r="AK135" s="191"/>
      <c r="AM135" s="191"/>
      <c r="AN135" s="191"/>
      <c r="AQ135" s="179"/>
      <c r="AR135" s="192"/>
      <c r="AS135" s="192"/>
      <c r="AU135" s="192"/>
      <c r="AV135" s="192"/>
      <c r="AY135" s="179"/>
      <c r="BA135" s="192"/>
      <c r="BB135" s="192"/>
      <c r="BD135" s="192"/>
      <c r="BE135" s="192"/>
      <c r="BH135" s="179"/>
      <c r="BI135" s="192"/>
      <c r="BJ135" s="192"/>
      <c r="BL135" s="192"/>
      <c r="BM135" s="192"/>
      <c r="BP135" s="179"/>
    </row>
    <row r="136">
      <c r="B136" s="189"/>
      <c r="C136" s="189"/>
      <c r="E136" s="189"/>
      <c r="F136" s="189"/>
      <c r="I136" s="179"/>
      <c r="J136" s="189"/>
      <c r="K136" s="189"/>
      <c r="M136" s="189"/>
      <c r="N136" s="189"/>
      <c r="Q136" s="179"/>
      <c r="S136" s="189"/>
      <c r="T136" s="189"/>
      <c r="V136" s="189"/>
      <c r="W136" s="189"/>
      <c r="Z136" s="179"/>
      <c r="AA136" s="189"/>
      <c r="AB136" s="189"/>
      <c r="AD136" s="189"/>
      <c r="AE136" s="189"/>
      <c r="AH136" s="179"/>
      <c r="AJ136" s="191"/>
      <c r="AK136" s="191"/>
      <c r="AM136" s="191"/>
      <c r="AN136" s="191"/>
      <c r="AQ136" s="179"/>
      <c r="AR136" s="192"/>
      <c r="AS136" s="192"/>
      <c r="AU136" s="192"/>
      <c r="AV136" s="192"/>
      <c r="AY136" s="179"/>
      <c r="BA136" s="192"/>
      <c r="BB136" s="192"/>
      <c r="BD136" s="192"/>
      <c r="BE136" s="192"/>
      <c r="BH136" s="179"/>
      <c r="BI136" s="192"/>
      <c r="BJ136" s="192"/>
      <c r="BL136" s="192"/>
      <c r="BM136" s="192"/>
      <c r="BP136" s="179"/>
    </row>
    <row r="137">
      <c r="B137" s="189"/>
      <c r="C137" s="189"/>
      <c r="E137" s="189"/>
      <c r="F137" s="189"/>
      <c r="I137" s="179"/>
      <c r="J137" s="189"/>
      <c r="K137" s="189"/>
      <c r="M137" s="189"/>
      <c r="N137" s="189"/>
      <c r="Q137" s="179"/>
      <c r="S137" s="189"/>
      <c r="T137" s="189"/>
      <c r="V137" s="189"/>
      <c r="W137" s="189"/>
      <c r="Z137" s="179"/>
      <c r="AA137" s="189"/>
      <c r="AB137" s="189"/>
      <c r="AD137" s="189"/>
      <c r="AE137" s="189"/>
      <c r="AH137" s="179"/>
      <c r="AJ137" s="191"/>
      <c r="AK137" s="191"/>
      <c r="AM137" s="191"/>
      <c r="AN137" s="191"/>
      <c r="AQ137" s="179"/>
      <c r="AR137" s="192"/>
      <c r="AS137" s="192"/>
      <c r="AU137" s="192"/>
      <c r="AV137" s="192"/>
      <c r="AY137" s="179"/>
      <c r="BA137" s="192"/>
      <c r="BB137" s="192"/>
      <c r="BD137" s="192"/>
      <c r="BE137" s="192"/>
      <c r="BH137" s="179"/>
      <c r="BI137" s="192"/>
      <c r="BJ137" s="192"/>
      <c r="BL137" s="192"/>
      <c r="BM137" s="192"/>
      <c r="BP137" s="179"/>
    </row>
    <row r="138">
      <c r="B138" s="189"/>
      <c r="C138" s="189"/>
      <c r="E138" s="189"/>
      <c r="F138" s="189"/>
      <c r="I138" s="179"/>
      <c r="J138" s="189"/>
      <c r="K138" s="189"/>
      <c r="M138" s="189"/>
      <c r="N138" s="189"/>
      <c r="Q138" s="179"/>
      <c r="S138" s="189"/>
      <c r="T138" s="189"/>
      <c r="V138" s="189"/>
      <c r="W138" s="189"/>
      <c r="Z138" s="179"/>
      <c r="AA138" s="189"/>
      <c r="AB138" s="189"/>
      <c r="AD138" s="189"/>
      <c r="AE138" s="189"/>
      <c r="AH138" s="179"/>
      <c r="AJ138" s="191"/>
      <c r="AK138" s="191"/>
      <c r="AM138" s="191"/>
      <c r="AN138" s="191"/>
      <c r="AQ138" s="179"/>
      <c r="AR138" s="192"/>
      <c r="AS138" s="192"/>
      <c r="AU138" s="192"/>
      <c r="AV138" s="192"/>
      <c r="AY138" s="179"/>
      <c r="BA138" s="192"/>
      <c r="BB138" s="192"/>
      <c r="BD138" s="192"/>
      <c r="BE138" s="192"/>
      <c r="BH138" s="179"/>
      <c r="BI138" s="192"/>
      <c r="BJ138" s="192"/>
      <c r="BL138" s="192"/>
      <c r="BM138" s="192"/>
      <c r="BP138" s="179"/>
    </row>
    <row r="139">
      <c r="B139" s="189"/>
      <c r="C139" s="189"/>
      <c r="E139" s="189"/>
      <c r="F139" s="189"/>
      <c r="I139" s="179"/>
      <c r="J139" s="189"/>
      <c r="K139" s="189"/>
      <c r="M139" s="189"/>
      <c r="N139" s="189"/>
      <c r="Q139" s="179"/>
      <c r="S139" s="189"/>
      <c r="T139" s="189"/>
      <c r="V139" s="189"/>
      <c r="W139" s="189"/>
      <c r="Z139" s="179"/>
      <c r="AA139" s="189"/>
      <c r="AB139" s="189"/>
      <c r="AD139" s="189"/>
      <c r="AE139" s="189"/>
      <c r="AH139" s="179"/>
      <c r="AJ139" s="191"/>
      <c r="AK139" s="191"/>
      <c r="AM139" s="191"/>
      <c r="AN139" s="191"/>
      <c r="AQ139" s="179"/>
      <c r="AR139" s="192"/>
      <c r="AS139" s="192"/>
      <c r="AU139" s="192"/>
      <c r="AV139" s="192"/>
      <c r="AY139" s="179"/>
      <c r="BA139" s="192"/>
      <c r="BB139" s="192"/>
      <c r="BD139" s="192"/>
      <c r="BE139" s="192"/>
      <c r="BH139" s="179"/>
      <c r="BI139" s="192"/>
      <c r="BJ139" s="192"/>
      <c r="BL139" s="192"/>
      <c r="BM139" s="192"/>
      <c r="BP139" s="179"/>
    </row>
    <row r="140">
      <c r="B140" s="189"/>
      <c r="C140" s="189"/>
      <c r="E140" s="189"/>
      <c r="F140" s="189"/>
      <c r="I140" s="179"/>
      <c r="J140" s="189"/>
      <c r="K140" s="189"/>
      <c r="M140" s="189"/>
      <c r="N140" s="189"/>
      <c r="Q140" s="179"/>
      <c r="S140" s="189"/>
      <c r="T140" s="189"/>
      <c r="V140" s="189"/>
      <c r="W140" s="189"/>
      <c r="Z140" s="179"/>
      <c r="AA140" s="189"/>
      <c r="AB140" s="189"/>
      <c r="AD140" s="189"/>
      <c r="AE140" s="189"/>
      <c r="AH140" s="179"/>
      <c r="AJ140" s="191"/>
      <c r="AK140" s="191"/>
      <c r="AM140" s="191"/>
      <c r="AN140" s="191"/>
      <c r="AQ140" s="179"/>
      <c r="AR140" s="192"/>
      <c r="AS140" s="192"/>
      <c r="AU140" s="192"/>
      <c r="AV140" s="192"/>
      <c r="AY140" s="179"/>
      <c r="BA140" s="192"/>
      <c r="BB140" s="192"/>
      <c r="BD140" s="192"/>
      <c r="BE140" s="192"/>
      <c r="BH140" s="179"/>
      <c r="BI140" s="192"/>
      <c r="BJ140" s="192"/>
      <c r="BL140" s="192"/>
      <c r="BM140" s="192"/>
      <c r="BP140" s="179"/>
    </row>
    <row r="141">
      <c r="B141" s="189"/>
      <c r="C141" s="189"/>
      <c r="E141" s="189"/>
      <c r="F141" s="189"/>
      <c r="I141" s="179"/>
      <c r="J141" s="189"/>
      <c r="K141" s="189"/>
      <c r="M141" s="189"/>
      <c r="N141" s="189"/>
      <c r="Q141" s="179"/>
      <c r="S141" s="189"/>
      <c r="T141" s="189"/>
      <c r="V141" s="189"/>
      <c r="W141" s="189"/>
      <c r="Z141" s="179"/>
      <c r="AA141" s="189"/>
      <c r="AB141" s="189"/>
      <c r="AD141" s="189"/>
      <c r="AE141" s="189"/>
      <c r="AH141" s="179"/>
      <c r="AJ141" s="191"/>
      <c r="AK141" s="191"/>
      <c r="AM141" s="191"/>
      <c r="AN141" s="191"/>
      <c r="AQ141" s="179"/>
      <c r="AR141" s="192"/>
      <c r="AS141" s="192"/>
      <c r="AU141" s="192"/>
      <c r="AV141" s="192"/>
      <c r="AY141" s="179"/>
      <c r="BA141" s="192"/>
      <c r="BB141" s="192"/>
      <c r="BD141" s="192"/>
      <c r="BE141" s="192"/>
      <c r="BH141" s="179"/>
      <c r="BI141" s="192"/>
      <c r="BJ141" s="192"/>
      <c r="BL141" s="192"/>
      <c r="BM141" s="192"/>
      <c r="BP141" s="179"/>
    </row>
    <row r="142">
      <c r="B142" s="189"/>
      <c r="C142" s="189"/>
      <c r="E142" s="189"/>
      <c r="F142" s="189"/>
      <c r="I142" s="179"/>
      <c r="J142" s="189"/>
      <c r="K142" s="189"/>
      <c r="M142" s="189"/>
      <c r="N142" s="189"/>
      <c r="Q142" s="179"/>
      <c r="S142" s="189"/>
      <c r="T142" s="189"/>
      <c r="V142" s="189"/>
      <c r="W142" s="189"/>
      <c r="Z142" s="179"/>
      <c r="AA142" s="189"/>
      <c r="AB142" s="189"/>
      <c r="AD142" s="189"/>
      <c r="AE142" s="189"/>
      <c r="AH142" s="179"/>
      <c r="AJ142" s="191"/>
      <c r="AK142" s="191"/>
      <c r="AM142" s="191"/>
      <c r="AN142" s="191"/>
      <c r="AQ142" s="179"/>
      <c r="AR142" s="192"/>
      <c r="AS142" s="192"/>
      <c r="AU142" s="192"/>
      <c r="AV142" s="192"/>
      <c r="AY142" s="179"/>
      <c r="BA142" s="192"/>
      <c r="BB142" s="192"/>
      <c r="BD142" s="192"/>
      <c r="BE142" s="192"/>
      <c r="BH142" s="179"/>
      <c r="BI142" s="192"/>
      <c r="BJ142" s="192"/>
      <c r="BL142" s="192"/>
      <c r="BM142" s="192"/>
      <c r="BP142" s="179"/>
    </row>
    <row r="143">
      <c r="B143" s="189"/>
      <c r="C143" s="189"/>
      <c r="E143" s="189"/>
      <c r="F143" s="189"/>
      <c r="I143" s="179"/>
      <c r="J143" s="189"/>
      <c r="K143" s="189"/>
      <c r="M143" s="189"/>
      <c r="N143" s="189"/>
      <c r="Q143" s="179"/>
      <c r="S143" s="189"/>
      <c r="T143" s="189"/>
      <c r="V143" s="189"/>
      <c r="W143" s="189"/>
      <c r="Z143" s="179"/>
      <c r="AA143" s="189"/>
      <c r="AB143" s="189"/>
      <c r="AD143" s="189"/>
      <c r="AE143" s="189"/>
      <c r="AH143" s="179"/>
      <c r="AJ143" s="191"/>
      <c r="AK143" s="191"/>
      <c r="AM143" s="191"/>
      <c r="AN143" s="191"/>
      <c r="AQ143" s="179"/>
      <c r="AR143" s="192"/>
      <c r="AS143" s="192"/>
      <c r="AU143" s="192"/>
      <c r="AV143" s="192"/>
      <c r="AY143" s="179"/>
      <c r="BA143" s="192"/>
      <c r="BB143" s="192"/>
      <c r="BD143" s="192"/>
      <c r="BE143" s="192"/>
      <c r="BH143" s="179"/>
      <c r="BI143" s="192"/>
      <c r="BJ143" s="192"/>
      <c r="BL143" s="192"/>
      <c r="BM143" s="192"/>
      <c r="BP143" s="179"/>
    </row>
    <row r="144">
      <c r="B144" s="189"/>
      <c r="C144" s="189"/>
      <c r="E144" s="189"/>
      <c r="F144" s="189"/>
      <c r="I144" s="179"/>
      <c r="J144" s="189"/>
      <c r="K144" s="189"/>
      <c r="M144" s="189"/>
      <c r="N144" s="189"/>
      <c r="Q144" s="179"/>
      <c r="S144" s="189"/>
      <c r="T144" s="189"/>
      <c r="V144" s="189"/>
      <c r="W144" s="189"/>
      <c r="Z144" s="179"/>
      <c r="AA144" s="189"/>
      <c r="AB144" s="189"/>
      <c r="AD144" s="189"/>
      <c r="AE144" s="189"/>
      <c r="AH144" s="179"/>
      <c r="AJ144" s="191"/>
      <c r="AK144" s="191"/>
      <c r="AM144" s="191"/>
      <c r="AN144" s="191"/>
      <c r="AQ144" s="179"/>
      <c r="AR144" s="192"/>
      <c r="AS144" s="192"/>
      <c r="AU144" s="192"/>
      <c r="AV144" s="192"/>
      <c r="AY144" s="179"/>
      <c r="BA144" s="192"/>
      <c r="BB144" s="192"/>
      <c r="BD144" s="192"/>
      <c r="BE144" s="192"/>
      <c r="BH144" s="179"/>
      <c r="BI144" s="192"/>
      <c r="BJ144" s="192"/>
      <c r="BL144" s="192"/>
      <c r="BM144" s="192"/>
      <c r="BP144" s="179"/>
    </row>
    <row r="145">
      <c r="B145" s="189"/>
      <c r="C145" s="189"/>
      <c r="E145" s="189"/>
      <c r="F145" s="189"/>
      <c r="I145" s="179"/>
      <c r="J145" s="189"/>
      <c r="K145" s="189"/>
      <c r="M145" s="189"/>
      <c r="N145" s="189"/>
      <c r="Q145" s="179"/>
      <c r="S145" s="189"/>
      <c r="T145" s="189"/>
      <c r="V145" s="189"/>
      <c r="W145" s="189"/>
      <c r="Z145" s="179"/>
      <c r="AA145" s="189"/>
      <c r="AB145" s="189"/>
      <c r="AD145" s="189"/>
      <c r="AE145" s="189"/>
      <c r="AH145" s="179"/>
      <c r="AJ145" s="191"/>
      <c r="AK145" s="191"/>
      <c r="AM145" s="191"/>
      <c r="AN145" s="191"/>
      <c r="AQ145" s="179"/>
      <c r="AR145" s="192"/>
      <c r="AS145" s="192"/>
      <c r="AU145" s="192"/>
      <c r="AV145" s="192"/>
      <c r="AY145" s="179"/>
      <c r="BA145" s="192"/>
      <c r="BB145" s="192"/>
      <c r="BD145" s="192"/>
      <c r="BE145" s="192"/>
      <c r="BH145" s="179"/>
      <c r="BI145" s="192"/>
      <c r="BJ145" s="192"/>
      <c r="BL145" s="192"/>
      <c r="BM145" s="192"/>
      <c r="BP145" s="179"/>
    </row>
    <row r="146">
      <c r="B146" s="189"/>
      <c r="C146" s="189"/>
      <c r="E146" s="189"/>
      <c r="F146" s="189"/>
      <c r="I146" s="179"/>
      <c r="J146" s="189"/>
      <c r="K146" s="189"/>
      <c r="M146" s="189"/>
      <c r="N146" s="189"/>
      <c r="Q146" s="179"/>
      <c r="S146" s="189"/>
      <c r="T146" s="189"/>
      <c r="V146" s="189"/>
      <c r="W146" s="189"/>
      <c r="Z146" s="179"/>
      <c r="AA146" s="189"/>
      <c r="AB146" s="189"/>
      <c r="AD146" s="189"/>
      <c r="AE146" s="189"/>
      <c r="AH146" s="179"/>
      <c r="AJ146" s="191"/>
      <c r="AK146" s="191"/>
      <c r="AM146" s="191"/>
      <c r="AN146" s="191"/>
      <c r="AQ146" s="179"/>
      <c r="AR146" s="192"/>
      <c r="AS146" s="192"/>
      <c r="AU146" s="192"/>
      <c r="AV146" s="192"/>
      <c r="AY146" s="179"/>
      <c r="BA146" s="192"/>
      <c r="BB146" s="192"/>
      <c r="BD146" s="192"/>
      <c r="BE146" s="192"/>
      <c r="BH146" s="179"/>
      <c r="BI146" s="192"/>
      <c r="BJ146" s="192"/>
      <c r="BL146" s="192"/>
      <c r="BM146" s="192"/>
      <c r="BP146" s="179"/>
    </row>
    <row r="147">
      <c r="B147" s="189"/>
      <c r="C147" s="189"/>
      <c r="E147" s="189"/>
      <c r="F147" s="189"/>
      <c r="I147" s="179"/>
      <c r="J147" s="189"/>
      <c r="K147" s="189"/>
      <c r="M147" s="189"/>
      <c r="N147" s="189"/>
      <c r="Q147" s="179"/>
      <c r="S147" s="189"/>
      <c r="T147" s="189"/>
      <c r="V147" s="189"/>
      <c r="W147" s="189"/>
      <c r="Z147" s="179"/>
      <c r="AA147" s="189"/>
      <c r="AB147" s="189"/>
      <c r="AD147" s="189"/>
      <c r="AE147" s="189"/>
      <c r="AH147" s="179"/>
      <c r="AJ147" s="191"/>
      <c r="AK147" s="191"/>
      <c r="AM147" s="191"/>
      <c r="AN147" s="191"/>
      <c r="AQ147" s="179"/>
      <c r="AR147" s="192"/>
      <c r="AS147" s="192"/>
      <c r="AU147" s="192"/>
      <c r="AV147" s="192"/>
      <c r="AY147" s="179"/>
      <c r="BA147" s="192"/>
      <c r="BB147" s="192"/>
      <c r="BD147" s="192"/>
      <c r="BE147" s="192"/>
      <c r="BH147" s="179"/>
      <c r="BI147" s="192"/>
      <c r="BJ147" s="192"/>
      <c r="BL147" s="192"/>
      <c r="BM147" s="192"/>
      <c r="BP147" s="179"/>
    </row>
    <row r="148">
      <c r="B148" s="189"/>
      <c r="C148" s="189"/>
      <c r="E148" s="189"/>
      <c r="F148" s="189"/>
      <c r="I148" s="179"/>
      <c r="J148" s="189"/>
      <c r="K148" s="189"/>
      <c r="M148" s="189"/>
      <c r="N148" s="189"/>
      <c r="Q148" s="179"/>
      <c r="S148" s="189"/>
      <c r="T148" s="189"/>
      <c r="V148" s="189"/>
      <c r="W148" s="189"/>
      <c r="Z148" s="179"/>
      <c r="AA148" s="189"/>
      <c r="AB148" s="189"/>
      <c r="AD148" s="189"/>
      <c r="AE148" s="189"/>
      <c r="AH148" s="179"/>
      <c r="AJ148" s="191"/>
      <c r="AK148" s="191"/>
      <c r="AM148" s="191"/>
      <c r="AN148" s="191"/>
      <c r="AQ148" s="179"/>
      <c r="AR148" s="192"/>
      <c r="AS148" s="192"/>
      <c r="AU148" s="192"/>
      <c r="AV148" s="192"/>
      <c r="AY148" s="179"/>
      <c r="BA148" s="192"/>
      <c r="BB148" s="192"/>
      <c r="BD148" s="192"/>
      <c r="BE148" s="192"/>
      <c r="BH148" s="179"/>
      <c r="BI148" s="192"/>
      <c r="BJ148" s="192"/>
      <c r="BL148" s="192"/>
      <c r="BM148" s="192"/>
      <c r="BP148" s="179"/>
    </row>
    <row r="149">
      <c r="B149" s="189"/>
      <c r="C149" s="189"/>
      <c r="E149" s="189"/>
      <c r="F149" s="189"/>
      <c r="I149" s="179"/>
      <c r="J149" s="189"/>
      <c r="K149" s="189"/>
      <c r="M149" s="189"/>
      <c r="N149" s="189"/>
      <c r="Q149" s="179"/>
      <c r="S149" s="189"/>
      <c r="T149" s="189"/>
      <c r="V149" s="189"/>
      <c r="W149" s="189"/>
      <c r="Z149" s="179"/>
      <c r="AA149" s="189"/>
      <c r="AB149" s="189"/>
      <c r="AD149" s="189"/>
      <c r="AE149" s="189"/>
      <c r="AH149" s="179"/>
      <c r="AJ149" s="191"/>
      <c r="AK149" s="191"/>
      <c r="AM149" s="191"/>
      <c r="AN149" s="191"/>
      <c r="AQ149" s="179"/>
      <c r="AR149" s="192"/>
      <c r="AS149" s="192"/>
      <c r="AU149" s="192"/>
      <c r="AV149" s="192"/>
      <c r="AY149" s="179"/>
      <c r="BA149" s="192"/>
      <c r="BB149" s="192"/>
      <c r="BD149" s="192"/>
      <c r="BE149" s="192"/>
      <c r="BH149" s="179"/>
      <c r="BI149" s="192"/>
      <c r="BJ149" s="192"/>
      <c r="BL149" s="192"/>
      <c r="BM149" s="192"/>
      <c r="BP149" s="179"/>
    </row>
    <row r="150">
      <c r="B150" s="189"/>
      <c r="C150" s="189"/>
      <c r="E150" s="189"/>
      <c r="F150" s="189"/>
      <c r="I150" s="179"/>
      <c r="J150" s="189"/>
      <c r="K150" s="189"/>
      <c r="M150" s="189"/>
      <c r="N150" s="189"/>
      <c r="Q150" s="179"/>
      <c r="S150" s="189"/>
      <c r="T150" s="189"/>
      <c r="V150" s="189"/>
      <c r="W150" s="189"/>
      <c r="Z150" s="179"/>
      <c r="AA150" s="189"/>
      <c r="AB150" s="189"/>
      <c r="AD150" s="189"/>
      <c r="AE150" s="189"/>
      <c r="AH150" s="179"/>
      <c r="AJ150" s="191"/>
      <c r="AK150" s="191"/>
      <c r="AM150" s="191"/>
      <c r="AN150" s="191"/>
      <c r="AQ150" s="179"/>
      <c r="AR150" s="192"/>
      <c r="AS150" s="192"/>
      <c r="AU150" s="192"/>
      <c r="AV150" s="192"/>
      <c r="AY150" s="179"/>
      <c r="BA150" s="192"/>
      <c r="BB150" s="192"/>
      <c r="BD150" s="192"/>
      <c r="BE150" s="192"/>
      <c r="BH150" s="179"/>
      <c r="BI150" s="192"/>
      <c r="BJ150" s="192"/>
      <c r="BL150" s="192"/>
      <c r="BM150" s="192"/>
      <c r="BP150" s="179"/>
    </row>
    <row r="151">
      <c r="B151" s="189"/>
      <c r="C151" s="189"/>
      <c r="E151" s="189"/>
      <c r="F151" s="189"/>
      <c r="I151" s="179"/>
      <c r="J151" s="189"/>
      <c r="K151" s="189"/>
      <c r="M151" s="189"/>
      <c r="N151" s="189"/>
      <c r="Q151" s="179"/>
      <c r="S151" s="189"/>
      <c r="T151" s="189"/>
      <c r="V151" s="189"/>
      <c r="W151" s="189"/>
      <c r="Z151" s="179"/>
      <c r="AA151" s="189"/>
      <c r="AB151" s="189"/>
      <c r="AD151" s="189"/>
      <c r="AE151" s="189"/>
      <c r="AH151" s="179"/>
      <c r="AJ151" s="191"/>
      <c r="AK151" s="191"/>
      <c r="AM151" s="191"/>
      <c r="AN151" s="191"/>
      <c r="AQ151" s="179"/>
      <c r="AR151" s="192"/>
      <c r="AS151" s="192"/>
      <c r="AU151" s="192"/>
      <c r="AV151" s="192"/>
      <c r="AY151" s="179"/>
      <c r="BA151" s="192"/>
      <c r="BB151" s="192"/>
      <c r="BD151" s="192"/>
      <c r="BE151" s="192"/>
      <c r="BH151" s="179"/>
      <c r="BI151" s="192"/>
      <c r="BJ151" s="192"/>
      <c r="BL151" s="192"/>
      <c r="BM151" s="192"/>
      <c r="BP151" s="179"/>
    </row>
    <row r="152">
      <c r="B152" s="189"/>
      <c r="C152" s="189"/>
      <c r="E152" s="189"/>
      <c r="F152" s="189"/>
      <c r="I152" s="179"/>
      <c r="J152" s="189"/>
      <c r="K152" s="189"/>
      <c r="M152" s="189"/>
      <c r="N152" s="189"/>
      <c r="Q152" s="179"/>
      <c r="S152" s="189"/>
      <c r="T152" s="189"/>
      <c r="V152" s="189"/>
      <c r="W152" s="189"/>
      <c r="Z152" s="179"/>
      <c r="AA152" s="189"/>
      <c r="AB152" s="189"/>
      <c r="AD152" s="189"/>
      <c r="AE152" s="189"/>
      <c r="AH152" s="179"/>
      <c r="AJ152" s="191"/>
      <c r="AK152" s="191"/>
      <c r="AM152" s="191"/>
      <c r="AN152" s="191"/>
      <c r="AQ152" s="179"/>
      <c r="AR152" s="192"/>
      <c r="AS152" s="192"/>
      <c r="AU152" s="192"/>
      <c r="AV152" s="192"/>
      <c r="AY152" s="179"/>
      <c r="BA152" s="192"/>
      <c r="BB152" s="192"/>
      <c r="BD152" s="192"/>
      <c r="BE152" s="192"/>
      <c r="BH152" s="179"/>
      <c r="BI152" s="192"/>
      <c r="BJ152" s="192"/>
      <c r="BL152" s="192"/>
      <c r="BM152" s="192"/>
      <c r="BP152" s="179"/>
    </row>
    <row r="153">
      <c r="B153" s="189"/>
      <c r="C153" s="189"/>
      <c r="E153" s="189"/>
      <c r="F153" s="189"/>
      <c r="I153" s="179"/>
      <c r="J153" s="189"/>
      <c r="K153" s="189"/>
      <c r="M153" s="189"/>
      <c r="N153" s="189"/>
      <c r="Q153" s="179"/>
      <c r="S153" s="189"/>
      <c r="T153" s="189"/>
      <c r="V153" s="189"/>
      <c r="W153" s="189"/>
      <c r="Z153" s="179"/>
      <c r="AA153" s="189"/>
      <c r="AB153" s="189"/>
      <c r="AD153" s="189"/>
      <c r="AE153" s="189"/>
      <c r="AH153" s="179"/>
      <c r="AJ153" s="191"/>
      <c r="AK153" s="191"/>
      <c r="AM153" s="191"/>
      <c r="AN153" s="191"/>
      <c r="AQ153" s="179"/>
      <c r="AR153" s="192"/>
      <c r="AS153" s="192"/>
      <c r="AU153" s="192"/>
      <c r="AV153" s="192"/>
      <c r="AY153" s="179"/>
      <c r="BA153" s="192"/>
      <c r="BB153" s="192"/>
      <c r="BD153" s="192"/>
      <c r="BE153" s="192"/>
      <c r="BH153" s="179"/>
      <c r="BI153" s="192"/>
      <c r="BJ153" s="192"/>
      <c r="BL153" s="192"/>
      <c r="BM153" s="192"/>
      <c r="BP153" s="179"/>
    </row>
    <row r="154">
      <c r="B154" s="189"/>
      <c r="C154" s="189"/>
      <c r="E154" s="189"/>
      <c r="F154" s="189"/>
      <c r="I154" s="179"/>
      <c r="J154" s="189"/>
      <c r="K154" s="189"/>
      <c r="M154" s="189"/>
      <c r="N154" s="189"/>
      <c r="Q154" s="179"/>
      <c r="S154" s="189"/>
      <c r="T154" s="189"/>
      <c r="V154" s="189"/>
      <c r="W154" s="189"/>
      <c r="Z154" s="179"/>
      <c r="AA154" s="189"/>
      <c r="AB154" s="189"/>
      <c r="AD154" s="189"/>
      <c r="AE154" s="189"/>
      <c r="AH154" s="179"/>
      <c r="AJ154" s="191"/>
      <c r="AK154" s="191"/>
      <c r="AM154" s="191"/>
      <c r="AN154" s="191"/>
      <c r="AQ154" s="179"/>
      <c r="AR154" s="192"/>
      <c r="AS154" s="192"/>
      <c r="AU154" s="192"/>
      <c r="AV154" s="192"/>
      <c r="AY154" s="179"/>
      <c r="BA154" s="192"/>
      <c r="BB154" s="192"/>
      <c r="BD154" s="192"/>
      <c r="BE154" s="192"/>
      <c r="BH154" s="179"/>
      <c r="BI154" s="192"/>
      <c r="BJ154" s="192"/>
      <c r="BL154" s="192"/>
      <c r="BM154" s="192"/>
      <c r="BP154" s="179"/>
    </row>
    <row r="155">
      <c r="B155" s="189"/>
      <c r="C155" s="189"/>
      <c r="E155" s="189"/>
      <c r="F155" s="189"/>
      <c r="I155" s="179"/>
      <c r="J155" s="189"/>
      <c r="K155" s="189"/>
      <c r="M155" s="189"/>
      <c r="N155" s="189"/>
      <c r="Q155" s="179"/>
      <c r="S155" s="189"/>
      <c r="T155" s="189"/>
      <c r="V155" s="189"/>
      <c r="W155" s="189"/>
      <c r="Z155" s="179"/>
      <c r="AA155" s="189"/>
      <c r="AB155" s="189"/>
      <c r="AD155" s="189"/>
      <c r="AE155" s="189"/>
      <c r="AH155" s="179"/>
      <c r="AJ155" s="191"/>
      <c r="AK155" s="191"/>
      <c r="AM155" s="191"/>
      <c r="AN155" s="191"/>
      <c r="AQ155" s="179"/>
      <c r="AR155" s="192"/>
      <c r="AS155" s="192"/>
      <c r="AU155" s="192"/>
      <c r="AV155" s="192"/>
      <c r="AY155" s="179"/>
      <c r="BA155" s="192"/>
      <c r="BB155" s="192"/>
      <c r="BD155" s="192"/>
      <c r="BE155" s="192"/>
      <c r="BH155" s="179"/>
      <c r="BI155" s="192"/>
      <c r="BJ155" s="192"/>
      <c r="BL155" s="192"/>
      <c r="BM155" s="192"/>
      <c r="BP155" s="179"/>
    </row>
    <row r="156">
      <c r="B156" s="189"/>
      <c r="C156" s="189"/>
      <c r="E156" s="189"/>
      <c r="F156" s="189"/>
      <c r="I156" s="179"/>
      <c r="J156" s="189"/>
      <c r="K156" s="189"/>
      <c r="M156" s="189"/>
      <c r="N156" s="189"/>
      <c r="Q156" s="179"/>
      <c r="S156" s="189"/>
      <c r="T156" s="189"/>
      <c r="V156" s="189"/>
      <c r="W156" s="189"/>
      <c r="Z156" s="179"/>
      <c r="AA156" s="189"/>
      <c r="AB156" s="189"/>
      <c r="AD156" s="189"/>
      <c r="AE156" s="189"/>
      <c r="AH156" s="179"/>
      <c r="AJ156" s="191"/>
      <c r="AK156" s="191"/>
      <c r="AM156" s="191"/>
      <c r="AN156" s="191"/>
      <c r="AQ156" s="179"/>
      <c r="AR156" s="192"/>
      <c r="AS156" s="192"/>
      <c r="AU156" s="192"/>
      <c r="AV156" s="192"/>
      <c r="AY156" s="179"/>
      <c r="BA156" s="192"/>
      <c r="BB156" s="192"/>
      <c r="BD156" s="192"/>
      <c r="BE156" s="192"/>
      <c r="BH156" s="179"/>
      <c r="BI156" s="192"/>
      <c r="BJ156" s="192"/>
      <c r="BL156" s="192"/>
      <c r="BM156" s="192"/>
      <c r="BP156" s="179"/>
    </row>
    <row r="157">
      <c r="B157" s="189"/>
      <c r="C157" s="189"/>
      <c r="E157" s="189"/>
      <c r="F157" s="189"/>
      <c r="I157" s="179"/>
      <c r="J157" s="189"/>
      <c r="K157" s="189"/>
      <c r="M157" s="189"/>
      <c r="N157" s="189"/>
      <c r="Q157" s="179"/>
      <c r="S157" s="189"/>
      <c r="T157" s="189"/>
      <c r="V157" s="189"/>
      <c r="W157" s="189"/>
      <c r="Z157" s="179"/>
      <c r="AA157" s="189"/>
      <c r="AB157" s="189"/>
      <c r="AD157" s="189"/>
      <c r="AE157" s="189"/>
      <c r="AH157" s="179"/>
      <c r="AJ157" s="191"/>
      <c r="AK157" s="191"/>
      <c r="AM157" s="191"/>
      <c r="AN157" s="191"/>
      <c r="AQ157" s="179"/>
      <c r="AR157" s="192"/>
      <c r="AS157" s="192"/>
      <c r="AU157" s="192"/>
      <c r="AV157" s="192"/>
      <c r="AY157" s="179"/>
      <c r="BA157" s="192"/>
      <c r="BB157" s="192"/>
      <c r="BD157" s="192"/>
      <c r="BE157" s="192"/>
      <c r="BH157" s="179"/>
      <c r="BI157" s="192"/>
      <c r="BJ157" s="192"/>
      <c r="BL157" s="192"/>
      <c r="BM157" s="192"/>
      <c r="BP157" s="179"/>
    </row>
    <row r="158">
      <c r="B158" s="189"/>
      <c r="C158" s="189"/>
      <c r="E158" s="189"/>
      <c r="F158" s="189"/>
      <c r="I158" s="179"/>
      <c r="J158" s="189"/>
      <c r="K158" s="189"/>
      <c r="M158" s="189"/>
      <c r="N158" s="189"/>
      <c r="Q158" s="179"/>
      <c r="S158" s="189"/>
      <c r="T158" s="189"/>
      <c r="V158" s="189"/>
      <c r="W158" s="189"/>
      <c r="Z158" s="179"/>
      <c r="AA158" s="189"/>
      <c r="AB158" s="189"/>
      <c r="AD158" s="189"/>
      <c r="AE158" s="189"/>
      <c r="AH158" s="179"/>
      <c r="AJ158" s="191"/>
      <c r="AK158" s="191"/>
      <c r="AM158" s="191"/>
      <c r="AN158" s="191"/>
      <c r="AQ158" s="179"/>
      <c r="AR158" s="192"/>
      <c r="AS158" s="192"/>
      <c r="AU158" s="192"/>
      <c r="AV158" s="192"/>
      <c r="AY158" s="179"/>
      <c r="BA158" s="192"/>
      <c r="BB158" s="192"/>
      <c r="BD158" s="192"/>
      <c r="BE158" s="192"/>
      <c r="BH158" s="179"/>
      <c r="BI158" s="192"/>
      <c r="BJ158" s="192"/>
      <c r="BL158" s="192"/>
      <c r="BM158" s="192"/>
      <c r="BP158" s="179"/>
    </row>
    <row r="159">
      <c r="B159" s="189"/>
      <c r="C159" s="189"/>
      <c r="E159" s="189"/>
      <c r="F159" s="189"/>
      <c r="I159" s="179"/>
      <c r="J159" s="189"/>
      <c r="K159" s="189"/>
      <c r="M159" s="189"/>
      <c r="N159" s="189"/>
      <c r="Q159" s="179"/>
      <c r="S159" s="189"/>
      <c r="T159" s="189"/>
      <c r="V159" s="189"/>
      <c r="W159" s="189"/>
      <c r="Z159" s="179"/>
      <c r="AA159" s="189"/>
      <c r="AB159" s="189"/>
      <c r="AD159" s="189"/>
      <c r="AE159" s="189"/>
      <c r="AH159" s="179"/>
      <c r="AJ159" s="191"/>
      <c r="AK159" s="191"/>
      <c r="AM159" s="191"/>
      <c r="AN159" s="191"/>
      <c r="AQ159" s="179"/>
      <c r="AR159" s="192"/>
      <c r="AS159" s="192"/>
      <c r="AU159" s="192"/>
      <c r="AV159" s="192"/>
      <c r="AY159" s="179"/>
      <c r="BA159" s="192"/>
      <c r="BB159" s="192"/>
      <c r="BD159" s="192"/>
      <c r="BE159" s="192"/>
      <c r="BH159" s="179"/>
      <c r="BI159" s="192"/>
      <c r="BJ159" s="192"/>
      <c r="BL159" s="192"/>
      <c r="BM159" s="192"/>
      <c r="BP159" s="179"/>
    </row>
    <row r="160">
      <c r="B160" s="189"/>
      <c r="C160" s="189"/>
      <c r="E160" s="189"/>
      <c r="F160" s="189"/>
      <c r="I160" s="179"/>
      <c r="J160" s="189"/>
      <c r="K160" s="189"/>
      <c r="M160" s="189"/>
      <c r="N160" s="189"/>
      <c r="Q160" s="179"/>
      <c r="S160" s="189"/>
      <c r="T160" s="189"/>
      <c r="V160" s="189"/>
      <c r="W160" s="189"/>
      <c r="Z160" s="179"/>
      <c r="AA160" s="189"/>
      <c r="AB160" s="189"/>
      <c r="AD160" s="189"/>
      <c r="AE160" s="189"/>
      <c r="AH160" s="179"/>
      <c r="AJ160" s="191"/>
      <c r="AK160" s="191"/>
      <c r="AM160" s="191"/>
      <c r="AN160" s="191"/>
      <c r="AQ160" s="179"/>
      <c r="AR160" s="192"/>
      <c r="AS160" s="192"/>
      <c r="AU160" s="192"/>
      <c r="AV160" s="192"/>
      <c r="AY160" s="179"/>
      <c r="BA160" s="192"/>
      <c r="BB160" s="192"/>
      <c r="BD160" s="192"/>
      <c r="BE160" s="192"/>
      <c r="BH160" s="179"/>
      <c r="BI160" s="192"/>
      <c r="BJ160" s="192"/>
      <c r="BL160" s="192"/>
      <c r="BM160" s="192"/>
      <c r="BP160" s="179"/>
    </row>
    <row r="161">
      <c r="B161" s="189"/>
      <c r="C161" s="189"/>
      <c r="E161" s="189"/>
      <c r="F161" s="189"/>
      <c r="I161" s="179"/>
      <c r="J161" s="189"/>
      <c r="K161" s="189"/>
      <c r="M161" s="189"/>
      <c r="N161" s="189"/>
      <c r="Q161" s="179"/>
      <c r="S161" s="189"/>
      <c r="T161" s="189"/>
      <c r="V161" s="189"/>
      <c r="W161" s="189"/>
      <c r="Z161" s="179"/>
      <c r="AA161" s="189"/>
      <c r="AB161" s="189"/>
      <c r="AD161" s="189"/>
      <c r="AE161" s="189"/>
      <c r="AH161" s="179"/>
      <c r="AJ161" s="191"/>
      <c r="AK161" s="191"/>
      <c r="AM161" s="191"/>
      <c r="AN161" s="191"/>
      <c r="AQ161" s="179"/>
      <c r="AR161" s="192"/>
      <c r="AS161" s="192"/>
      <c r="AU161" s="192"/>
      <c r="AV161" s="192"/>
      <c r="AY161" s="179"/>
      <c r="BA161" s="192"/>
      <c r="BB161" s="192"/>
      <c r="BD161" s="192"/>
      <c r="BE161" s="192"/>
      <c r="BH161" s="179"/>
      <c r="BI161" s="192"/>
      <c r="BJ161" s="192"/>
      <c r="BL161" s="192"/>
      <c r="BM161" s="192"/>
      <c r="BP161" s="179"/>
    </row>
    <row r="162">
      <c r="B162" s="189"/>
      <c r="C162" s="189"/>
      <c r="E162" s="189"/>
      <c r="F162" s="189"/>
      <c r="I162" s="179"/>
      <c r="J162" s="189"/>
      <c r="K162" s="189"/>
      <c r="M162" s="189"/>
      <c r="N162" s="189"/>
      <c r="Q162" s="179"/>
      <c r="S162" s="189"/>
      <c r="T162" s="189"/>
      <c r="V162" s="189"/>
      <c r="W162" s="189"/>
      <c r="Z162" s="179"/>
      <c r="AA162" s="189"/>
      <c r="AB162" s="189"/>
      <c r="AD162" s="189"/>
      <c r="AE162" s="189"/>
      <c r="AH162" s="179"/>
      <c r="AJ162" s="191"/>
      <c r="AK162" s="191"/>
      <c r="AM162" s="191"/>
      <c r="AN162" s="191"/>
      <c r="AQ162" s="179"/>
      <c r="AR162" s="192"/>
      <c r="AS162" s="192"/>
      <c r="AU162" s="192"/>
      <c r="AV162" s="192"/>
      <c r="AY162" s="179"/>
      <c r="BA162" s="192"/>
      <c r="BB162" s="192"/>
      <c r="BD162" s="192"/>
      <c r="BE162" s="192"/>
      <c r="BH162" s="179"/>
      <c r="BI162" s="192"/>
      <c r="BJ162" s="192"/>
      <c r="BL162" s="192"/>
      <c r="BM162" s="192"/>
      <c r="BP162" s="179"/>
    </row>
    <row r="163">
      <c r="B163" s="189"/>
      <c r="C163" s="189"/>
      <c r="E163" s="189"/>
      <c r="F163" s="189"/>
      <c r="I163" s="179"/>
      <c r="J163" s="189"/>
      <c r="K163" s="189"/>
      <c r="M163" s="189"/>
      <c r="N163" s="189"/>
      <c r="Q163" s="179"/>
      <c r="S163" s="189"/>
      <c r="T163" s="189"/>
      <c r="V163" s="189"/>
      <c r="W163" s="189"/>
      <c r="Z163" s="179"/>
      <c r="AA163" s="189"/>
      <c r="AB163" s="189"/>
      <c r="AD163" s="189"/>
      <c r="AE163" s="189"/>
      <c r="AH163" s="179"/>
      <c r="AJ163" s="191"/>
      <c r="AK163" s="191"/>
      <c r="AM163" s="191"/>
      <c r="AN163" s="191"/>
      <c r="AQ163" s="179"/>
      <c r="AR163" s="192"/>
      <c r="AS163" s="192"/>
      <c r="AU163" s="192"/>
      <c r="AV163" s="192"/>
      <c r="AY163" s="179"/>
      <c r="BA163" s="192"/>
      <c r="BB163" s="192"/>
      <c r="BD163" s="192"/>
      <c r="BE163" s="192"/>
      <c r="BH163" s="179"/>
      <c r="BI163" s="192"/>
      <c r="BJ163" s="192"/>
      <c r="BL163" s="192"/>
      <c r="BM163" s="192"/>
      <c r="BP163" s="179"/>
    </row>
    <row r="164">
      <c r="B164" s="189"/>
      <c r="C164" s="189"/>
      <c r="E164" s="189"/>
      <c r="F164" s="189"/>
      <c r="I164" s="179"/>
      <c r="J164" s="189"/>
      <c r="K164" s="189"/>
      <c r="M164" s="189"/>
      <c r="N164" s="189"/>
      <c r="Q164" s="179"/>
      <c r="S164" s="189"/>
      <c r="T164" s="189"/>
      <c r="V164" s="189"/>
      <c r="W164" s="189"/>
      <c r="Z164" s="179"/>
      <c r="AA164" s="189"/>
      <c r="AB164" s="189"/>
      <c r="AD164" s="189"/>
      <c r="AE164" s="189"/>
      <c r="AH164" s="179"/>
      <c r="AJ164" s="191"/>
      <c r="AK164" s="191"/>
      <c r="AM164" s="191"/>
      <c r="AN164" s="191"/>
      <c r="AQ164" s="179"/>
      <c r="AR164" s="192"/>
      <c r="AS164" s="192"/>
      <c r="AU164" s="192"/>
      <c r="AV164" s="192"/>
      <c r="AY164" s="179"/>
      <c r="BA164" s="192"/>
      <c r="BB164" s="192"/>
      <c r="BD164" s="192"/>
      <c r="BE164" s="192"/>
      <c r="BH164" s="179"/>
      <c r="BI164" s="192"/>
      <c r="BJ164" s="192"/>
      <c r="BL164" s="192"/>
      <c r="BM164" s="192"/>
      <c r="BP164" s="179"/>
    </row>
    <row r="165">
      <c r="B165" s="189"/>
      <c r="C165" s="189"/>
      <c r="E165" s="189"/>
      <c r="F165" s="189"/>
      <c r="I165" s="179"/>
      <c r="J165" s="189"/>
      <c r="K165" s="189"/>
      <c r="M165" s="189"/>
      <c r="N165" s="189"/>
      <c r="Q165" s="179"/>
      <c r="S165" s="189"/>
      <c r="T165" s="189"/>
      <c r="V165" s="189"/>
      <c r="W165" s="189"/>
      <c r="Z165" s="179"/>
      <c r="AA165" s="189"/>
      <c r="AB165" s="189"/>
      <c r="AD165" s="189"/>
      <c r="AE165" s="189"/>
      <c r="AH165" s="179"/>
      <c r="AJ165" s="191"/>
      <c r="AK165" s="191"/>
      <c r="AM165" s="191"/>
      <c r="AN165" s="191"/>
      <c r="AQ165" s="179"/>
      <c r="AR165" s="192"/>
      <c r="AS165" s="192"/>
      <c r="AU165" s="192"/>
      <c r="AV165" s="192"/>
      <c r="AY165" s="179"/>
      <c r="BA165" s="192"/>
      <c r="BB165" s="192"/>
      <c r="BD165" s="192"/>
      <c r="BE165" s="192"/>
      <c r="BH165" s="179"/>
      <c r="BI165" s="192"/>
      <c r="BJ165" s="192"/>
      <c r="BL165" s="192"/>
      <c r="BM165" s="192"/>
      <c r="BP165" s="179"/>
    </row>
    <row r="166">
      <c r="B166" s="189"/>
      <c r="C166" s="189"/>
      <c r="E166" s="189"/>
      <c r="F166" s="189"/>
      <c r="I166" s="179"/>
      <c r="J166" s="189"/>
      <c r="K166" s="189"/>
      <c r="M166" s="189"/>
      <c r="N166" s="189"/>
      <c r="Q166" s="179"/>
      <c r="S166" s="189"/>
      <c r="T166" s="189"/>
      <c r="V166" s="189"/>
      <c r="W166" s="189"/>
      <c r="Z166" s="179"/>
      <c r="AA166" s="189"/>
      <c r="AB166" s="189"/>
      <c r="AD166" s="189"/>
      <c r="AE166" s="189"/>
      <c r="AH166" s="179"/>
      <c r="AJ166" s="191"/>
      <c r="AK166" s="191"/>
      <c r="AM166" s="191"/>
      <c r="AN166" s="191"/>
      <c r="AQ166" s="179"/>
      <c r="AR166" s="192"/>
      <c r="AS166" s="192"/>
      <c r="AU166" s="192"/>
      <c r="AV166" s="192"/>
      <c r="AY166" s="179"/>
      <c r="BA166" s="192"/>
      <c r="BB166" s="192"/>
      <c r="BD166" s="192"/>
      <c r="BE166" s="192"/>
      <c r="BH166" s="179"/>
      <c r="BI166" s="192"/>
      <c r="BJ166" s="192"/>
      <c r="BL166" s="192"/>
      <c r="BM166" s="192"/>
      <c r="BP166" s="179"/>
    </row>
    <row r="167">
      <c r="B167" s="189"/>
      <c r="C167" s="189"/>
      <c r="E167" s="189"/>
      <c r="F167" s="189"/>
      <c r="I167" s="179"/>
      <c r="J167" s="189"/>
      <c r="K167" s="189"/>
      <c r="M167" s="189"/>
      <c r="N167" s="189"/>
      <c r="Q167" s="179"/>
      <c r="S167" s="189"/>
      <c r="T167" s="189"/>
      <c r="V167" s="189"/>
      <c r="W167" s="189"/>
      <c r="Z167" s="179"/>
      <c r="AA167" s="189"/>
      <c r="AB167" s="189"/>
      <c r="AD167" s="189"/>
      <c r="AE167" s="189"/>
      <c r="AH167" s="179"/>
      <c r="AJ167" s="191"/>
      <c r="AK167" s="191"/>
      <c r="AM167" s="191"/>
      <c r="AN167" s="191"/>
      <c r="AQ167" s="179"/>
      <c r="AR167" s="192"/>
      <c r="AS167" s="192"/>
      <c r="AU167" s="192"/>
      <c r="AV167" s="192"/>
      <c r="AY167" s="179"/>
      <c r="BA167" s="192"/>
      <c r="BB167" s="192"/>
      <c r="BD167" s="192"/>
      <c r="BE167" s="192"/>
      <c r="BH167" s="179"/>
      <c r="BI167" s="192"/>
      <c r="BJ167" s="192"/>
      <c r="BL167" s="192"/>
      <c r="BM167" s="192"/>
      <c r="BP167" s="179"/>
    </row>
    <row r="168">
      <c r="B168" s="189"/>
      <c r="C168" s="189"/>
      <c r="E168" s="189"/>
      <c r="F168" s="189"/>
      <c r="I168" s="179"/>
      <c r="J168" s="189"/>
      <c r="K168" s="189"/>
      <c r="M168" s="189"/>
      <c r="N168" s="189"/>
      <c r="Q168" s="179"/>
      <c r="S168" s="189"/>
      <c r="T168" s="189"/>
      <c r="V168" s="189"/>
      <c r="W168" s="189"/>
      <c r="Z168" s="179"/>
      <c r="AA168" s="189"/>
      <c r="AB168" s="189"/>
      <c r="AD168" s="189"/>
      <c r="AE168" s="189"/>
      <c r="AH168" s="179"/>
      <c r="AJ168" s="191"/>
      <c r="AK168" s="191"/>
      <c r="AM168" s="191"/>
      <c r="AN168" s="191"/>
      <c r="AQ168" s="179"/>
      <c r="AR168" s="192"/>
      <c r="AS168" s="192"/>
      <c r="AU168" s="192"/>
      <c r="AV168" s="192"/>
      <c r="AY168" s="179"/>
      <c r="BA168" s="192"/>
      <c r="BB168" s="192"/>
      <c r="BD168" s="192"/>
      <c r="BE168" s="192"/>
      <c r="BH168" s="179"/>
      <c r="BI168" s="192"/>
      <c r="BJ168" s="192"/>
      <c r="BL168" s="192"/>
      <c r="BM168" s="192"/>
      <c r="BP168" s="179"/>
    </row>
    <row r="169">
      <c r="B169" s="189"/>
      <c r="C169" s="189"/>
      <c r="E169" s="189"/>
      <c r="F169" s="189"/>
      <c r="I169" s="179"/>
      <c r="J169" s="189"/>
      <c r="K169" s="189"/>
      <c r="M169" s="189"/>
      <c r="N169" s="189"/>
      <c r="Q169" s="179"/>
      <c r="S169" s="189"/>
      <c r="T169" s="189"/>
      <c r="V169" s="189"/>
      <c r="W169" s="189"/>
      <c r="Z169" s="179"/>
      <c r="AA169" s="189"/>
      <c r="AB169" s="189"/>
      <c r="AD169" s="189"/>
      <c r="AE169" s="189"/>
      <c r="AH169" s="179"/>
      <c r="AJ169" s="191"/>
      <c r="AK169" s="191"/>
      <c r="AM169" s="191"/>
      <c r="AN169" s="191"/>
      <c r="AQ169" s="179"/>
      <c r="AR169" s="192"/>
      <c r="AS169" s="192"/>
      <c r="AU169" s="192"/>
      <c r="AV169" s="192"/>
      <c r="AY169" s="179"/>
      <c r="BA169" s="192"/>
      <c r="BB169" s="192"/>
      <c r="BD169" s="192"/>
      <c r="BE169" s="192"/>
      <c r="BH169" s="179"/>
      <c r="BI169" s="192"/>
      <c r="BJ169" s="192"/>
      <c r="BL169" s="192"/>
      <c r="BM169" s="192"/>
      <c r="BP169" s="179"/>
    </row>
    <row r="170">
      <c r="B170" s="189"/>
      <c r="C170" s="189"/>
      <c r="E170" s="189"/>
      <c r="F170" s="189"/>
      <c r="I170" s="179"/>
      <c r="J170" s="189"/>
      <c r="K170" s="189"/>
      <c r="M170" s="189"/>
      <c r="N170" s="189"/>
      <c r="Q170" s="179"/>
      <c r="S170" s="189"/>
      <c r="T170" s="189"/>
      <c r="V170" s="189"/>
      <c r="W170" s="189"/>
      <c r="Z170" s="179"/>
      <c r="AA170" s="189"/>
      <c r="AB170" s="189"/>
      <c r="AD170" s="189"/>
      <c r="AE170" s="189"/>
      <c r="AH170" s="179"/>
      <c r="AJ170" s="191"/>
      <c r="AK170" s="191"/>
      <c r="AM170" s="191"/>
      <c r="AN170" s="191"/>
      <c r="AQ170" s="179"/>
      <c r="AR170" s="192"/>
      <c r="AS170" s="192"/>
      <c r="AU170" s="192"/>
      <c r="AV170" s="192"/>
      <c r="AY170" s="179"/>
      <c r="BA170" s="192"/>
      <c r="BB170" s="192"/>
      <c r="BD170" s="192"/>
      <c r="BE170" s="192"/>
      <c r="BH170" s="179"/>
      <c r="BI170" s="192"/>
      <c r="BJ170" s="192"/>
      <c r="BL170" s="192"/>
      <c r="BM170" s="192"/>
      <c r="BP170" s="179"/>
    </row>
    <row r="171">
      <c r="B171" s="189"/>
      <c r="C171" s="189"/>
      <c r="E171" s="189"/>
      <c r="F171" s="189"/>
      <c r="I171" s="179"/>
      <c r="J171" s="189"/>
      <c r="K171" s="189"/>
      <c r="M171" s="189"/>
      <c r="N171" s="189"/>
      <c r="Q171" s="179"/>
      <c r="S171" s="189"/>
      <c r="T171" s="189"/>
      <c r="V171" s="189"/>
      <c r="W171" s="189"/>
      <c r="Z171" s="179"/>
      <c r="AA171" s="189"/>
      <c r="AB171" s="189"/>
      <c r="AD171" s="189"/>
      <c r="AE171" s="189"/>
      <c r="AH171" s="179"/>
      <c r="AJ171" s="191"/>
      <c r="AK171" s="191"/>
      <c r="AM171" s="191"/>
      <c r="AN171" s="191"/>
      <c r="AQ171" s="179"/>
      <c r="AR171" s="192"/>
      <c r="AS171" s="192"/>
      <c r="AU171" s="192"/>
      <c r="AV171" s="192"/>
      <c r="AY171" s="179"/>
      <c r="BA171" s="192"/>
      <c r="BB171" s="192"/>
      <c r="BD171" s="192"/>
      <c r="BE171" s="192"/>
      <c r="BH171" s="179"/>
      <c r="BI171" s="192"/>
      <c r="BJ171" s="192"/>
      <c r="BL171" s="192"/>
      <c r="BM171" s="192"/>
      <c r="BP171" s="179"/>
    </row>
    <row r="172">
      <c r="B172" s="189"/>
      <c r="C172" s="189"/>
      <c r="E172" s="189"/>
      <c r="F172" s="189"/>
      <c r="I172" s="179"/>
      <c r="J172" s="189"/>
      <c r="K172" s="189"/>
      <c r="M172" s="189"/>
      <c r="N172" s="189"/>
      <c r="Q172" s="179"/>
      <c r="S172" s="189"/>
      <c r="T172" s="189"/>
      <c r="V172" s="189"/>
      <c r="W172" s="189"/>
      <c r="Z172" s="179"/>
      <c r="AA172" s="189"/>
      <c r="AB172" s="189"/>
      <c r="AD172" s="189"/>
      <c r="AE172" s="189"/>
      <c r="AH172" s="179"/>
      <c r="AJ172" s="191"/>
      <c r="AK172" s="191"/>
      <c r="AM172" s="191"/>
      <c r="AN172" s="191"/>
      <c r="AQ172" s="179"/>
      <c r="AR172" s="192"/>
      <c r="AS172" s="192"/>
      <c r="AU172" s="192"/>
      <c r="AV172" s="192"/>
      <c r="AY172" s="179"/>
      <c r="BA172" s="192"/>
      <c r="BB172" s="192"/>
      <c r="BD172" s="192"/>
      <c r="BE172" s="192"/>
      <c r="BH172" s="179"/>
      <c r="BI172" s="192"/>
      <c r="BJ172" s="192"/>
      <c r="BL172" s="192"/>
      <c r="BM172" s="192"/>
      <c r="BP172" s="179"/>
    </row>
    <row r="173">
      <c r="B173" s="189"/>
      <c r="C173" s="189"/>
      <c r="E173" s="189"/>
      <c r="F173" s="189"/>
      <c r="I173" s="179"/>
      <c r="J173" s="189"/>
      <c r="K173" s="189"/>
      <c r="M173" s="189"/>
      <c r="N173" s="189"/>
      <c r="Q173" s="179"/>
      <c r="S173" s="189"/>
      <c r="T173" s="189"/>
      <c r="V173" s="189"/>
      <c r="W173" s="189"/>
      <c r="Z173" s="179"/>
      <c r="AA173" s="189"/>
      <c r="AB173" s="189"/>
      <c r="AD173" s="189"/>
      <c r="AE173" s="189"/>
      <c r="AH173" s="179"/>
      <c r="AJ173" s="191"/>
      <c r="AK173" s="191"/>
      <c r="AM173" s="191"/>
      <c r="AN173" s="191"/>
      <c r="AQ173" s="179"/>
      <c r="AR173" s="192"/>
      <c r="AS173" s="192"/>
      <c r="AU173" s="192"/>
      <c r="AV173" s="192"/>
      <c r="AY173" s="179"/>
      <c r="BA173" s="192"/>
      <c r="BB173" s="192"/>
      <c r="BD173" s="192"/>
      <c r="BE173" s="192"/>
      <c r="BH173" s="179"/>
      <c r="BI173" s="192"/>
      <c r="BJ173" s="192"/>
      <c r="BL173" s="192"/>
      <c r="BM173" s="192"/>
      <c r="BP173" s="179"/>
    </row>
    <row r="174">
      <c r="B174" s="189"/>
      <c r="C174" s="189"/>
      <c r="E174" s="189"/>
      <c r="F174" s="189"/>
      <c r="I174" s="179"/>
      <c r="J174" s="189"/>
      <c r="K174" s="189"/>
      <c r="M174" s="189"/>
      <c r="N174" s="189"/>
      <c r="Q174" s="179"/>
      <c r="S174" s="189"/>
      <c r="T174" s="189"/>
      <c r="V174" s="189"/>
      <c r="W174" s="189"/>
      <c r="Z174" s="179"/>
      <c r="AA174" s="189"/>
      <c r="AB174" s="189"/>
      <c r="AD174" s="189"/>
      <c r="AE174" s="189"/>
      <c r="AH174" s="179"/>
      <c r="AJ174" s="191"/>
      <c r="AK174" s="191"/>
      <c r="AM174" s="191"/>
      <c r="AN174" s="191"/>
      <c r="AQ174" s="179"/>
      <c r="AR174" s="192"/>
      <c r="AS174" s="192"/>
      <c r="AU174" s="192"/>
      <c r="AV174" s="192"/>
      <c r="AY174" s="179"/>
      <c r="BA174" s="192"/>
      <c r="BB174" s="192"/>
      <c r="BD174" s="192"/>
      <c r="BE174" s="192"/>
      <c r="BH174" s="179"/>
      <c r="BI174" s="192"/>
      <c r="BJ174" s="192"/>
      <c r="BL174" s="192"/>
      <c r="BM174" s="192"/>
      <c r="BP174" s="179"/>
    </row>
    <row r="175">
      <c r="B175" s="189"/>
      <c r="C175" s="189"/>
      <c r="E175" s="189"/>
      <c r="F175" s="189"/>
      <c r="I175" s="179"/>
      <c r="J175" s="189"/>
      <c r="K175" s="189"/>
      <c r="M175" s="189"/>
      <c r="N175" s="189"/>
      <c r="Q175" s="179"/>
      <c r="S175" s="189"/>
      <c r="T175" s="189"/>
      <c r="V175" s="189"/>
      <c r="W175" s="189"/>
      <c r="Z175" s="179"/>
      <c r="AA175" s="189"/>
      <c r="AB175" s="189"/>
      <c r="AD175" s="189"/>
      <c r="AE175" s="189"/>
      <c r="AH175" s="179"/>
      <c r="AJ175" s="191"/>
      <c r="AK175" s="191"/>
      <c r="AM175" s="191"/>
      <c r="AN175" s="191"/>
      <c r="AQ175" s="179"/>
      <c r="AR175" s="192"/>
      <c r="AS175" s="192"/>
      <c r="AU175" s="192"/>
      <c r="AV175" s="192"/>
      <c r="AY175" s="179"/>
      <c r="BA175" s="192"/>
      <c r="BB175" s="192"/>
      <c r="BD175" s="192"/>
      <c r="BE175" s="192"/>
      <c r="BH175" s="179"/>
      <c r="BI175" s="192"/>
      <c r="BJ175" s="192"/>
      <c r="BL175" s="192"/>
      <c r="BM175" s="192"/>
      <c r="BP175" s="179"/>
    </row>
    <row r="176">
      <c r="B176" s="189"/>
      <c r="C176" s="189"/>
      <c r="E176" s="189"/>
      <c r="F176" s="189"/>
      <c r="I176" s="179"/>
      <c r="J176" s="189"/>
      <c r="K176" s="189"/>
      <c r="M176" s="189"/>
      <c r="N176" s="189"/>
      <c r="Q176" s="179"/>
      <c r="S176" s="189"/>
      <c r="T176" s="189"/>
      <c r="V176" s="189"/>
      <c r="W176" s="189"/>
      <c r="Z176" s="179"/>
      <c r="AA176" s="189"/>
      <c r="AB176" s="189"/>
      <c r="AD176" s="189"/>
      <c r="AE176" s="189"/>
      <c r="AH176" s="179"/>
      <c r="AJ176" s="191"/>
      <c r="AK176" s="191"/>
      <c r="AM176" s="191"/>
      <c r="AN176" s="191"/>
      <c r="AQ176" s="179"/>
      <c r="AR176" s="192"/>
      <c r="AS176" s="192"/>
      <c r="AU176" s="192"/>
      <c r="AV176" s="192"/>
      <c r="AY176" s="179"/>
      <c r="BA176" s="192"/>
      <c r="BB176" s="192"/>
      <c r="BD176" s="192"/>
      <c r="BE176" s="192"/>
      <c r="BH176" s="179"/>
      <c r="BI176" s="192"/>
      <c r="BJ176" s="192"/>
      <c r="BL176" s="192"/>
      <c r="BM176" s="192"/>
      <c r="BP176" s="179"/>
    </row>
    <row r="177">
      <c r="B177" s="189"/>
      <c r="C177" s="189"/>
      <c r="E177" s="189"/>
      <c r="F177" s="189"/>
      <c r="I177" s="179"/>
      <c r="J177" s="189"/>
      <c r="K177" s="189"/>
      <c r="M177" s="189"/>
      <c r="N177" s="189"/>
      <c r="Q177" s="179"/>
      <c r="S177" s="189"/>
      <c r="T177" s="189"/>
      <c r="V177" s="189"/>
      <c r="W177" s="189"/>
      <c r="Z177" s="179"/>
      <c r="AA177" s="189"/>
      <c r="AB177" s="189"/>
      <c r="AD177" s="189"/>
      <c r="AE177" s="189"/>
      <c r="AH177" s="179"/>
      <c r="AJ177" s="191"/>
      <c r="AK177" s="191"/>
      <c r="AM177" s="191"/>
      <c r="AN177" s="191"/>
      <c r="AQ177" s="179"/>
      <c r="AR177" s="192"/>
      <c r="AS177" s="192"/>
      <c r="AU177" s="192"/>
      <c r="AV177" s="192"/>
      <c r="AY177" s="179"/>
      <c r="BA177" s="192"/>
      <c r="BB177" s="192"/>
      <c r="BD177" s="192"/>
      <c r="BE177" s="192"/>
      <c r="BH177" s="179"/>
      <c r="BI177" s="192"/>
      <c r="BJ177" s="192"/>
      <c r="BL177" s="192"/>
      <c r="BM177" s="192"/>
      <c r="BP177" s="179"/>
    </row>
    <row r="178">
      <c r="B178" s="189"/>
      <c r="C178" s="189"/>
      <c r="E178" s="189"/>
      <c r="F178" s="189"/>
      <c r="I178" s="179"/>
      <c r="J178" s="189"/>
      <c r="K178" s="189"/>
      <c r="M178" s="189"/>
      <c r="N178" s="189"/>
      <c r="Q178" s="179"/>
      <c r="S178" s="189"/>
      <c r="T178" s="189"/>
      <c r="V178" s="189"/>
      <c r="W178" s="189"/>
      <c r="Z178" s="179"/>
      <c r="AA178" s="189"/>
      <c r="AB178" s="189"/>
      <c r="AD178" s="189"/>
      <c r="AE178" s="189"/>
      <c r="AH178" s="179"/>
      <c r="AJ178" s="191"/>
      <c r="AK178" s="191"/>
      <c r="AM178" s="191"/>
      <c r="AN178" s="191"/>
      <c r="AQ178" s="179"/>
      <c r="AR178" s="192"/>
      <c r="AS178" s="192"/>
      <c r="AU178" s="192"/>
      <c r="AV178" s="192"/>
      <c r="AY178" s="179"/>
      <c r="BA178" s="192"/>
      <c r="BB178" s="192"/>
      <c r="BD178" s="192"/>
      <c r="BE178" s="192"/>
      <c r="BH178" s="179"/>
      <c r="BI178" s="192"/>
      <c r="BJ178" s="192"/>
      <c r="BL178" s="192"/>
      <c r="BM178" s="192"/>
      <c r="BP178" s="179"/>
    </row>
    <row r="179">
      <c r="B179" s="189"/>
      <c r="C179" s="189"/>
      <c r="E179" s="189"/>
      <c r="F179" s="189"/>
      <c r="I179" s="179"/>
      <c r="J179" s="189"/>
      <c r="K179" s="189"/>
      <c r="M179" s="189"/>
      <c r="N179" s="189"/>
      <c r="Q179" s="179"/>
      <c r="S179" s="189"/>
      <c r="T179" s="189"/>
      <c r="V179" s="189"/>
      <c r="W179" s="189"/>
      <c r="Z179" s="179"/>
      <c r="AA179" s="189"/>
      <c r="AB179" s="189"/>
      <c r="AD179" s="189"/>
      <c r="AE179" s="189"/>
      <c r="AH179" s="179"/>
      <c r="AJ179" s="191"/>
      <c r="AK179" s="191"/>
      <c r="AM179" s="191"/>
      <c r="AN179" s="191"/>
      <c r="AQ179" s="179"/>
      <c r="AR179" s="192"/>
      <c r="AS179" s="192"/>
      <c r="AU179" s="192"/>
      <c r="AV179" s="192"/>
      <c r="AY179" s="179"/>
      <c r="BA179" s="192"/>
      <c r="BB179" s="192"/>
      <c r="BD179" s="192"/>
      <c r="BE179" s="192"/>
      <c r="BH179" s="179"/>
      <c r="BI179" s="192"/>
      <c r="BJ179" s="192"/>
      <c r="BL179" s="192"/>
      <c r="BM179" s="192"/>
      <c r="BP179" s="179"/>
    </row>
    <row r="180">
      <c r="B180" s="189"/>
      <c r="C180" s="189"/>
      <c r="E180" s="189"/>
      <c r="F180" s="189"/>
      <c r="I180" s="179"/>
      <c r="J180" s="189"/>
      <c r="K180" s="189"/>
      <c r="M180" s="189"/>
      <c r="N180" s="189"/>
      <c r="Q180" s="179"/>
      <c r="S180" s="189"/>
      <c r="T180" s="189"/>
      <c r="V180" s="189"/>
      <c r="W180" s="189"/>
      <c r="Z180" s="179"/>
      <c r="AA180" s="189"/>
      <c r="AB180" s="189"/>
      <c r="AD180" s="189"/>
      <c r="AE180" s="189"/>
      <c r="AH180" s="179"/>
      <c r="AJ180" s="191"/>
      <c r="AK180" s="191"/>
      <c r="AM180" s="191"/>
      <c r="AN180" s="191"/>
      <c r="AQ180" s="179"/>
      <c r="AR180" s="192"/>
      <c r="AS180" s="192"/>
      <c r="AU180" s="192"/>
      <c r="AV180" s="192"/>
      <c r="AY180" s="179"/>
      <c r="BA180" s="192"/>
      <c r="BB180" s="192"/>
      <c r="BD180" s="192"/>
      <c r="BE180" s="192"/>
      <c r="BH180" s="179"/>
      <c r="BI180" s="192"/>
      <c r="BJ180" s="192"/>
      <c r="BL180" s="192"/>
      <c r="BM180" s="192"/>
      <c r="BP180" s="179"/>
    </row>
    <row r="181">
      <c r="B181" s="189"/>
      <c r="C181" s="189"/>
      <c r="E181" s="189"/>
      <c r="F181" s="189"/>
      <c r="I181" s="179"/>
      <c r="J181" s="189"/>
      <c r="K181" s="189"/>
      <c r="M181" s="189"/>
      <c r="N181" s="189"/>
      <c r="Q181" s="179"/>
      <c r="S181" s="189"/>
      <c r="T181" s="189"/>
      <c r="V181" s="189"/>
      <c r="W181" s="189"/>
      <c r="Z181" s="179"/>
      <c r="AA181" s="189"/>
      <c r="AB181" s="189"/>
      <c r="AD181" s="189"/>
      <c r="AE181" s="189"/>
      <c r="AH181" s="179"/>
      <c r="AJ181" s="191"/>
      <c r="AK181" s="191"/>
      <c r="AM181" s="191"/>
      <c r="AN181" s="191"/>
      <c r="AQ181" s="179"/>
      <c r="AR181" s="192"/>
      <c r="AS181" s="192"/>
      <c r="AU181" s="192"/>
      <c r="AV181" s="192"/>
      <c r="AY181" s="179"/>
      <c r="BA181" s="192"/>
      <c r="BB181" s="192"/>
      <c r="BD181" s="192"/>
      <c r="BE181" s="192"/>
      <c r="BH181" s="179"/>
      <c r="BI181" s="192"/>
      <c r="BJ181" s="192"/>
      <c r="BL181" s="192"/>
      <c r="BM181" s="192"/>
      <c r="BP181" s="179"/>
    </row>
    <row r="182">
      <c r="B182" s="189"/>
      <c r="C182" s="189"/>
      <c r="E182" s="189"/>
      <c r="F182" s="189"/>
      <c r="I182" s="179"/>
      <c r="J182" s="189"/>
      <c r="K182" s="189"/>
      <c r="M182" s="189"/>
      <c r="N182" s="189"/>
      <c r="Q182" s="179"/>
      <c r="S182" s="189"/>
      <c r="T182" s="189"/>
      <c r="V182" s="189"/>
      <c r="W182" s="189"/>
      <c r="Z182" s="179"/>
      <c r="AA182" s="189"/>
      <c r="AB182" s="189"/>
      <c r="AD182" s="189"/>
      <c r="AE182" s="189"/>
      <c r="AH182" s="179"/>
      <c r="AJ182" s="191"/>
      <c r="AK182" s="191"/>
      <c r="AM182" s="191"/>
      <c r="AN182" s="191"/>
      <c r="AQ182" s="179"/>
      <c r="AR182" s="192"/>
      <c r="AS182" s="192"/>
      <c r="AU182" s="192"/>
      <c r="AV182" s="192"/>
      <c r="AY182" s="179"/>
      <c r="BA182" s="192"/>
      <c r="BB182" s="192"/>
      <c r="BD182" s="192"/>
      <c r="BE182" s="192"/>
      <c r="BH182" s="179"/>
      <c r="BI182" s="192"/>
      <c r="BJ182" s="192"/>
      <c r="BL182" s="192"/>
      <c r="BM182" s="192"/>
      <c r="BP182" s="179"/>
    </row>
    <row r="183">
      <c r="B183" s="189"/>
      <c r="C183" s="189"/>
      <c r="E183" s="189"/>
      <c r="F183" s="189"/>
      <c r="I183" s="179"/>
      <c r="J183" s="189"/>
      <c r="K183" s="189"/>
      <c r="M183" s="189"/>
      <c r="N183" s="189"/>
      <c r="Q183" s="179"/>
      <c r="S183" s="189"/>
      <c r="T183" s="189"/>
      <c r="V183" s="189"/>
      <c r="W183" s="189"/>
      <c r="Z183" s="179"/>
      <c r="AA183" s="189"/>
      <c r="AB183" s="189"/>
      <c r="AD183" s="189"/>
      <c r="AE183" s="189"/>
      <c r="AH183" s="179"/>
      <c r="AJ183" s="191"/>
      <c r="AK183" s="191"/>
      <c r="AM183" s="191"/>
      <c r="AN183" s="191"/>
      <c r="AQ183" s="179"/>
      <c r="AR183" s="192"/>
      <c r="AS183" s="192"/>
      <c r="AU183" s="192"/>
      <c r="AV183" s="192"/>
      <c r="AY183" s="179"/>
      <c r="BA183" s="192"/>
      <c r="BB183" s="192"/>
      <c r="BD183" s="192"/>
      <c r="BE183" s="192"/>
      <c r="BH183" s="179"/>
      <c r="BI183" s="192"/>
      <c r="BJ183" s="192"/>
      <c r="BL183" s="192"/>
      <c r="BM183" s="192"/>
      <c r="BP183" s="179"/>
    </row>
    <row r="184">
      <c r="B184" s="189"/>
      <c r="C184" s="189"/>
      <c r="E184" s="189"/>
      <c r="F184" s="189"/>
      <c r="I184" s="179"/>
      <c r="J184" s="189"/>
      <c r="K184" s="189"/>
      <c r="M184" s="189"/>
      <c r="N184" s="189"/>
      <c r="Q184" s="179"/>
      <c r="S184" s="189"/>
      <c r="T184" s="189"/>
      <c r="V184" s="189"/>
      <c r="W184" s="189"/>
      <c r="Z184" s="179"/>
      <c r="AA184" s="189"/>
      <c r="AB184" s="189"/>
      <c r="AD184" s="189"/>
      <c r="AE184" s="189"/>
      <c r="AH184" s="179"/>
      <c r="AJ184" s="191"/>
      <c r="AK184" s="191"/>
      <c r="AM184" s="191"/>
      <c r="AN184" s="191"/>
      <c r="AQ184" s="179"/>
      <c r="AR184" s="192"/>
      <c r="AS184" s="192"/>
      <c r="AU184" s="192"/>
      <c r="AV184" s="192"/>
      <c r="AY184" s="179"/>
      <c r="BA184" s="192"/>
      <c r="BB184" s="192"/>
      <c r="BD184" s="192"/>
      <c r="BE184" s="192"/>
      <c r="BH184" s="179"/>
      <c r="BI184" s="192"/>
      <c r="BJ184" s="192"/>
      <c r="BL184" s="192"/>
      <c r="BM184" s="192"/>
      <c r="BP184" s="179"/>
    </row>
    <row r="185">
      <c r="B185" s="189"/>
      <c r="C185" s="189"/>
      <c r="E185" s="189"/>
      <c r="F185" s="189"/>
      <c r="I185" s="179"/>
      <c r="J185" s="189"/>
      <c r="K185" s="189"/>
      <c r="M185" s="189"/>
      <c r="N185" s="189"/>
      <c r="Q185" s="179"/>
      <c r="S185" s="189"/>
      <c r="T185" s="189"/>
      <c r="V185" s="189"/>
      <c r="W185" s="189"/>
      <c r="Z185" s="179"/>
      <c r="AA185" s="189"/>
      <c r="AB185" s="189"/>
      <c r="AD185" s="189"/>
      <c r="AE185" s="189"/>
      <c r="AH185" s="179"/>
      <c r="AJ185" s="191"/>
      <c r="AK185" s="191"/>
      <c r="AM185" s="191"/>
      <c r="AN185" s="191"/>
      <c r="AQ185" s="179"/>
      <c r="AR185" s="192"/>
      <c r="AS185" s="192"/>
      <c r="AU185" s="192"/>
      <c r="AV185" s="192"/>
      <c r="AY185" s="179"/>
      <c r="BA185" s="192"/>
      <c r="BB185" s="192"/>
      <c r="BD185" s="192"/>
      <c r="BE185" s="192"/>
      <c r="BH185" s="179"/>
      <c r="BI185" s="192"/>
      <c r="BJ185" s="192"/>
      <c r="BL185" s="192"/>
      <c r="BM185" s="192"/>
      <c r="BP185" s="179"/>
    </row>
    <row r="186">
      <c r="B186" s="189"/>
      <c r="C186" s="189"/>
      <c r="E186" s="189"/>
      <c r="F186" s="189"/>
      <c r="I186" s="179"/>
      <c r="J186" s="189"/>
      <c r="K186" s="189"/>
      <c r="M186" s="189"/>
      <c r="N186" s="189"/>
      <c r="Q186" s="179"/>
      <c r="S186" s="189"/>
      <c r="T186" s="189"/>
      <c r="V186" s="189"/>
      <c r="W186" s="189"/>
      <c r="Z186" s="179"/>
      <c r="AA186" s="189"/>
      <c r="AB186" s="189"/>
      <c r="AD186" s="189"/>
      <c r="AE186" s="189"/>
      <c r="AH186" s="179"/>
      <c r="AJ186" s="191"/>
      <c r="AK186" s="191"/>
      <c r="AM186" s="191"/>
      <c r="AN186" s="191"/>
      <c r="AQ186" s="179"/>
      <c r="AR186" s="192"/>
      <c r="AS186" s="192"/>
      <c r="AU186" s="192"/>
      <c r="AV186" s="192"/>
      <c r="AY186" s="179"/>
      <c r="BA186" s="192"/>
      <c r="BB186" s="192"/>
      <c r="BD186" s="192"/>
      <c r="BE186" s="192"/>
      <c r="BH186" s="179"/>
      <c r="BI186" s="192"/>
      <c r="BJ186" s="192"/>
      <c r="BL186" s="192"/>
      <c r="BM186" s="192"/>
      <c r="BP186" s="179"/>
    </row>
    <row r="187">
      <c r="B187" s="189"/>
      <c r="C187" s="189"/>
      <c r="E187" s="189"/>
      <c r="F187" s="189"/>
      <c r="I187" s="179"/>
      <c r="J187" s="189"/>
      <c r="K187" s="189"/>
      <c r="M187" s="189"/>
      <c r="N187" s="189"/>
      <c r="Q187" s="179"/>
      <c r="S187" s="189"/>
      <c r="T187" s="189"/>
      <c r="V187" s="189"/>
      <c r="W187" s="189"/>
      <c r="Z187" s="179"/>
      <c r="AA187" s="189"/>
      <c r="AB187" s="189"/>
      <c r="AD187" s="189"/>
      <c r="AE187" s="189"/>
      <c r="AH187" s="179"/>
      <c r="AJ187" s="191"/>
      <c r="AK187" s="191"/>
      <c r="AM187" s="191"/>
      <c r="AN187" s="191"/>
      <c r="AQ187" s="179"/>
      <c r="AR187" s="192"/>
      <c r="AS187" s="192"/>
      <c r="AU187" s="192"/>
      <c r="AV187" s="192"/>
      <c r="AY187" s="179"/>
      <c r="BA187" s="192"/>
      <c r="BB187" s="192"/>
      <c r="BD187" s="192"/>
      <c r="BE187" s="192"/>
      <c r="BH187" s="179"/>
      <c r="BI187" s="192"/>
      <c r="BJ187" s="192"/>
      <c r="BL187" s="192"/>
      <c r="BM187" s="192"/>
      <c r="BP187" s="179"/>
    </row>
    <row r="188">
      <c r="B188" s="189"/>
      <c r="C188" s="189"/>
      <c r="E188" s="189"/>
      <c r="F188" s="189"/>
      <c r="I188" s="179"/>
      <c r="J188" s="189"/>
      <c r="K188" s="189"/>
      <c r="M188" s="189"/>
      <c r="N188" s="189"/>
      <c r="Q188" s="179"/>
      <c r="S188" s="189"/>
      <c r="T188" s="189"/>
      <c r="V188" s="189"/>
      <c r="W188" s="189"/>
      <c r="Z188" s="179"/>
      <c r="AA188" s="189"/>
      <c r="AB188" s="189"/>
      <c r="AD188" s="189"/>
      <c r="AE188" s="189"/>
      <c r="AH188" s="179"/>
      <c r="AJ188" s="191"/>
      <c r="AK188" s="191"/>
      <c r="AM188" s="191"/>
      <c r="AN188" s="191"/>
      <c r="AQ188" s="179"/>
      <c r="AR188" s="192"/>
      <c r="AS188" s="192"/>
      <c r="AU188" s="192"/>
      <c r="AV188" s="192"/>
      <c r="AY188" s="179"/>
      <c r="BA188" s="192"/>
      <c r="BB188" s="192"/>
      <c r="BD188" s="192"/>
      <c r="BE188" s="192"/>
      <c r="BH188" s="179"/>
      <c r="BI188" s="192"/>
      <c r="BJ188" s="192"/>
      <c r="BL188" s="192"/>
      <c r="BM188" s="192"/>
      <c r="BP188" s="179"/>
    </row>
    <row r="189">
      <c r="B189" s="189"/>
      <c r="C189" s="189"/>
      <c r="E189" s="189"/>
      <c r="F189" s="189"/>
      <c r="I189" s="179"/>
      <c r="J189" s="189"/>
      <c r="K189" s="189"/>
      <c r="M189" s="189"/>
      <c r="N189" s="189"/>
      <c r="Q189" s="179"/>
      <c r="S189" s="189"/>
      <c r="T189" s="189"/>
      <c r="V189" s="189"/>
      <c r="W189" s="189"/>
      <c r="Z189" s="179"/>
      <c r="AA189" s="189"/>
      <c r="AB189" s="189"/>
      <c r="AD189" s="189"/>
      <c r="AE189" s="189"/>
      <c r="AH189" s="179"/>
      <c r="AJ189" s="191"/>
      <c r="AK189" s="191"/>
      <c r="AM189" s="191"/>
      <c r="AN189" s="191"/>
      <c r="AQ189" s="179"/>
      <c r="AR189" s="192"/>
      <c r="AS189" s="192"/>
      <c r="AU189" s="192"/>
      <c r="AV189" s="192"/>
      <c r="AY189" s="179"/>
      <c r="BA189" s="192"/>
      <c r="BB189" s="192"/>
      <c r="BD189" s="192"/>
      <c r="BE189" s="192"/>
      <c r="BH189" s="179"/>
      <c r="BI189" s="192"/>
      <c r="BJ189" s="192"/>
      <c r="BL189" s="192"/>
      <c r="BM189" s="192"/>
      <c r="BP189" s="179"/>
    </row>
    <row r="190">
      <c r="B190" s="189"/>
      <c r="C190" s="189"/>
      <c r="E190" s="189"/>
      <c r="F190" s="189"/>
      <c r="I190" s="179"/>
      <c r="J190" s="189"/>
      <c r="K190" s="189"/>
      <c r="M190" s="189"/>
      <c r="N190" s="189"/>
      <c r="Q190" s="179"/>
      <c r="S190" s="189"/>
      <c r="T190" s="189"/>
      <c r="V190" s="189"/>
      <c r="W190" s="189"/>
      <c r="Z190" s="179"/>
      <c r="AA190" s="189"/>
      <c r="AB190" s="189"/>
      <c r="AD190" s="189"/>
      <c r="AE190" s="189"/>
      <c r="AH190" s="179"/>
      <c r="AJ190" s="191"/>
      <c r="AK190" s="191"/>
      <c r="AM190" s="191"/>
      <c r="AN190" s="191"/>
      <c r="AQ190" s="179"/>
      <c r="AR190" s="192"/>
      <c r="AS190" s="192"/>
      <c r="AU190" s="192"/>
      <c r="AV190" s="192"/>
      <c r="AY190" s="179"/>
      <c r="BA190" s="192"/>
      <c r="BB190" s="192"/>
      <c r="BD190" s="192"/>
      <c r="BE190" s="192"/>
      <c r="BH190" s="179"/>
      <c r="BI190" s="192"/>
      <c r="BJ190" s="192"/>
      <c r="BL190" s="192"/>
      <c r="BM190" s="192"/>
      <c r="BP190" s="179"/>
    </row>
    <row r="191">
      <c r="B191" s="189"/>
      <c r="C191" s="189"/>
      <c r="E191" s="189"/>
      <c r="F191" s="189"/>
      <c r="I191" s="179"/>
      <c r="J191" s="189"/>
      <c r="K191" s="189"/>
      <c r="M191" s="189"/>
      <c r="N191" s="189"/>
      <c r="Q191" s="179"/>
      <c r="S191" s="189"/>
      <c r="T191" s="189"/>
      <c r="V191" s="189"/>
      <c r="W191" s="189"/>
      <c r="Z191" s="179"/>
      <c r="AA191" s="189"/>
      <c r="AB191" s="189"/>
      <c r="AD191" s="189"/>
      <c r="AE191" s="189"/>
      <c r="AH191" s="179"/>
      <c r="AJ191" s="191"/>
      <c r="AK191" s="191"/>
      <c r="AM191" s="191"/>
      <c r="AN191" s="191"/>
      <c r="AQ191" s="179"/>
      <c r="AR191" s="192"/>
      <c r="AS191" s="192"/>
      <c r="AU191" s="192"/>
      <c r="AV191" s="192"/>
      <c r="AY191" s="179"/>
      <c r="BA191" s="192"/>
      <c r="BB191" s="192"/>
      <c r="BD191" s="192"/>
      <c r="BE191" s="192"/>
      <c r="BH191" s="179"/>
      <c r="BI191" s="192"/>
      <c r="BJ191" s="192"/>
      <c r="BL191" s="192"/>
      <c r="BM191" s="192"/>
      <c r="BP191" s="179"/>
    </row>
    <row r="192">
      <c r="B192" s="189"/>
      <c r="C192" s="189"/>
      <c r="E192" s="189"/>
      <c r="F192" s="189"/>
      <c r="I192" s="179"/>
      <c r="J192" s="189"/>
      <c r="K192" s="189"/>
      <c r="M192" s="189"/>
      <c r="N192" s="189"/>
      <c r="Q192" s="179"/>
      <c r="S192" s="189"/>
      <c r="T192" s="189"/>
      <c r="V192" s="189"/>
      <c r="W192" s="189"/>
      <c r="Z192" s="179"/>
      <c r="AA192" s="189"/>
      <c r="AB192" s="189"/>
      <c r="AD192" s="189"/>
      <c r="AE192" s="189"/>
      <c r="AH192" s="179"/>
      <c r="AJ192" s="191"/>
      <c r="AK192" s="191"/>
      <c r="AM192" s="191"/>
      <c r="AN192" s="191"/>
      <c r="AQ192" s="179"/>
      <c r="AR192" s="192"/>
      <c r="AS192" s="192"/>
      <c r="AU192" s="192"/>
      <c r="AV192" s="192"/>
      <c r="AY192" s="179"/>
      <c r="BA192" s="192"/>
      <c r="BB192" s="192"/>
      <c r="BD192" s="192"/>
      <c r="BE192" s="192"/>
      <c r="BH192" s="179"/>
      <c r="BI192" s="192"/>
      <c r="BJ192" s="192"/>
      <c r="BL192" s="192"/>
      <c r="BM192" s="192"/>
      <c r="BP192" s="179"/>
    </row>
    <row r="193">
      <c r="B193" s="189"/>
      <c r="C193" s="189"/>
      <c r="E193" s="189"/>
      <c r="F193" s="189"/>
      <c r="I193" s="179"/>
      <c r="J193" s="189"/>
      <c r="K193" s="189"/>
      <c r="M193" s="189"/>
      <c r="N193" s="189"/>
      <c r="Q193" s="179"/>
      <c r="S193" s="189"/>
      <c r="T193" s="189"/>
      <c r="V193" s="189"/>
      <c r="W193" s="189"/>
      <c r="Z193" s="179"/>
      <c r="AA193" s="189"/>
      <c r="AB193" s="189"/>
      <c r="AD193" s="189"/>
      <c r="AE193" s="189"/>
      <c r="AH193" s="179"/>
      <c r="AJ193" s="191"/>
      <c r="AK193" s="191"/>
      <c r="AM193" s="191"/>
      <c r="AN193" s="191"/>
      <c r="AQ193" s="179"/>
      <c r="AR193" s="192"/>
      <c r="AS193" s="192"/>
      <c r="AU193" s="192"/>
      <c r="AV193" s="192"/>
      <c r="AY193" s="179"/>
      <c r="BA193" s="192"/>
      <c r="BB193" s="192"/>
      <c r="BD193" s="192"/>
      <c r="BE193" s="192"/>
      <c r="BH193" s="179"/>
      <c r="BI193" s="192"/>
      <c r="BJ193" s="192"/>
      <c r="BL193" s="192"/>
      <c r="BM193" s="192"/>
      <c r="BP193" s="179"/>
    </row>
    <row r="194">
      <c r="B194" s="189"/>
      <c r="C194" s="189"/>
      <c r="E194" s="189"/>
      <c r="F194" s="189"/>
      <c r="I194" s="179"/>
      <c r="J194" s="189"/>
      <c r="K194" s="189"/>
      <c r="M194" s="189"/>
      <c r="N194" s="189"/>
      <c r="Q194" s="179"/>
      <c r="S194" s="189"/>
      <c r="T194" s="189"/>
      <c r="V194" s="189"/>
      <c r="W194" s="189"/>
      <c r="Z194" s="179"/>
      <c r="AA194" s="189"/>
      <c r="AB194" s="189"/>
      <c r="AD194" s="189"/>
      <c r="AE194" s="189"/>
      <c r="AH194" s="179"/>
      <c r="AJ194" s="191"/>
      <c r="AK194" s="191"/>
      <c r="AM194" s="191"/>
      <c r="AN194" s="191"/>
      <c r="AQ194" s="179"/>
      <c r="AR194" s="192"/>
      <c r="AS194" s="192"/>
      <c r="AU194" s="192"/>
      <c r="AV194" s="192"/>
      <c r="AY194" s="179"/>
      <c r="BA194" s="192"/>
      <c r="BB194" s="192"/>
      <c r="BD194" s="192"/>
      <c r="BE194" s="192"/>
      <c r="BH194" s="179"/>
      <c r="BI194" s="192"/>
      <c r="BJ194" s="192"/>
      <c r="BL194" s="192"/>
      <c r="BM194" s="192"/>
      <c r="BP194" s="179"/>
    </row>
    <row r="195">
      <c r="B195" s="189"/>
      <c r="C195" s="189"/>
      <c r="E195" s="189"/>
      <c r="F195" s="189"/>
      <c r="I195" s="179"/>
      <c r="J195" s="189"/>
      <c r="K195" s="189"/>
      <c r="M195" s="189"/>
      <c r="N195" s="189"/>
      <c r="Q195" s="179"/>
      <c r="S195" s="189"/>
      <c r="T195" s="189"/>
      <c r="V195" s="189"/>
      <c r="W195" s="189"/>
      <c r="Z195" s="179"/>
      <c r="AA195" s="189"/>
      <c r="AB195" s="189"/>
      <c r="AD195" s="189"/>
      <c r="AE195" s="189"/>
      <c r="AH195" s="179"/>
      <c r="AJ195" s="191"/>
      <c r="AK195" s="191"/>
      <c r="AM195" s="191"/>
      <c r="AN195" s="191"/>
      <c r="AQ195" s="179"/>
      <c r="AR195" s="192"/>
      <c r="AS195" s="192"/>
      <c r="AU195" s="192"/>
      <c r="AV195" s="192"/>
      <c r="AY195" s="179"/>
      <c r="BA195" s="192"/>
      <c r="BB195" s="192"/>
      <c r="BD195" s="192"/>
      <c r="BE195" s="192"/>
      <c r="BH195" s="179"/>
      <c r="BI195" s="192"/>
      <c r="BJ195" s="192"/>
      <c r="BL195" s="192"/>
      <c r="BM195" s="192"/>
      <c r="BP195" s="179"/>
    </row>
    <row r="196">
      <c r="B196" s="189"/>
      <c r="C196" s="189"/>
      <c r="E196" s="189"/>
      <c r="F196" s="189"/>
      <c r="I196" s="179"/>
      <c r="J196" s="189"/>
      <c r="K196" s="189"/>
      <c r="M196" s="189"/>
      <c r="N196" s="189"/>
      <c r="Q196" s="179"/>
      <c r="S196" s="189"/>
      <c r="T196" s="189"/>
      <c r="V196" s="189"/>
      <c r="W196" s="189"/>
      <c r="Z196" s="179"/>
      <c r="AA196" s="189"/>
      <c r="AB196" s="189"/>
      <c r="AD196" s="189"/>
      <c r="AE196" s="189"/>
      <c r="AH196" s="179"/>
      <c r="AJ196" s="191"/>
      <c r="AK196" s="191"/>
      <c r="AM196" s="191"/>
      <c r="AN196" s="191"/>
      <c r="AQ196" s="179"/>
      <c r="AR196" s="192"/>
      <c r="AS196" s="192"/>
      <c r="AU196" s="192"/>
      <c r="AV196" s="192"/>
      <c r="AY196" s="179"/>
      <c r="BA196" s="192"/>
      <c r="BB196" s="192"/>
      <c r="BD196" s="192"/>
      <c r="BE196" s="192"/>
      <c r="BH196" s="179"/>
      <c r="BI196" s="192"/>
      <c r="BJ196" s="192"/>
      <c r="BL196" s="192"/>
      <c r="BM196" s="192"/>
      <c r="BP196" s="179"/>
    </row>
    <row r="197">
      <c r="B197" s="189"/>
      <c r="C197" s="189"/>
      <c r="E197" s="189"/>
      <c r="F197" s="189"/>
      <c r="I197" s="179"/>
      <c r="J197" s="189"/>
      <c r="K197" s="189"/>
      <c r="M197" s="189"/>
      <c r="N197" s="189"/>
      <c r="Q197" s="179"/>
      <c r="S197" s="189"/>
      <c r="T197" s="189"/>
      <c r="V197" s="189"/>
      <c r="W197" s="189"/>
      <c r="Z197" s="179"/>
      <c r="AA197" s="189"/>
      <c r="AB197" s="189"/>
      <c r="AD197" s="189"/>
      <c r="AE197" s="189"/>
      <c r="AH197" s="179"/>
      <c r="AJ197" s="191"/>
      <c r="AK197" s="191"/>
      <c r="AM197" s="191"/>
      <c r="AN197" s="191"/>
      <c r="AQ197" s="179"/>
      <c r="AR197" s="192"/>
      <c r="AS197" s="192"/>
      <c r="AU197" s="192"/>
      <c r="AV197" s="192"/>
      <c r="AY197" s="179"/>
      <c r="BA197" s="192"/>
      <c r="BB197" s="192"/>
      <c r="BD197" s="192"/>
      <c r="BE197" s="192"/>
      <c r="BH197" s="179"/>
      <c r="BI197" s="192"/>
      <c r="BJ197" s="192"/>
      <c r="BL197" s="192"/>
      <c r="BM197" s="192"/>
      <c r="BP197" s="179"/>
    </row>
    <row r="198">
      <c r="B198" s="189"/>
      <c r="C198" s="189"/>
      <c r="E198" s="189"/>
      <c r="F198" s="189"/>
      <c r="I198" s="179"/>
      <c r="J198" s="189"/>
      <c r="K198" s="189"/>
      <c r="M198" s="189"/>
      <c r="N198" s="189"/>
      <c r="Q198" s="179"/>
      <c r="S198" s="189"/>
      <c r="T198" s="189"/>
      <c r="V198" s="189"/>
      <c r="W198" s="189"/>
      <c r="Z198" s="179"/>
      <c r="AA198" s="189"/>
      <c r="AB198" s="189"/>
      <c r="AD198" s="189"/>
      <c r="AE198" s="189"/>
      <c r="AH198" s="179"/>
      <c r="AJ198" s="191"/>
      <c r="AK198" s="191"/>
      <c r="AM198" s="191"/>
      <c r="AN198" s="191"/>
      <c r="AQ198" s="179"/>
      <c r="AR198" s="192"/>
      <c r="AS198" s="192"/>
      <c r="AU198" s="192"/>
      <c r="AV198" s="192"/>
      <c r="AY198" s="179"/>
      <c r="BA198" s="192"/>
      <c r="BB198" s="192"/>
      <c r="BD198" s="192"/>
      <c r="BE198" s="192"/>
      <c r="BH198" s="179"/>
      <c r="BI198" s="192"/>
      <c r="BJ198" s="192"/>
      <c r="BL198" s="192"/>
      <c r="BM198" s="192"/>
      <c r="BP198" s="179"/>
    </row>
    <row r="199">
      <c r="B199" s="189"/>
      <c r="C199" s="189"/>
      <c r="E199" s="189"/>
      <c r="F199" s="189"/>
      <c r="I199" s="179"/>
      <c r="J199" s="189"/>
      <c r="K199" s="189"/>
      <c r="M199" s="189"/>
      <c r="N199" s="189"/>
      <c r="Q199" s="179"/>
      <c r="S199" s="189"/>
      <c r="T199" s="189"/>
      <c r="V199" s="189"/>
      <c r="W199" s="189"/>
      <c r="Z199" s="179"/>
      <c r="AA199" s="189"/>
      <c r="AB199" s="189"/>
      <c r="AD199" s="189"/>
      <c r="AE199" s="189"/>
      <c r="AH199" s="179"/>
      <c r="AJ199" s="191"/>
      <c r="AK199" s="191"/>
      <c r="AM199" s="191"/>
      <c r="AN199" s="191"/>
      <c r="AQ199" s="179"/>
      <c r="AR199" s="192"/>
      <c r="AS199" s="192"/>
      <c r="AU199" s="192"/>
      <c r="AV199" s="192"/>
      <c r="AY199" s="179"/>
      <c r="BA199" s="192"/>
      <c r="BB199" s="192"/>
      <c r="BD199" s="192"/>
      <c r="BE199" s="192"/>
      <c r="BH199" s="179"/>
      <c r="BI199" s="192"/>
      <c r="BJ199" s="192"/>
      <c r="BL199" s="192"/>
      <c r="BM199" s="192"/>
      <c r="BP199" s="179"/>
    </row>
    <row r="200">
      <c r="B200" s="189"/>
      <c r="C200" s="189"/>
      <c r="E200" s="189"/>
      <c r="F200" s="189"/>
      <c r="I200" s="179"/>
      <c r="J200" s="189"/>
      <c r="K200" s="189"/>
      <c r="M200" s="189"/>
      <c r="N200" s="189"/>
      <c r="Q200" s="179"/>
      <c r="S200" s="189"/>
      <c r="T200" s="189"/>
      <c r="V200" s="189"/>
      <c r="W200" s="189"/>
      <c r="Z200" s="179"/>
      <c r="AA200" s="189"/>
      <c r="AB200" s="189"/>
      <c r="AD200" s="189"/>
      <c r="AE200" s="189"/>
      <c r="AH200" s="179"/>
      <c r="AJ200" s="191"/>
      <c r="AK200" s="191"/>
      <c r="AM200" s="191"/>
      <c r="AN200" s="191"/>
      <c r="AQ200" s="179"/>
      <c r="AR200" s="192"/>
      <c r="AS200" s="192"/>
      <c r="AU200" s="192"/>
      <c r="AV200" s="192"/>
      <c r="AY200" s="179"/>
      <c r="BA200" s="192"/>
      <c r="BB200" s="192"/>
      <c r="BD200" s="192"/>
      <c r="BE200" s="192"/>
      <c r="BH200" s="179"/>
      <c r="BI200" s="192"/>
      <c r="BJ200" s="192"/>
      <c r="BL200" s="192"/>
      <c r="BM200" s="192"/>
      <c r="BP200" s="179"/>
    </row>
    <row r="201">
      <c r="B201" s="189"/>
      <c r="C201" s="189"/>
      <c r="E201" s="189"/>
      <c r="F201" s="189"/>
      <c r="I201" s="179"/>
      <c r="J201" s="189"/>
      <c r="K201" s="189"/>
      <c r="M201" s="189"/>
      <c r="N201" s="189"/>
      <c r="Q201" s="179"/>
      <c r="S201" s="189"/>
      <c r="T201" s="189"/>
      <c r="V201" s="189"/>
      <c r="W201" s="189"/>
      <c r="Z201" s="179"/>
      <c r="AA201" s="189"/>
      <c r="AB201" s="189"/>
      <c r="AD201" s="189"/>
      <c r="AE201" s="189"/>
      <c r="AH201" s="179"/>
      <c r="AJ201" s="191"/>
      <c r="AK201" s="191"/>
      <c r="AM201" s="191"/>
      <c r="AN201" s="191"/>
      <c r="AQ201" s="179"/>
      <c r="AR201" s="192"/>
      <c r="AS201" s="192"/>
      <c r="AU201" s="192"/>
      <c r="AV201" s="192"/>
      <c r="AY201" s="179"/>
      <c r="BA201" s="192"/>
      <c r="BB201" s="192"/>
      <c r="BD201" s="192"/>
      <c r="BE201" s="192"/>
      <c r="BH201" s="179"/>
      <c r="BI201" s="192"/>
      <c r="BJ201" s="192"/>
      <c r="BL201" s="192"/>
      <c r="BM201" s="192"/>
      <c r="BP201" s="179"/>
    </row>
    <row r="202">
      <c r="B202" s="189"/>
      <c r="C202" s="189"/>
      <c r="E202" s="189"/>
      <c r="F202" s="189"/>
      <c r="I202" s="179"/>
      <c r="J202" s="189"/>
      <c r="K202" s="189"/>
      <c r="M202" s="189"/>
      <c r="N202" s="189"/>
      <c r="Q202" s="179"/>
      <c r="S202" s="189"/>
      <c r="T202" s="189"/>
      <c r="V202" s="189"/>
      <c r="W202" s="189"/>
      <c r="Z202" s="179"/>
      <c r="AA202" s="189"/>
      <c r="AB202" s="189"/>
      <c r="AD202" s="189"/>
      <c r="AE202" s="189"/>
      <c r="AH202" s="179"/>
      <c r="AJ202" s="191"/>
      <c r="AK202" s="191"/>
      <c r="AM202" s="191"/>
      <c r="AN202" s="191"/>
      <c r="AQ202" s="179"/>
      <c r="AR202" s="192"/>
      <c r="AS202" s="192"/>
      <c r="AU202" s="192"/>
      <c r="AV202" s="192"/>
      <c r="AY202" s="179"/>
      <c r="BA202" s="192"/>
      <c r="BB202" s="192"/>
      <c r="BD202" s="192"/>
      <c r="BE202" s="192"/>
      <c r="BH202" s="179"/>
      <c r="BI202" s="192"/>
      <c r="BJ202" s="192"/>
      <c r="BL202" s="192"/>
      <c r="BM202" s="192"/>
      <c r="BP202" s="179"/>
    </row>
    <row r="203">
      <c r="B203" s="189"/>
      <c r="C203" s="189"/>
      <c r="E203" s="189"/>
      <c r="F203" s="189"/>
      <c r="I203" s="179"/>
      <c r="J203" s="189"/>
      <c r="K203" s="189"/>
      <c r="M203" s="189"/>
      <c r="N203" s="189"/>
      <c r="Q203" s="179"/>
      <c r="S203" s="189"/>
      <c r="T203" s="189"/>
      <c r="V203" s="189"/>
      <c r="W203" s="189"/>
      <c r="Z203" s="179"/>
      <c r="AA203" s="189"/>
      <c r="AB203" s="189"/>
      <c r="AD203" s="189"/>
      <c r="AE203" s="189"/>
      <c r="AH203" s="179"/>
      <c r="AJ203" s="191"/>
      <c r="AK203" s="191"/>
      <c r="AM203" s="191"/>
      <c r="AN203" s="191"/>
      <c r="AQ203" s="179"/>
      <c r="AR203" s="192"/>
      <c r="AS203" s="192"/>
      <c r="AU203" s="192"/>
      <c r="AV203" s="192"/>
      <c r="AY203" s="179"/>
      <c r="BA203" s="192"/>
      <c r="BB203" s="192"/>
      <c r="BD203" s="192"/>
      <c r="BE203" s="192"/>
      <c r="BH203" s="179"/>
      <c r="BI203" s="192"/>
      <c r="BJ203" s="192"/>
      <c r="BL203" s="192"/>
      <c r="BM203" s="192"/>
      <c r="BP203" s="179"/>
    </row>
    <row r="204">
      <c r="B204" s="189"/>
      <c r="C204" s="189"/>
      <c r="E204" s="189"/>
      <c r="F204" s="189"/>
      <c r="I204" s="179"/>
      <c r="J204" s="189"/>
      <c r="K204" s="189"/>
      <c r="M204" s="189"/>
      <c r="N204" s="189"/>
      <c r="Q204" s="179"/>
      <c r="S204" s="189"/>
      <c r="T204" s="189"/>
      <c r="V204" s="189"/>
      <c r="W204" s="189"/>
      <c r="Z204" s="179"/>
      <c r="AA204" s="189"/>
      <c r="AB204" s="189"/>
      <c r="AD204" s="189"/>
      <c r="AE204" s="189"/>
      <c r="AH204" s="179"/>
      <c r="AJ204" s="191"/>
      <c r="AK204" s="191"/>
      <c r="AM204" s="191"/>
      <c r="AN204" s="191"/>
      <c r="AQ204" s="179"/>
      <c r="AR204" s="192"/>
      <c r="AS204" s="192"/>
      <c r="AU204" s="192"/>
      <c r="AV204" s="192"/>
      <c r="AY204" s="179"/>
      <c r="BA204" s="192"/>
      <c r="BB204" s="192"/>
      <c r="BD204" s="192"/>
      <c r="BE204" s="192"/>
      <c r="BH204" s="179"/>
      <c r="BI204" s="192"/>
      <c r="BJ204" s="192"/>
      <c r="BL204" s="192"/>
      <c r="BM204" s="192"/>
      <c r="BP204" s="179"/>
    </row>
    <row r="205">
      <c r="B205" s="189"/>
      <c r="C205" s="189"/>
      <c r="E205" s="189"/>
      <c r="F205" s="189"/>
      <c r="I205" s="179"/>
      <c r="J205" s="189"/>
      <c r="K205" s="189"/>
      <c r="M205" s="189"/>
      <c r="N205" s="189"/>
      <c r="Q205" s="179"/>
      <c r="S205" s="189"/>
      <c r="T205" s="189"/>
      <c r="V205" s="189"/>
      <c r="W205" s="189"/>
      <c r="Z205" s="179"/>
      <c r="AA205" s="189"/>
      <c r="AB205" s="189"/>
      <c r="AD205" s="189"/>
      <c r="AE205" s="189"/>
      <c r="AH205" s="179"/>
      <c r="AJ205" s="191"/>
      <c r="AK205" s="191"/>
      <c r="AM205" s="191"/>
      <c r="AN205" s="191"/>
      <c r="AQ205" s="179"/>
      <c r="AR205" s="192"/>
      <c r="AS205" s="192"/>
      <c r="AU205" s="192"/>
      <c r="AV205" s="192"/>
      <c r="AY205" s="179"/>
      <c r="BA205" s="192"/>
      <c r="BB205" s="192"/>
      <c r="BD205" s="192"/>
      <c r="BE205" s="192"/>
      <c r="BH205" s="179"/>
      <c r="BI205" s="192"/>
      <c r="BJ205" s="192"/>
      <c r="BL205" s="192"/>
      <c r="BM205" s="192"/>
      <c r="BP205" s="179"/>
    </row>
    <row r="206">
      <c r="B206" s="189"/>
      <c r="C206" s="189"/>
      <c r="E206" s="189"/>
      <c r="F206" s="189"/>
      <c r="I206" s="179"/>
      <c r="J206" s="189"/>
      <c r="K206" s="189"/>
      <c r="M206" s="189"/>
      <c r="N206" s="189"/>
      <c r="Q206" s="179"/>
      <c r="S206" s="189"/>
      <c r="T206" s="189"/>
      <c r="V206" s="189"/>
      <c r="W206" s="189"/>
      <c r="Z206" s="179"/>
      <c r="AA206" s="189"/>
      <c r="AB206" s="189"/>
      <c r="AD206" s="189"/>
      <c r="AE206" s="189"/>
      <c r="AH206" s="179"/>
      <c r="AJ206" s="191"/>
      <c r="AK206" s="191"/>
      <c r="AM206" s="191"/>
      <c r="AN206" s="191"/>
      <c r="AQ206" s="179"/>
      <c r="AR206" s="192"/>
      <c r="AS206" s="192"/>
      <c r="AU206" s="192"/>
      <c r="AV206" s="192"/>
      <c r="AY206" s="179"/>
      <c r="BA206" s="192"/>
      <c r="BB206" s="192"/>
      <c r="BD206" s="192"/>
      <c r="BE206" s="192"/>
      <c r="BH206" s="179"/>
      <c r="BI206" s="192"/>
      <c r="BJ206" s="192"/>
      <c r="BL206" s="192"/>
      <c r="BM206" s="192"/>
      <c r="BP206" s="179"/>
    </row>
    <row r="207">
      <c r="B207" s="189"/>
      <c r="C207" s="189"/>
      <c r="E207" s="189"/>
      <c r="F207" s="189"/>
      <c r="I207" s="179"/>
      <c r="J207" s="189"/>
      <c r="K207" s="189"/>
      <c r="M207" s="189"/>
      <c r="N207" s="189"/>
      <c r="Q207" s="179"/>
      <c r="S207" s="189"/>
      <c r="T207" s="189"/>
      <c r="V207" s="189"/>
      <c r="W207" s="189"/>
      <c r="Z207" s="179"/>
      <c r="AA207" s="189"/>
      <c r="AB207" s="189"/>
      <c r="AD207" s="189"/>
      <c r="AE207" s="189"/>
      <c r="AH207" s="179"/>
      <c r="AJ207" s="191"/>
      <c r="AK207" s="191"/>
      <c r="AM207" s="191"/>
      <c r="AN207" s="191"/>
      <c r="AQ207" s="179"/>
      <c r="AR207" s="192"/>
      <c r="AS207" s="192"/>
      <c r="AU207" s="192"/>
      <c r="AV207" s="192"/>
      <c r="AY207" s="179"/>
      <c r="BA207" s="192"/>
      <c r="BB207" s="192"/>
      <c r="BD207" s="192"/>
      <c r="BE207" s="192"/>
      <c r="BH207" s="179"/>
      <c r="BI207" s="192"/>
      <c r="BJ207" s="192"/>
      <c r="BL207" s="192"/>
      <c r="BM207" s="192"/>
      <c r="BP207" s="179"/>
    </row>
    <row r="208">
      <c r="B208" s="189"/>
      <c r="C208" s="189"/>
      <c r="E208" s="189"/>
      <c r="F208" s="189"/>
      <c r="I208" s="179"/>
      <c r="J208" s="189"/>
      <c r="K208" s="189"/>
      <c r="M208" s="189"/>
      <c r="N208" s="189"/>
      <c r="Q208" s="179"/>
      <c r="S208" s="189"/>
      <c r="T208" s="189"/>
      <c r="V208" s="189"/>
      <c r="W208" s="189"/>
      <c r="Z208" s="179"/>
      <c r="AA208" s="189"/>
      <c r="AB208" s="189"/>
      <c r="AD208" s="189"/>
      <c r="AE208" s="189"/>
      <c r="AH208" s="179"/>
      <c r="AJ208" s="191"/>
      <c r="AK208" s="191"/>
      <c r="AM208" s="191"/>
      <c r="AN208" s="191"/>
      <c r="AQ208" s="179"/>
      <c r="AR208" s="192"/>
      <c r="AS208" s="192"/>
      <c r="AU208" s="192"/>
      <c r="AV208" s="192"/>
      <c r="AY208" s="179"/>
      <c r="BA208" s="192"/>
      <c r="BB208" s="192"/>
      <c r="BD208" s="192"/>
      <c r="BE208" s="192"/>
      <c r="BH208" s="179"/>
      <c r="BI208" s="192"/>
      <c r="BJ208" s="192"/>
      <c r="BL208" s="192"/>
      <c r="BM208" s="192"/>
      <c r="BP208" s="179"/>
    </row>
    <row r="209">
      <c r="B209" s="189"/>
      <c r="C209" s="189"/>
      <c r="E209" s="189"/>
      <c r="F209" s="189"/>
      <c r="I209" s="179"/>
      <c r="J209" s="189"/>
      <c r="K209" s="189"/>
      <c r="M209" s="189"/>
      <c r="N209" s="189"/>
      <c r="Q209" s="179"/>
      <c r="S209" s="189"/>
      <c r="T209" s="189"/>
      <c r="V209" s="189"/>
      <c r="W209" s="189"/>
      <c r="Z209" s="179"/>
      <c r="AA209" s="189"/>
      <c r="AB209" s="189"/>
      <c r="AD209" s="189"/>
      <c r="AE209" s="189"/>
      <c r="AH209" s="179"/>
      <c r="AJ209" s="191"/>
      <c r="AK209" s="191"/>
      <c r="AM209" s="191"/>
      <c r="AN209" s="191"/>
      <c r="AQ209" s="179"/>
      <c r="AR209" s="192"/>
      <c r="AS209" s="192"/>
      <c r="AU209" s="192"/>
      <c r="AV209" s="192"/>
      <c r="AY209" s="179"/>
      <c r="BA209" s="192"/>
      <c r="BB209" s="192"/>
      <c r="BD209" s="192"/>
      <c r="BE209" s="192"/>
      <c r="BH209" s="179"/>
      <c r="BI209" s="192"/>
      <c r="BJ209" s="192"/>
      <c r="BL209" s="192"/>
      <c r="BM209" s="192"/>
      <c r="BP209" s="179"/>
    </row>
    <row r="210">
      <c r="B210" s="189"/>
      <c r="C210" s="189"/>
      <c r="E210" s="189"/>
      <c r="F210" s="189"/>
      <c r="I210" s="179"/>
      <c r="J210" s="189"/>
      <c r="K210" s="189"/>
      <c r="M210" s="189"/>
      <c r="N210" s="189"/>
      <c r="Q210" s="179"/>
      <c r="S210" s="189"/>
      <c r="T210" s="189"/>
      <c r="V210" s="189"/>
      <c r="W210" s="189"/>
      <c r="Z210" s="179"/>
      <c r="AA210" s="189"/>
      <c r="AB210" s="189"/>
      <c r="AD210" s="189"/>
      <c r="AE210" s="189"/>
      <c r="AH210" s="179"/>
      <c r="AJ210" s="191"/>
      <c r="AK210" s="191"/>
      <c r="AM210" s="191"/>
      <c r="AN210" s="191"/>
      <c r="AQ210" s="179"/>
      <c r="AR210" s="192"/>
      <c r="AS210" s="192"/>
      <c r="AU210" s="192"/>
      <c r="AV210" s="192"/>
      <c r="AY210" s="179"/>
      <c r="BA210" s="192"/>
      <c r="BB210" s="192"/>
      <c r="BD210" s="192"/>
      <c r="BE210" s="192"/>
      <c r="BH210" s="179"/>
      <c r="BI210" s="192"/>
      <c r="BJ210" s="192"/>
      <c r="BL210" s="192"/>
      <c r="BM210" s="192"/>
      <c r="BP210" s="179"/>
    </row>
    <row r="211">
      <c r="B211" s="189"/>
      <c r="C211" s="189"/>
      <c r="E211" s="189"/>
      <c r="F211" s="189"/>
      <c r="I211" s="179"/>
      <c r="J211" s="189"/>
      <c r="K211" s="189"/>
      <c r="M211" s="189"/>
      <c r="N211" s="189"/>
      <c r="Q211" s="179"/>
      <c r="S211" s="189"/>
      <c r="T211" s="189"/>
      <c r="V211" s="189"/>
      <c r="W211" s="189"/>
      <c r="Z211" s="179"/>
      <c r="AA211" s="189"/>
      <c r="AB211" s="189"/>
      <c r="AD211" s="189"/>
      <c r="AE211" s="189"/>
      <c r="AH211" s="179"/>
      <c r="AJ211" s="191"/>
      <c r="AK211" s="191"/>
      <c r="AM211" s="191"/>
      <c r="AN211" s="191"/>
      <c r="AQ211" s="179"/>
      <c r="AR211" s="192"/>
      <c r="AS211" s="192"/>
      <c r="AU211" s="192"/>
      <c r="AV211" s="192"/>
      <c r="AY211" s="179"/>
      <c r="BA211" s="192"/>
      <c r="BB211" s="192"/>
      <c r="BD211" s="192"/>
      <c r="BE211" s="192"/>
      <c r="BH211" s="179"/>
      <c r="BI211" s="192"/>
      <c r="BJ211" s="192"/>
      <c r="BL211" s="192"/>
      <c r="BM211" s="192"/>
      <c r="BP211" s="179"/>
    </row>
    <row r="212">
      <c r="B212" s="189"/>
      <c r="C212" s="189"/>
      <c r="E212" s="189"/>
      <c r="F212" s="189"/>
      <c r="I212" s="179"/>
      <c r="J212" s="189"/>
      <c r="K212" s="189"/>
      <c r="M212" s="189"/>
      <c r="N212" s="189"/>
      <c r="Q212" s="179"/>
      <c r="S212" s="189"/>
      <c r="T212" s="189"/>
      <c r="V212" s="189"/>
      <c r="W212" s="189"/>
      <c r="Z212" s="179"/>
      <c r="AA212" s="189"/>
      <c r="AB212" s="189"/>
      <c r="AD212" s="189"/>
      <c r="AE212" s="189"/>
      <c r="AH212" s="179"/>
      <c r="AJ212" s="191"/>
      <c r="AK212" s="191"/>
      <c r="AM212" s="191"/>
      <c r="AN212" s="191"/>
      <c r="AQ212" s="179"/>
      <c r="AR212" s="192"/>
      <c r="AS212" s="192"/>
      <c r="AU212" s="192"/>
      <c r="AV212" s="192"/>
      <c r="AY212" s="179"/>
      <c r="BA212" s="192"/>
      <c r="BB212" s="192"/>
      <c r="BD212" s="192"/>
      <c r="BE212" s="192"/>
      <c r="BH212" s="179"/>
      <c r="BI212" s="192"/>
      <c r="BJ212" s="192"/>
      <c r="BL212" s="192"/>
      <c r="BM212" s="192"/>
      <c r="BP212" s="179"/>
    </row>
    <row r="213">
      <c r="B213" s="189"/>
      <c r="C213" s="189"/>
      <c r="E213" s="189"/>
      <c r="F213" s="189"/>
      <c r="I213" s="179"/>
      <c r="J213" s="189"/>
      <c r="K213" s="189"/>
      <c r="M213" s="189"/>
      <c r="N213" s="189"/>
      <c r="Q213" s="179"/>
      <c r="S213" s="189"/>
      <c r="T213" s="189"/>
      <c r="V213" s="189"/>
      <c r="W213" s="189"/>
      <c r="Z213" s="179"/>
      <c r="AA213" s="189"/>
      <c r="AB213" s="189"/>
      <c r="AD213" s="189"/>
      <c r="AE213" s="189"/>
      <c r="AH213" s="179"/>
      <c r="AJ213" s="191"/>
      <c r="AK213" s="191"/>
      <c r="AM213" s="191"/>
      <c r="AN213" s="191"/>
      <c r="AQ213" s="179"/>
      <c r="AR213" s="192"/>
      <c r="AS213" s="192"/>
      <c r="AU213" s="192"/>
      <c r="AV213" s="192"/>
      <c r="AY213" s="179"/>
      <c r="BA213" s="192"/>
      <c r="BB213" s="192"/>
      <c r="BD213" s="192"/>
      <c r="BE213" s="192"/>
      <c r="BH213" s="179"/>
      <c r="BI213" s="192"/>
      <c r="BJ213" s="192"/>
      <c r="BL213" s="192"/>
      <c r="BM213" s="192"/>
      <c r="BP213" s="179"/>
    </row>
    <row r="214">
      <c r="B214" s="189"/>
      <c r="C214" s="189"/>
      <c r="E214" s="189"/>
      <c r="F214" s="189"/>
      <c r="I214" s="179"/>
      <c r="J214" s="189"/>
      <c r="K214" s="189"/>
      <c r="M214" s="189"/>
      <c r="N214" s="189"/>
      <c r="Q214" s="179"/>
      <c r="S214" s="189"/>
      <c r="T214" s="189"/>
      <c r="V214" s="189"/>
      <c r="W214" s="189"/>
      <c r="Z214" s="179"/>
      <c r="AA214" s="189"/>
      <c r="AB214" s="189"/>
      <c r="AD214" s="189"/>
      <c r="AE214" s="189"/>
      <c r="AH214" s="179"/>
      <c r="AJ214" s="191"/>
      <c r="AK214" s="191"/>
      <c r="AM214" s="191"/>
      <c r="AN214" s="191"/>
      <c r="AQ214" s="179"/>
      <c r="AR214" s="192"/>
      <c r="AS214" s="192"/>
      <c r="AU214" s="192"/>
      <c r="AV214" s="192"/>
      <c r="AY214" s="179"/>
      <c r="BA214" s="192"/>
      <c r="BB214" s="192"/>
      <c r="BD214" s="192"/>
      <c r="BE214" s="192"/>
      <c r="BH214" s="179"/>
      <c r="BI214" s="192"/>
      <c r="BJ214" s="192"/>
      <c r="BL214" s="192"/>
      <c r="BM214" s="192"/>
      <c r="BP214" s="179"/>
    </row>
    <row r="215">
      <c r="B215" s="189"/>
      <c r="C215" s="189"/>
      <c r="E215" s="189"/>
      <c r="F215" s="189"/>
      <c r="I215" s="179"/>
      <c r="J215" s="189"/>
      <c r="K215" s="189"/>
      <c r="M215" s="189"/>
      <c r="N215" s="189"/>
      <c r="Q215" s="179"/>
      <c r="S215" s="189"/>
      <c r="T215" s="189"/>
      <c r="V215" s="189"/>
      <c r="W215" s="189"/>
      <c r="Z215" s="179"/>
      <c r="AA215" s="189"/>
      <c r="AB215" s="189"/>
      <c r="AD215" s="189"/>
      <c r="AE215" s="189"/>
      <c r="AH215" s="179"/>
      <c r="AJ215" s="191"/>
      <c r="AK215" s="191"/>
      <c r="AM215" s="191"/>
      <c r="AN215" s="191"/>
      <c r="AQ215" s="179"/>
      <c r="AR215" s="192"/>
      <c r="AS215" s="192"/>
      <c r="AU215" s="192"/>
      <c r="AV215" s="192"/>
      <c r="AY215" s="179"/>
      <c r="BA215" s="192"/>
      <c r="BB215" s="192"/>
      <c r="BD215" s="192"/>
      <c r="BE215" s="192"/>
      <c r="BH215" s="179"/>
      <c r="BI215" s="192"/>
      <c r="BJ215" s="192"/>
      <c r="BL215" s="192"/>
      <c r="BM215" s="192"/>
      <c r="BP215" s="179"/>
    </row>
    <row r="216">
      <c r="B216" s="189"/>
      <c r="C216" s="189"/>
      <c r="E216" s="189"/>
      <c r="F216" s="189"/>
      <c r="I216" s="179"/>
      <c r="J216" s="189"/>
      <c r="K216" s="189"/>
      <c r="M216" s="189"/>
      <c r="N216" s="189"/>
      <c r="Q216" s="179"/>
      <c r="S216" s="189"/>
      <c r="T216" s="189"/>
      <c r="V216" s="189"/>
      <c r="W216" s="189"/>
      <c r="Z216" s="179"/>
      <c r="AA216" s="189"/>
      <c r="AB216" s="189"/>
      <c r="AD216" s="189"/>
      <c r="AE216" s="189"/>
      <c r="AH216" s="179"/>
      <c r="AJ216" s="191"/>
      <c r="AK216" s="191"/>
      <c r="AM216" s="191"/>
      <c r="AN216" s="191"/>
      <c r="AQ216" s="179"/>
      <c r="AR216" s="192"/>
      <c r="AS216" s="192"/>
      <c r="AU216" s="192"/>
      <c r="AV216" s="192"/>
      <c r="AY216" s="179"/>
      <c r="BA216" s="192"/>
      <c r="BB216" s="192"/>
      <c r="BD216" s="192"/>
      <c r="BE216" s="192"/>
      <c r="BH216" s="179"/>
      <c r="BI216" s="192"/>
      <c r="BJ216" s="192"/>
      <c r="BL216" s="192"/>
      <c r="BM216" s="192"/>
      <c r="BP216" s="179"/>
    </row>
    <row r="217">
      <c r="B217" s="189"/>
      <c r="C217" s="189"/>
      <c r="E217" s="189"/>
      <c r="F217" s="189"/>
      <c r="I217" s="179"/>
      <c r="J217" s="189"/>
      <c r="K217" s="189"/>
      <c r="M217" s="189"/>
      <c r="N217" s="189"/>
      <c r="Q217" s="179"/>
      <c r="S217" s="189"/>
      <c r="T217" s="189"/>
      <c r="V217" s="189"/>
      <c r="W217" s="189"/>
      <c r="Z217" s="179"/>
      <c r="AA217" s="189"/>
      <c r="AB217" s="189"/>
      <c r="AD217" s="189"/>
      <c r="AE217" s="189"/>
      <c r="AH217" s="179"/>
      <c r="AJ217" s="191"/>
      <c r="AK217" s="191"/>
      <c r="AM217" s="191"/>
      <c r="AN217" s="191"/>
      <c r="AQ217" s="179"/>
      <c r="AR217" s="192"/>
      <c r="AS217" s="192"/>
      <c r="AU217" s="192"/>
      <c r="AV217" s="192"/>
      <c r="AY217" s="179"/>
      <c r="BA217" s="192"/>
      <c r="BB217" s="192"/>
      <c r="BD217" s="192"/>
      <c r="BE217" s="192"/>
      <c r="BH217" s="179"/>
      <c r="BI217" s="192"/>
      <c r="BJ217" s="192"/>
      <c r="BL217" s="192"/>
      <c r="BM217" s="192"/>
      <c r="BP217" s="179"/>
    </row>
    <row r="218">
      <c r="B218" s="189"/>
      <c r="C218" s="189"/>
      <c r="E218" s="189"/>
      <c r="F218" s="189"/>
      <c r="I218" s="179"/>
      <c r="J218" s="189"/>
      <c r="K218" s="189"/>
      <c r="M218" s="189"/>
      <c r="N218" s="189"/>
      <c r="Q218" s="179"/>
      <c r="S218" s="189"/>
      <c r="T218" s="189"/>
      <c r="V218" s="189"/>
      <c r="W218" s="189"/>
      <c r="Z218" s="179"/>
      <c r="AA218" s="189"/>
      <c r="AB218" s="189"/>
      <c r="AD218" s="189"/>
      <c r="AE218" s="189"/>
      <c r="AH218" s="179"/>
      <c r="AJ218" s="191"/>
      <c r="AK218" s="191"/>
      <c r="AM218" s="191"/>
      <c r="AN218" s="191"/>
      <c r="AQ218" s="179"/>
      <c r="AR218" s="192"/>
      <c r="AS218" s="192"/>
      <c r="AU218" s="192"/>
      <c r="AV218" s="192"/>
      <c r="AY218" s="179"/>
      <c r="BA218" s="192"/>
      <c r="BB218" s="192"/>
      <c r="BD218" s="192"/>
      <c r="BE218" s="192"/>
      <c r="BH218" s="179"/>
      <c r="BI218" s="192"/>
      <c r="BJ218" s="192"/>
      <c r="BL218" s="192"/>
      <c r="BM218" s="192"/>
      <c r="BP218" s="179"/>
    </row>
    <row r="219">
      <c r="B219" s="189"/>
      <c r="C219" s="189"/>
      <c r="E219" s="189"/>
      <c r="F219" s="189"/>
      <c r="I219" s="179"/>
      <c r="J219" s="189"/>
      <c r="K219" s="189"/>
      <c r="M219" s="189"/>
      <c r="N219" s="189"/>
      <c r="Q219" s="179"/>
      <c r="S219" s="189"/>
      <c r="T219" s="189"/>
      <c r="V219" s="189"/>
      <c r="W219" s="189"/>
      <c r="Z219" s="179"/>
      <c r="AA219" s="189"/>
      <c r="AB219" s="189"/>
      <c r="AD219" s="189"/>
      <c r="AE219" s="189"/>
      <c r="AH219" s="179"/>
      <c r="AJ219" s="191"/>
      <c r="AK219" s="191"/>
      <c r="AM219" s="191"/>
      <c r="AN219" s="191"/>
      <c r="AQ219" s="179"/>
      <c r="AR219" s="192"/>
      <c r="AS219" s="192"/>
      <c r="AU219" s="192"/>
      <c r="AV219" s="192"/>
      <c r="AY219" s="179"/>
      <c r="BA219" s="192"/>
      <c r="BB219" s="192"/>
      <c r="BD219" s="192"/>
      <c r="BE219" s="192"/>
      <c r="BH219" s="179"/>
      <c r="BI219" s="192"/>
      <c r="BJ219" s="192"/>
      <c r="BL219" s="192"/>
      <c r="BM219" s="192"/>
      <c r="BP219" s="179"/>
    </row>
    <row r="220">
      <c r="B220" s="189"/>
      <c r="C220" s="189"/>
      <c r="E220" s="189"/>
      <c r="F220" s="189"/>
      <c r="I220" s="179"/>
      <c r="J220" s="189"/>
      <c r="K220" s="189"/>
      <c r="M220" s="189"/>
      <c r="N220" s="189"/>
      <c r="Q220" s="179"/>
      <c r="S220" s="189"/>
      <c r="T220" s="189"/>
      <c r="V220" s="189"/>
      <c r="W220" s="189"/>
      <c r="Z220" s="179"/>
      <c r="AA220" s="189"/>
      <c r="AB220" s="189"/>
      <c r="AD220" s="189"/>
      <c r="AE220" s="189"/>
      <c r="AH220" s="179"/>
      <c r="AJ220" s="191"/>
      <c r="AK220" s="191"/>
      <c r="AM220" s="191"/>
      <c r="AN220" s="191"/>
      <c r="AQ220" s="179"/>
      <c r="AR220" s="192"/>
      <c r="AS220" s="192"/>
      <c r="AU220" s="192"/>
      <c r="AV220" s="192"/>
      <c r="AY220" s="179"/>
      <c r="BA220" s="192"/>
      <c r="BB220" s="192"/>
      <c r="BD220" s="192"/>
      <c r="BE220" s="192"/>
      <c r="BH220" s="179"/>
      <c r="BI220" s="192"/>
      <c r="BJ220" s="192"/>
      <c r="BL220" s="192"/>
      <c r="BM220" s="192"/>
      <c r="BP220" s="179"/>
    </row>
    <row r="221">
      <c r="B221" s="189"/>
      <c r="C221" s="189"/>
      <c r="E221" s="189"/>
      <c r="F221" s="189"/>
      <c r="I221" s="179"/>
      <c r="J221" s="189"/>
      <c r="K221" s="189"/>
      <c r="M221" s="189"/>
      <c r="N221" s="189"/>
      <c r="Q221" s="179"/>
      <c r="S221" s="189"/>
      <c r="T221" s="189"/>
      <c r="V221" s="189"/>
      <c r="W221" s="189"/>
      <c r="Z221" s="179"/>
      <c r="AA221" s="189"/>
      <c r="AB221" s="189"/>
      <c r="AD221" s="189"/>
      <c r="AE221" s="189"/>
      <c r="AH221" s="179"/>
      <c r="AJ221" s="191"/>
      <c r="AK221" s="191"/>
      <c r="AM221" s="191"/>
      <c r="AN221" s="191"/>
      <c r="AQ221" s="179"/>
      <c r="AR221" s="192"/>
      <c r="AS221" s="192"/>
      <c r="AU221" s="192"/>
      <c r="AV221" s="192"/>
      <c r="AY221" s="179"/>
      <c r="BA221" s="192"/>
      <c r="BB221" s="192"/>
      <c r="BD221" s="192"/>
      <c r="BE221" s="192"/>
      <c r="BH221" s="179"/>
      <c r="BI221" s="192"/>
      <c r="BJ221" s="192"/>
      <c r="BL221" s="192"/>
      <c r="BM221" s="192"/>
      <c r="BP221" s="179"/>
    </row>
    <row r="222">
      <c r="B222" s="189"/>
      <c r="C222" s="189"/>
      <c r="E222" s="189"/>
      <c r="F222" s="189"/>
      <c r="I222" s="179"/>
      <c r="J222" s="189"/>
      <c r="K222" s="189"/>
      <c r="M222" s="189"/>
      <c r="N222" s="189"/>
      <c r="Q222" s="179"/>
      <c r="S222" s="189"/>
      <c r="T222" s="189"/>
      <c r="V222" s="189"/>
      <c r="W222" s="189"/>
      <c r="Z222" s="179"/>
      <c r="AA222" s="189"/>
      <c r="AB222" s="189"/>
      <c r="AD222" s="189"/>
      <c r="AE222" s="189"/>
      <c r="AH222" s="179"/>
      <c r="AJ222" s="191"/>
      <c r="AK222" s="191"/>
      <c r="AM222" s="191"/>
      <c r="AN222" s="191"/>
      <c r="AQ222" s="179"/>
      <c r="AR222" s="192"/>
      <c r="AS222" s="192"/>
      <c r="AU222" s="192"/>
      <c r="AV222" s="192"/>
      <c r="AY222" s="179"/>
      <c r="BA222" s="192"/>
      <c r="BB222" s="192"/>
      <c r="BD222" s="192"/>
      <c r="BE222" s="192"/>
      <c r="BH222" s="179"/>
      <c r="BI222" s="192"/>
      <c r="BJ222" s="192"/>
      <c r="BL222" s="192"/>
      <c r="BM222" s="192"/>
      <c r="BP222" s="179"/>
    </row>
    <row r="223">
      <c r="B223" s="189"/>
      <c r="C223" s="189"/>
      <c r="E223" s="189"/>
      <c r="F223" s="189"/>
      <c r="I223" s="179"/>
      <c r="J223" s="189"/>
      <c r="K223" s="189"/>
      <c r="M223" s="189"/>
      <c r="N223" s="189"/>
      <c r="Q223" s="179"/>
      <c r="S223" s="189"/>
      <c r="T223" s="189"/>
      <c r="V223" s="189"/>
      <c r="W223" s="189"/>
      <c r="Z223" s="179"/>
      <c r="AA223" s="189"/>
      <c r="AB223" s="189"/>
      <c r="AD223" s="189"/>
      <c r="AE223" s="189"/>
      <c r="AH223" s="179"/>
      <c r="AJ223" s="191"/>
      <c r="AK223" s="191"/>
      <c r="AM223" s="191"/>
      <c r="AN223" s="191"/>
      <c r="AQ223" s="179"/>
      <c r="AR223" s="192"/>
      <c r="AS223" s="192"/>
      <c r="AU223" s="192"/>
      <c r="AV223" s="192"/>
      <c r="AY223" s="179"/>
      <c r="BA223" s="192"/>
      <c r="BB223" s="192"/>
      <c r="BD223" s="192"/>
      <c r="BE223" s="192"/>
      <c r="BH223" s="179"/>
      <c r="BI223" s="192"/>
      <c r="BJ223" s="192"/>
      <c r="BL223" s="192"/>
      <c r="BM223" s="192"/>
      <c r="BP223" s="179"/>
    </row>
    <row r="224">
      <c r="B224" s="189"/>
      <c r="C224" s="189"/>
      <c r="E224" s="189"/>
      <c r="F224" s="189"/>
      <c r="I224" s="179"/>
      <c r="J224" s="189"/>
      <c r="K224" s="189"/>
      <c r="M224" s="189"/>
      <c r="N224" s="189"/>
      <c r="Q224" s="179"/>
      <c r="S224" s="189"/>
      <c r="T224" s="189"/>
      <c r="V224" s="189"/>
      <c r="W224" s="189"/>
      <c r="Z224" s="179"/>
      <c r="AA224" s="189"/>
      <c r="AB224" s="189"/>
      <c r="AD224" s="189"/>
      <c r="AE224" s="189"/>
      <c r="AH224" s="179"/>
      <c r="AJ224" s="191"/>
      <c r="AK224" s="191"/>
      <c r="AM224" s="191"/>
      <c r="AN224" s="191"/>
      <c r="AQ224" s="179"/>
      <c r="AR224" s="192"/>
      <c r="AS224" s="192"/>
      <c r="AU224" s="192"/>
      <c r="AV224" s="192"/>
      <c r="AY224" s="179"/>
      <c r="BA224" s="192"/>
      <c r="BB224" s="192"/>
      <c r="BD224" s="192"/>
      <c r="BE224" s="192"/>
      <c r="BH224" s="179"/>
      <c r="BI224" s="192"/>
      <c r="BJ224" s="192"/>
      <c r="BL224" s="192"/>
      <c r="BM224" s="192"/>
      <c r="BP224" s="179"/>
    </row>
    <row r="225">
      <c r="B225" s="189"/>
      <c r="C225" s="189"/>
      <c r="E225" s="189"/>
      <c r="F225" s="189"/>
      <c r="I225" s="179"/>
      <c r="J225" s="189"/>
      <c r="K225" s="189"/>
      <c r="M225" s="189"/>
      <c r="N225" s="189"/>
      <c r="Q225" s="179"/>
      <c r="S225" s="189"/>
      <c r="T225" s="189"/>
      <c r="V225" s="189"/>
      <c r="W225" s="189"/>
      <c r="Z225" s="179"/>
      <c r="AA225" s="189"/>
      <c r="AB225" s="189"/>
      <c r="AD225" s="189"/>
      <c r="AE225" s="189"/>
      <c r="AH225" s="179"/>
      <c r="AJ225" s="191"/>
      <c r="AK225" s="191"/>
      <c r="AM225" s="191"/>
      <c r="AN225" s="191"/>
      <c r="AQ225" s="179"/>
      <c r="AR225" s="192"/>
      <c r="AS225" s="192"/>
      <c r="AU225" s="192"/>
      <c r="AV225" s="192"/>
      <c r="AY225" s="179"/>
      <c r="BA225" s="192"/>
      <c r="BB225" s="192"/>
      <c r="BD225" s="192"/>
      <c r="BE225" s="192"/>
      <c r="BH225" s="179"/>
      <c r="BI225" s="192"/>
      <c r="BJ225" s="192"/>
      <c r="BL225" s="192"/>
      <c r="BM225" s="192"/>
      <c r="BP225" s="179"/>
    </row>
    <row r="226">
      <c r="B226" s="189"/>
      <c r="C226" s="189"/>
      <c r="E226" s="189"/>
      <c r="F226" s="189"/>
      <c r="I226" s="179"/>
      <c r="J226" s="189"/>
      <c r="K226" s="189"/>
      <c r="M226" s="189"/>
      <c r="N226" s="189"/>
      <c r="Q226" s="179"/>
      <c r="S226" s="189"/>
      <c r="T226" s="189"/>
      <c r="V226" s="189"/>
      <c r="W226" s="189"/>
      <c r="Z226" s="179"/>
      <c r="AA226" s="189"/>
      <c r="AB226" s="189"/>
      <c r="AD226" s="189"/>
      <c r="AE226" s="189"/>
      <c r="AH226" s="179"/>
      <c r="AJ226" s="191"/>
      <c r="AK226" s="191"/>
      <c r="AM226" s="191"/>
      <c r="AN226" s="191"/>
      <c r="AQ226" s="179"/>
      <c r="AR226" s="192"/>
      <c r="AS226" s="192"/>
      <c r="AU226" s="192"/>
      <c r="AV226" s="192"/>
      <c r="AY226" s="179"/>
      <c r="BA226" s="192"/>
      <c r="BB226" s="192"/>
      <c r="BD226" s="192"/>
      <c r="BE226" s="192"/>
      <c r="BH226" s="179"/>
      <c r="BI226" s="192"/>
      <c r="BJ226" s="192"/>
      <c r="BL226" s="192"/>
      <c r="BM226" s="192"/>
      <c r="BP226" s="179"/>
    </row>
    <row r="227">
      <c r="B227" s="189"/>
      <c r="C227" s="189"/>
      <c r="E227" s="189"/>
      <c r="F227" s="189"/>
      <c r="I227" s="179"/>
      <c r="J227" s="189"/>
      <c r="K227" s="189"/>
      <c r="M227" s="189"/>
      <c r="N227" s="189"/>
      <c r="Q227" s="179"/>
      <c r="S227" s="189"/>
      <c r="T227" s="189"/>
      <c r="V227" s="189"/>
      <c r="W227" s="189"/>
      <c r="Z227" s="179"/>
      <c r="AA227" s="189"/>
      <c r="AB227" s="189"/>
      <c r="AD227" s="189"/>
      <c r="AE227" s="189"/>
      <c r="AH227" s="179"/>
      <c r="AJ227" s="191"/>
      <c r="AK227" s="191"/>
      <c r="AM227" s="191"/>
      <c r="AN227" s="191"/>
      <c r="AQ227" s="179"/>
      <c r="AR227" s="192"/>
      <c r="AS227" s="192"/>
      <c r="AU227" s="192"/>
      <c r="AV227" s="192"/>
      <c r="AY227" s="179"/>
      <c r="BA227" s="192"/>
      <c r="BB227" s="192"/>
      <c r="BD227" s="192"/>
      <c r="BE227" s="192"/>
      <c r="BH227" s="179"/>
      <c r="BI227" s="192"/>
      <c r="BJ227" s="192"/>
      <c r="BL227" s="192"/>
      <c r="BM227" s="192"/>
      <c r="BP227" s="179"/>
    </row>
    <row r="228">
      <c r="B228" s="189"/>
      <c r="C228" s="189"/>
      <c r="E228" s="189"/>
      <c r="F228" s="189"/>
      <c r="I228" s="179"/>
      <c r="J228" s="189"/>
      <c r="K228" s="189"/>
      <c r="M228" s="189"/>
      <c r="N228" s="189"/>
      <c r="Q228" s="179"/>
      <c r="S228" s="189"/>
      <c r="T228" s="189"/>
      <c r="V228" s="189"/>
      <c r="W228" s="189"/>
      <c r="Z228" s="179"/>
      <c r="AA228" s="189"/>
      <c r="AB228" s="189"/>
      <c r="AD228" s="189"/>
      <c r="AE228" s="189"/>
      <c r="AH228" s="179"/>
      <c r="AJ228" s="191"/>
      <c r="AK228" s="191"/>
      <c r="AM228" s="191"/>
      <c r="AN228" s="191"/>
      <c r="AQ228" s="179"/>
      <c r="AR228" s="192"/>
      <c r="AS228" s="192"/>
      <c r="AU228" s="192"/>
      <c r="AV228" s="192"/>
      <c r="AY228" s="179"/>
      <c r="BA228" s="192"/>
      <c r="BB228" s="192"/>
      <c r="BD228" s="192"/>
      <c r="BE228" s="192"/>
      <c r="BH228" s="179"/>
      <c r="BI228" s="192"/>
      <c r="BJ228" s="192"/>
      <c r="BL228" s="192"/>
      <c r="BM228" s="192"/>
      <c r="BP228" s="179"/>
    </row>
    <row r="229">
      <c r="B229" s="189"/>
      <c r="C229" s="189"/>
      <c r="E229" s="189"/>
      <c r="F229" s="189"/>
      <c r="I229" s="179"/>
      <c r="J229" s="189"/>
      <c r="K229" s="189"/>
      <c r="M229" s="189"/>
      <c r="N229" s="189"/>
      <c r="Q229" s="179"/>
      <c r="S229" s="189"/>
      <c r="T229" s="189"/>
      <c r="V229" s="189"/>
      <c r="W229" s="189"/>
      <c r="Z229" s="179"/>
      <c r="AA229" s="189"/>
      <c r="AB229" s="189"/>
      <c r="AD229" s="189"/>
      <c r="AE229" s="189"/>
      <c r="AH229" s="179"/>
      <c r="AJ229" s="191"/>
      <c r="AK229" s="191"/>
      <c r="AM229" s="191"/>
      <c r="AN229" s="191"/>
      <c r="AQ229" s="179"/>
      <c r="AR229" s="192"/>
      <c r="AS229" s="192"/>
      <c r="AU229" s="192"/>
      <c r="AV229" s="192"/>
      <c r="AY229" s="179"/>
      <c r="BA229" s="192"/>
      <c r="BB229" s="192"/>
      <c r="BD229" s="192"/>
      <c r="BE229" s="192"/>
      <c r="BH229" s="179"/>
      <c r="BI229" s="192"/>
      <c r="BJ229" s="192"/>
      <c r="BL229" s="192"/>
      <c r="BM229" s="192"/>
      <c r="BP229" s="179"/>
    </row>
    <row r="230">
      <c r="B230" s="189"/>
      <c r="C230" s="189"/>
      <c r="E230" s="189"/>
      <c r="F230" s="189"/>
      <c r="I230" s="179"/>
      <c r="J230" s="189"/>
      <c r="K230" s="189"/>
      <c r="M230" s="189"/>
      <c r="N230" s="189"/>
      <c r="Q230" s="179"/>
      <c r="S230" s="189"/>
      <c r="T230" s="189"/>
      <c r="V230" s="189"/>
      <c r="W230" s="189"/>
      <c r="Z230" s="179"/>
      <c r="AA230" s="189"/>
      <c r="AB230" s="189"/>
      <c r="AD230" s="189"/>
      <c r="AE230" s="189"/>
      <c r="AH230" s="179"/>
      <c r="AJ230" s="191"/>
      <c r="AK230" s="191"/>
      <c r="AM230" s="191"/>
      <c r="AN230" s="191"/>
      <c r="AQ230" s="179"/>
      <c r="AR230" s="192"/>
      <c r="AS230" s="192"/>
      <c r="AU230" s="192"/>
      <c r="AV230" s="192"/>
      <c r="AY230" s="179"/>
      <c r="BA230" s="192"/>
      <c r="BB230" s="192"/>
      <c r="BD230" s="192"/>
      <c r="BE230" s="192"/>
      <c r="BH230" s="179"/>
      <c r="BI230" s="192"/>
      <c r="BJ230" s="192"/>
      <c r="BL230" s="192"/>
      <c r="BM230" s="192"/>
      <c r="BP230" s="179"/>
    </row>
    <row r="231">
      <c r="B231" s="189"/>
      <c r="C231" s="189"/>
      <c r="E231" s="189"/>
      <c r="F231" s="189"/>
      <c r="I231" s="179"/>
      <c r="J231" s="189"/>
      <c r="K231" s="189"/>
      <c r="M231" s="189"/>
      <c r="N231" s="189"/>
      <c r="Q231" s="179"/>
      <c r="S231" s="189"/>
      <c r="T231" s="189"/>
      <c r="V231" s="189"/>
      <c r="W231" s="189"/>
      <c r="Z231" s="179"/>
      <c r="AA231" s="189"/>
      <c r="AB231" s="189"/>
      <c r="AD231" s="189"/>
      <c r="AE231" s="189"/>
      <c r="AH231" s="179"/>
      <c r="AJ231" s="191"/>
      <c r="AK231" s="191"/>
      <c r="AM231" s="191"/>
      <c r="AN231" s="191"/>
      <c r="AQ231" s="179"/>
      <c r="AR231" s="192"/>
      <c r="AS231" s="192"/>
      <c r="AU231" s="192"/>
      <c r="AV231" s="192"/>
      <c r="AY231" s="179"/>
      <c r="BA231" s="192"/>
      <c r="BB231" s="192"/>
      <c r="BD231" s="192"/>
      <c r="BE231" s="192"/>
      <c r="BH231" s="179"/>
      <c r="BI231" s="192"/>
      <c r="BJ231" s="192"/>
      <c r="BL231" s="192"/>
      <c r="BM231" s="192"/>
      <c r="BP231" s="179"/>
    </row>
    <row r="232">
      <c r="B232" s="189"/>
      <c r="C232" s="189"/>
      <c r="E232" s="189"/>
      <c r="F232" s="189"/>
      <c r="I232" s="179"/>
      <c r="J232" s="189"/>
      <c r="K232" s="189"/>
      <c r="M232" s="189"/>
      <c r="N232" s="189"/>
      <c r="Q232" s="179"/>
      <c r="S232" s="189"/>
      <c r="T232" s="189"/>
      <c r="V232" s="189"/>
      <c r="W232" s="189"/>
      <c r="Z232" s="179"/>
      <c r="AA232" s="189"/>
      <c r="AB232" s="189"/>
      <c r="AD232" s="189"/>
      <c r="AE232" s="189"/>
      <c r="AH232" s="179"/>
      <c r="AJ232" s="191"/>
      <c r="AK232" s="191"/>
      <c r="AM232" s="191"/>
      <c r="AN232" s="191"/>
      <c r="AQ232" s="179"/>
      <c r="AR232" s="192"/>
      <c r="AS232" s="192"/>
      <c r="AU232" s="192"/>
      <c r="AV232" s="192"/>
      <c r="AY232" s="179"/>
      <c r="BA232" s="192"/>
      <c r="BB232" s="192"/>
      <c r="BD232" s="192"/>
      <c r="BE232" s="192"/>
      <c r="BH232" s="179"/>
      <c r="BI232" s="192"/>
      <c r="BJ232" s="192"/>
      <c r="BL232" s="192"/>
      <c r="BM232" s="192"/>
      <c r="BP232" s="179"/>
    </row>
    <row r="233">
      <c r="B233" s="189"/>
      <c r="C233" s="189"/>
      <c r="E233" s="189"/>
      <c r="F233" s="189"/>
      <c r="I233" s="179"/>
      <c r="J233" s="189"/>
      <c r="K233" s="189"/>
      <c r="M233" s="189"/>
      <c r="N233" s="189"/>
      <c r="Q233" s="179"/>
      <c r="S233" s="189"/>
      <c r="T233" s="189"/>
      <c r="V233" s="189"/>
      <c r="W233" s="189"/>
      <c r="Z233" s="179"/>
      <c r="AA233" s="189"/>
      <c r="AB233" s="189"/>
      <c r="AD233" s="189"/>
      <c r="AE233" s="189"/>
      <c r="AH233" s="179"/>
      <c r="AJ233" s="191"/>
      <c r="AK233" s="191"/>
      <c r="AM233" s="191"/>
      <c r="AN233" s="191"/>
      <c r="AQ233" s="179"/>
      <c r="AR233" s="192"/>
      <c r="AS233" s="192"/>
      <c r="AU233" s="192"/>
      <c r="AV233" s="192"/>
      <c r="AY233" s="179"/>
      <c r="BA233" s="192"/>
      <c r="BB233" s="192"/>
      <c r="BD233" s="192"/>
      <c r="BE233" s="192"/>
      <c r="BH233" s="179"/>
      <c r="BI233" s="192"/>
      <c r="BJ233" s="192"/>
      <c r="BL233" s="192"/>
      <c r="BM233" s="192"/>
      <c r="BP233" s="179"/>
    </row>
    <row r="234">
      <c r="B234" s="189"/>
      <c r="C234" s="189"/>
      <c r="E234" s="189"/>
      <c r="F234" s="189"/>
      <c r="I234" s="179"/>
      <c r="J234" s="189"/>
      <c r="K234" s="189"/>
      <c r="M234" s="189"/>
      <c r="N234" s="189"/>
      <c r="Q234" s="179"/>
      <c r="S234" s="189"/>
      <c r="T234" s="189"/>
      <c r="V234" s="189"/>
      <c r="W234" s="189"/>
      <c r="Z234" s="179"/>
      <c r="AA234" s="189"/>
      <c r="AB234" s="189"/>
      <c r="AD234" s="189"/>
      <c r="AE234" s="189"/>
      <c r="AH234" s="179"/>
      <c r="AJ234" s="191"/>
      <c r="AK234" s="191"/>
      <c r="AM234" s="191"/>
      <c r="AN234" s="191"/>
      <c r="AQ234" s="179"/>
      <c r="AR234" s="192"/>
      <c r="AS234" s="192"/>
      <c r="AU234" s="192"/>
      <c r="AV234" s="192"/>
      <c r="AY234" s="179"/>
      <c r="BA234" s="192"/>
      <c r="BB234" s="192"/>
      <c r="BD234" s="192"/>
      <c r="BE234" s="192"/>
      <c r="BH234" s="179"/>
      <c r="BI234" s="192"/>
      <c r="BJ234" s="192"/>
      <c r="BL234" s="192"/>
      <c r="BM234" s="192"/>
      <c r="BP234" s="179"/>
    </row>
    <row r="235">
      <c r="B235" s="189"/>
      <c r="C235" s="189"/>
      <c r="E235" s="189"/>
      <c r="F235" s="189"/>
      <c r="I235" s="179"/>
      <c r="J235" s="189"/>
      <c r="K235" s="189"/>
      <c r="M235" s="189"/>
      <c r="N235" s="189"/>
      <c r="Q235" s="179"/>
      <c r="S235" s="189"/>
      <c r="T235" s="189"/>
      <c r="V235" s="189"/>
      <c r="W235" s="189"/>
      <c r="Z235" s="179"/>
      <c r="AA235" s="189"/>
      <c r="AB235" s="189"/>
      <c r="AD235" s="189"/>
      <c r="AE235" s="189"/>
      <c r="AH235" s="179"/>
      <c r="AJ235" s="191"/>
      <c r="AK235" s="191"/>
      <c r="AM235" s="191"/>
      <c r="AN235" s="191"/>
      <c r="AQ235" s="179"/>
      <c r="AR235" s="192"/>
      <c r="AS235" s="192"/>
      <c r="AU235" s="192"/>
      <c r="AV235" s="192"/>
      <c r="AY235" s="179"/>
      <c r="BA235" s="192"/>
      <c r="BB235" s="192"/>
      <c r="BD235" s="192"/>
      <c r="BE235" s="192"/>
      <c r="BH235" s="179"/>
      <c r="BI235" s="192"/>
      <c r="BJ235" s="192"/>
      <c r="BL235" s="192"/>
      <c r="BM235" s="192"/>
      <c r="BP235" s="179"/>
    </row>
    <row r="236">
      <c r="B236" s="189"/>
      <c r="C236" s="189"/>
      <c r="E236" s="189"/>
      <c r="F236" s="189"/>
      <c r="I236" s="179"/>
      <c r="J236" s="189"/>
      <c r="K236" s="189"/>
      <c r="M236" s="189"/>
      <c r="N236" s="189"/>
      <c r="Q236" s="179"/>
      <c r="S236" s="189"/>
      <c r="T236" s="189"/>
      <c r="V236" s="189"/>
      <c r="W236" s="189"/>
      <c r="Z236" s="179"/>
      <c r="AA236" s="189"/>
      <c r="AB236" s="189"/>
      <c r="AD236" s="189"/>
      <c r="AE236" s="189"/>
      <c r="AH236" s="179"/>
      <c r="AJ236" s="191"/>
      <c r="AK236" s="191"/>
      <c r="AM236" s="191"/>
      <c r="AN236" s="191"/>
      <c r="AQ236" s="179"/>
      <c r="AR236" s="192"/>
      <c r="AS236" s="192"/>
      <c r="AU236" s="192"/>
      <c r="AV236" s="192"/>
      <c r="AY236" s="179"/>
      <c r="BA236" s="192"/>
      <c r="BB236" s="192"/>
      <c r="BD236" s="192"/>
      <c r="BE236" s="192"/>
      <c r="BH236" s="179"/>
      <c r="BI236" s="192"/>
      <c r="BJ236" s="192"/>
      <c r="BL236" s="192"/>
      <c r="BM236" s="192"/>
      <c r="BP236" s="179"/>
    </row>
    <row r="237">
      <c r="B237" s="189"/>
      <c r="C237" s="189"/>
      <c r="E237" s="189"/>
      <c r="F237" s="189"/>
      <c r="I237" s="179"/>
      <c r="J237" s="189"/>
      <c r="K237" s="189"/>
      <c r="M237" s="189"/>
      <c r="N237" s="189"/>
      <c r="Q237" s="179"/>
      <c r="S237" s="189"/>
      <c r="T237" s="189"/>
      <c r="V237" s="189"/>
      <c r="W237" s="189"/>
      <c r="Z237" s="179"/>
      <c r="AA237" s="189"/>
      <c r="AB237" s="189"/>
      <c r="AD237" s="189"/>
      <c r="AE237" s="189"/>
      <c r="AH237" s="179"/>
      <c r="AJ237" s="191"/>
      <c r="AK237" s="191"/>
      <c r="AM237" s="191"/>
      <c r="AN237" s="191"/>
      <c r="AQ237" s="179"/>
      <c r="AR237" s="192"/>
      <c r="AS237" s="192"/>
      <c r="AU237" s="192"/>
      <c r="AV237" s="192"/>
      <c r="AY237" s="179"/>
      <c r="BA237" s="192"/>
      <c r="BB237" s="192"/>
      <c r="BD237" s="192"/>
      <c r="BE237" s="192"/>
      <c r="BH237" s="179"/>
      <c r="BI237" s="192"/>
      <c r="BJ237" s="192"/>
      <c r="BL237" s="192"/>
      <c r="BM237" s="192"/>
      <c r="BP237" s="179"/>
    </row>
    <row r="238">
      <c r="B238" s="189"/>
      <c r="C238" s="189"/>
      <c r="E238" s="189"/>
      <c r="F238" s="189"/>
      <c r="I238" s="179"/>
      <c r="J238" s="189"/>
      <c r="K238" s="189"/>
      <c r="M238" s="189"/>
      <c r="N238" s="189"/>
      <c r="Q238" s="179"/>
      <c r="S238" s="189"/>
      <c r="T238" s="189"/>
      <c r="V238" s="189"/>
      <c r="W238" s="189"/>
      <c r="Z238" s="179"/>
      <c r="AA238" s="189"/>
      <c r="AB238" s="189"/>
      <c r="AD238" s="189"/>
      <c r="AE238" s="189"/>
      <c r="AH238" s="179"/>
      <c r="AJ238" s="191"/>
      <c r="AK238" s="191"/>
      <c r="AM238" s="191"/>
      <c r="AN238" s="191"/>
      <c r="AQ238" s="179"/>
      <c r="AR238" s="192"/>
      <c r="AS238" s="192"/>
      <c r="AU238" s="192"/>
      <c r="AV238" s="192"/>
      <c r="AY238" s="179"/>
      <c r="BA238" s="192"/>
      <c r="BB238" s="192"/>
      <c r="BD238" s="192"/>
      <c r="BE238" s="192"/>
      <c r="BH238" s="179"/>
      <c r="BI238" s="192"/>
      <c r="BJ238" s="192"/>
      <c r="BL238" s="192"/>
      <c r="BM238" s="192"/>
      <c r="BP238" s="179"/>
    </row>
    <row r="239">
      <c r="B239" s="189"/>
      <c r="C239" s="189"/>
      <c r="E239" s="189"/>
      <c r="F239" s="189"/>
      <c r="I239" s="179"/>
      <c r="J239" s="189"/>
      <c r="K239" s="189"/>
      <c r="M239" s="189"/>
      <c r="N239" s="189"/>
      <c r="Q239" s="179"/>
      <c r="S239" s="189"/>
      <c r="T239" s="189"/>
      <c r="V239" s="189"/>
      <c r="W239" s="189"/>
      <c r="Z239" s="179"/>
      <c r="AA239" s="189"/>
      <c r="AB239" s="189"/>
      <c r="AD239" s="189"/>
      <c r="AE239" s="189"/>
      <c r="AH239" s="179"/>
      <c r="AJ239" s="191"/>
      <c r="AK239" s="191"/>
      <c r="AM239" s="191"/>
      <c r="AN239" s="191"/>
      <c r="AQ239" s="179"/>
      <c r="AR239" s="192"/>
      <c r="AS239" s="192"/>
      <c r="AU239" s="192"/>
      <c r="AV239" s="192"/>
      <c r="AY239" s="179"/>
      <c r="BA239" s="192"/>
      <c r="BB239" s="192"/>
      <c r="BD239" s="192"/>
      <c r="BE239" s="192"/>
      <c r="BH239" s="179"/>
      <c r="BI239" s="192"/>
      <c r="BJ239" s="192"/>
      <c r="BL239" s="192"/>
      <c r="BM239" s="192"/>
      <c r="BP239" s="179"/>
    </row>
    <row r="240">
      <c r="B240" s="189"/>
      <c r="C240" s="189"/>
      <c r="E240" s="189"/>
      <c r="F240" s="189"/>
      <c r="I240" s="179"/>
      <c r="J240" s="189"/>
      <c r="K240" s="189"/>
      <c r="M240" s="189"/>
      <c r="N240" s="189"/>
      <c r="Q240" s="179"/>
      <c r="S240" s="189"/>
      <c r="T240" s="189"/>
      <c r="V240" s="189"/>
      <c r="W240" s="189"/>
      <c r="Z240" s="179"/>
      <c r="AA240" s="189"/>
      <c r="AB240" s="189"/>
      <c r="AD240" s="189"/>
      <c r="AE240" s="189"/>
      <c r="AH240" s="179"/>
      <c r="AJ240" s="191"/>
      <c r="AK240" s="191"/>
      <c r="AM240" s="191"/>
      <c r="AN240" s="191"/>
      <c r="AQ240" s="179"/>
      <c r="AR240" s="192"/>
      <c r="AS240" s="192"/>
      <c r="AU240" s="192"/>
      <c r="AV240" s="192"/>
      <c r="AY240" s="179"/>
      <c r="BA240" s="192"/>
      <c r="BB240" s="192"/>
      <c r="BD240" s="192"/>
      <c r="BE240" s="192"/>
      <c r="BH240" s="179"/>
      <c r="BI240" s="192"/>
      <c r="BJ240" s="192"/>
      <c r="BL240" s="192"/>
      <c r="BM240" s="192"/>
      <c r="BP240" s="179"/>
    </row>
    <row r="241">
      <c r="B241" s="189"/>
      <c r="C241" s="189"/>
      <c r="E241" s="189"/>
      <c r="F241" s="189"/>
      <c r="I241" s="179"/>
      <c r="J241" s="189"/>
      <c r="K241" s="189"/>
      <c r="M241" s="189"/>
      <c r="N241" s="189"/>
      <c r="Q241" s="179"/>
      <c r="S241" s="189"/>
      <c r="T241" s="189"/>
      <c r="V241" s="189"/>
      <c r="W241" s="189"/>
      <c r="Z241" s="179"/>
      <c r="AA241" s="189"/>
      <c r="AB241" s="189"/>
      <c r="AD241" s="189"/>
      <c r="AE241" s="189"/>
      <c r="AH241" s="179"/>
      <c r="AJ241" s="191"/>
      <c r="AK241" s="191"/>
      <c r="AM241" s="191"/>
      <c r="AN241" s="191"/>
      <c r="AQ241" s="179"/>
      <c r="AR241" s="192"/>
      <c r="AS241" s="192"/>
      <c r="AU241" s="192"/>
      <c r="AV241" s="192"/>
      <c r="AY241" s="179"/>
      <c r="BA241" s="192"/>
      <c r="BB241" s="192"/>
      <c r="BD241" s="192"/>
      <c r="BE241" s="192"/>
      <c r="BH241" s="179"/>
      <c r="BI241" s="192"/>
      <c r="BJ241" s="192"/>
      <c r="BL241" s="192"/>
      <c r="BM241" s="192"/>
      <c r="BP241" s="179"/>
    </row>
    <row r="242">
      <c r="B242" s="189"/>
      <c r="C242" s="189"/>
      <c r="E242" s="189"/>
      <c r="F242" s="189"/>
      <c r="I242" s="179"/>
      <c r="J242" s="189"/>
      <c r="K242" s="189"/>
      <c r="M242" s="189"/>
      <c r="N242" s="189"/>
      <c r="Q242" s="179"/>
      <c r="S242" s="189"/>
      <c r="T242" s="189"/>
      <c r="V242" s="189"/>
      <c r="W242" s="189"/>
      <c r="Z242" s="179"/>
      <c r="AA242" s="189"/>
      <c r="AB242" s="189"/>
      <c r="AD242" s="189"/>
      <c r="AE242" s="189"/>
      <c r="AH242" s="179"/>
      <c r="AJ242" s="191"/>
      <c r="AK242" s="191"/>
      <c r="AM242" s="191"/>
      <c r="AN242" s="191"/>
      <c r="AQ242" s="179"/>
      <c r="AR242" s="192"/>
      <c r="AS242" s="192"/>
      <c r="AU242" s="192"/>
      <c r="AV242" s="192"/>
      <c r="AY242" s="179"/>
      <c r="BA242" s="192"/>
      <c r="BB242" s="192"/>
      <c r="BD242" s="192"/>
      <c r="BE242" s="192"/>
      <c r="BH242" s="179"/>
      <c r="BI242" s="192"/>
      <c r="BJ242" s="192"/>
      <c r="BL242" s="192"/>
      <c r="BM242" s="192"/>
      <c r="BP242" s="179"/>
    </row>
    <row r="243">
      <c r="B243" s="189"/>
      <c r="C243" s="189"/>
      <c r="E243" s="189"/>
      <c r="F243" s="189"/>
      <c r="I243" s="179"/>
      <c r="J243" s="189"/>
      <c r="K243" s="189"/>
      <c r="M243" s="189"/>
      <c r="N243" s="189"/>
      <c r="Q243" s="179"/>
      <c r="S243" s="189"/>
      <c r="T243" s="189"/>
      <c r="V243" s="189"/>
      <c r="W243" s="189"/>
      <c r="Z243" s="179"/>
      <c r="AA243" s="189"/>
      <c r="AB243" s="189"/>
      <c r="AD243" s="189"/>
      <c r="AE243" s="189"/>
      <c r="AH243" s="179"/>
      <c r="AJ243" s="191"/>
      <c r="AK243" s="191"/>
      <c r="AM243" s="191"/>
      <c r="AN243" s="191"/>
      <c r="AQ243" s="179"/>
      <c r="AR243" s="192"/>
      <c r="AS243" s="192"/>
      <c r="AU243" s="192"/>
      <c r="AV243" s="192"/>
      <c r="AY243" s="179"/>
      <c r="BA243" s="192"/>
      <c r="BB243" s="192"/>
      <c r="BD243" s="192"/>
      <c r="BE243" s="192"/>
      <c r="BH243" s="179"/>
      <c r="BI243" s="192"/>
      <c r="BJ243" s="192"/>
      <c r="BL243" s="192"/>
      <c r="BM243" s="192"/>
      <c r="BP243" s="179"/>
    </row>
    <row r="244">
      <c r="B244" s="189"/>
      <c r="C244" s="189"/>
      <c r="E244" s="189"/>
      <c r="F244" s="189"/>
      <c r="I244" s="179"/>
      <c r="J244" s="189"/>
      <c r="K244" s="189"/>
      <c r="M244" s="189"/>
      <c r="N244" s="189"/>
      <c r="Q244" s="179"/>
      <c r="S244" s="189"/>
      <c r="T244" s="189"/>
      <c r="V244" s="189"/>
      <c r="W244" s="189"/>
      <c r="Z244" s="179"/>
      <c r="AA244" s="189"/>
      <c r="AB244" s="189"/>
      <c r="AD244" s="189"/>
      <c r="AE244" s="189"/>
      <c r="AH244" s="179"/>
      <c r="AJ244" s="191"/>
      <c r="AK244" s="191"/>
      <c r="AM244" s="191"/>
      <c r="AN244" s="191"/>
      <c r="AQ244" s="179"/>
      <c r="AR244" s="192"/>
      <c r="AS244" s="192"/>
      <c r="AU244" s="192"/>
      <c r="AV244" s="192"/>
      <c r="AY244" s="179"/>
      <c r="BA244" s="192"/>
      <c r="BB244" s="192"/>
      <c r="BD244" s="192"/>
      <c r="BE244" s="192"/>
      <c r="BH244" s="179"/>
      <c r="BI244" s="192"/>
      <c r="BJ244" s="192"/>
      <c r="BL244" s="192"/>
      <c r="BM244" s="192"/>
      <c r="BP244" s="179"/>
    </row>
    <row r="245">
      <c r="B245" s="189"/>
      <c r="C245" s="189"/>
      <c r="E245" s="189"/>
      <c r="F245" s="189"/>
      <c r="I245" s="179"/>
      <c r="J245" s="189"/>
      <c r="K245" s="189"/>
      <c r="M245" s="189"/>
      <c r="N245" s="189"/>
      <c r="Q245" s="179"/>
      <c r="S245" s="189"/>
      <c r="T245" s="189"/>
      <c r="V245" s="189"/>
      <c r="W245" s="189"/>
      <c r="Z245" s="179"/>
      <c r="AA245" s="189"/>
      <c r="AB245" s="189"/>
      <c r="AD245" s="189"/>
      <c r="AE245" s="189"/>
      <c r="AH245" s="179"/>
      <c r="AJ245" s="191"/>
      <c r="AK245" s="191"/>
      <c r="AM245" s="191"/>
      <c r="AN245" s="191"/>
      <c r="AQ245" s="179"/>
      <c r="AR245" s="192"/>
      <c r="AS245" s="192"/>
      <c r="AU245" s="192"/>
      <c r="AV245" s="192"/>
      <c r="AY245" s="179"/>
      <c r="BA245" s="192"/>
      <c r="BB245" s="192"/>
      <c r="BD245" s="192"/>
      <c r="BE245" s="192"/>
      <c r="BH245" s="179"/>
      <c r="BI245" s="192"/>
      <c r="BJ245" s="192"/>
      <c r="BL245" s="192"/>
      <c r="BM245" s="192"/>
      <c r="BP245" s="179"/>
    </row>
    <row r="246">
      <c r="B246" s="189"/>
      <c r="C246" s="189"/>
      <c r="E246" s="189"/>
      <c r="F246" s="189"/>
      <c r="I246" s="179"/>
      <c r="J246" s="189"/>
      <c r="K246" s="189"/>
      <c r="M246" s="189"/>
      <c r="N246" s="189"/>
      <c r="Q246" s="179"/>
      <c r="S246" s="189"/>
      <c r="T246" s="189"/>
      <c r="V246" s="189"/>
      <c r="W246" s="189"/>
      <c r="Z246" s="179"/>
      <c r="AA246" s="189"/>
      <c r="AB246" s="189"/>
      <c r="AD246" s="189"/>
      <c r="AE246" s="189"/>
      <c r="AH246" s="179"/>
      <c r="AJ246" s="191"/>
      <c r="AK246" s="191"/>
      <c r="AM246" s="191"/>
      <c r="AN246" s="191"/>
      <c r="AQ246" s="179"/>
      <c r="AR246" s="192"/>
      <c r="AS246" s="192"/>
      <c r="AU246" s="192"/>
      <c r="AV246" s="192"/>
      <c r="AY246" s="179"/>
      <c r="BA246" s="192"/>
      <c r="BB246" s="192"/>
      <c r="BD246" s="192"/>
      <c r="BE246" s="192"/>
      <c r="BH246" s="179"/>
      <c r="BI246" s="192"/>
      <c r="BJ246" s="192"/>
      <c r="BL246" s="192"/>
      <c r="BM246" s="192"/>
      <c r="BP246" s="179"/>
    </row>
    <row r="247">
      <c r="B247" s="189"/>
      <c r="C247" s="189"/>
      <c r="E247" s="189"/>
      <c r="F247" s="189"/>
      <c r="I247" s="179"/>
      <c r="J247" s="189"/>
      <c r="K247" s="189"/>
      <c r="M247" s="189"/>
      <c r="N247" s="189"/>
      <c r="Q247" s="179"/>
      <c r="S247" s="189"/>
      <c r="T247" s="189"/>
      <c r="V247" s="189"/>
      <c r="W247" s="189"/>
      <c r="Z247" s="179"/>
      <c r="AA247" s="189"/>
      <c r="AB247" s="189"/>
      <c r="AD247" s="189"/>
      <c r="AE247" s="189"/>
      <c r="AH247" s="179"/>
      <c r="AJ247" s="191"/>
      <c r="AK247" s="191"/>
      <c r="AM247" s="191"/>
      <c r="AN247" s="191"/>
      <c r="AQ247" s="179"/>
      <c r="AR247" s="192"/>
      <c r="AS247" s="192"/>
      <c r="AU247" s="192"/>
      <c r="AV247" s="192"/>
      <c r="AY247" s="179"/>
      <c r="BA247" s="192"/>
      <c r="BB247" s="192"/>
      <c r="BD247" s="192"/>
      <c r="BE247" s="192"/>
      <c r="BH247" s="179"/>
      <c r="BI247" s="192"/>
      <c r="BJ247" s="192"/>
      <c r="BL247" s="192"/>
      <c r="BM247" s="192"/>
      <c r="BP247" s="179"/>
    </row>
    <row r="248">
      <c r="B248" s="189"/>
      <c r="C248" s="189"/>
      <c r="E248" s="189"/>
      <c r="F248" s="189"/>
      <c r="I248" s="179"/>
      <c r="J248" s="189"/>
      <c r="K248" s="189"/>
      <c r="M248" s="189"/>
      <c r="N248" s="189"/>
      <c r="Q248" s="179"/>
      <c r="S248" s="189"/>
      <c r="T248" s="189"/>
      <c r="V248" s="189"/>
      <c r="W248" s="189"/>
      <c r="Z248" s="179"/>
      <c r="AA248" s="189"/>
      <c r="AB248" s="189"/>
      <c r="AD248" s="189"/>
      <c r="AE248" s="189"/>
      <c r="AH248" s="179"/>
      <c r="AJ248" s="191"/>
      <c r="AK248" s="191"/>
      <c r="AM248" s="191"/>
      <c r="AN248" s="191"/>
      <c r="AQ248" s="179"/>
      <c r="AR248" s="192"/>
      <c r="AS248" s="192"/>
      <c r="AU248" s="192"/>
      <c r="AV248" s="192"/>
      <c r="AY248" s="179"/>
      <c r="BA248" s="192"/>
      <c r="BB248" s="192"/>
      <c r="BD248" s="192"/>
      <c r="BE248" s="192"/>
      <c r="BH248" s="179"/>
      <c r="BI248" s="192"/>
      <c r="BJ248" s="192"/>
      <c r="BL248" s="192"/>
      <c r="BM248" s="192"/>
      <c r="BP248" s="179"/>
    </row>
    <row r="249">
      <c r="B249" s="189"/>
      <c r="C249" s="189"/>
      <c r="E249" s="189"/>
      <c r="F249" s="189"/>
      <c r="I249" s="179"/>
      <c r="J249" s="189"/>
      <c r="K249" s="189"/>
      <c r="M249" s="189"/>
      <c r="N249" s="189"/>
      <c r="Q249" s="179"/>
      <c r="S249" s="189"/>
      <c r="T249" s="189"/>
      <c r="V249" s="189"/>
      <c r="W249" s="189"/>
      <c r="Z249" s="179"/>
      <c r="AA249" s="189"/>
      <c r="AB249" s="189"/>
      <c r="AD249" s="189"/>
      <c r="AE249" s="189"/>
      <c r="AH249" s="179"/>
      <c r="AJ249" s="191"/>
      <c r="AK249" s="191"/>
      <c r="AM249" s="191"/>
      <c r="AN249" s="191"/>
      <c r="AQ249" s="179"/>
      <c r="AR249" s="192"/>
      <c r="AS249" s="192"/>
      <c r="AU249" s="192"/>
      <c r="AV249" s="192"/>
      <c r="AY249" s="179"/>
      <c r="BA249" s="192"/>
      <c r="BB249" s="192"/>
      <c r="BD249" s="192"/>
      <c r="BE249" s="192"/>
      <c r="BH249" s="179"/>
      <c r="BI249" s="192"/>
      <c r="BJ249" s="192"/>
      <c r="BL249" s="192"/>
      <c r="BM249" s="192"/>
      <c r="BP249" s="179"/>
    </row>
    <row r="250">
      <c r="B250" s="189"/>
      <c r="C250" s="189"/>
      <c r="E250" s="189"/>
      <c r="F250" s="189"/>
      <c r="I250" s="179"/>
      <c r="J250" s="189"/>
      <c r="K250" s="189"/>
      <c r="M250" s="189"/>
      <c r="N250" s="189"/>
      <c r="Q250" s="179"/>
      <c r="S250" s="189"/>
      <c r="T250" s="189"/>
      <c r="V250" s="189"/>
      <c r="W250" s="189"/>
      <c r="Z250" s="179"/>
      <c r="AA250" s="189"/>
      <c r="AB250" s="189"/>
      <c r="AD250" s="189"/>
      <c r="AE250" s="189"/>
      <c r="AH250" s="179"/>
      <c r="AJ250" s="191"/>
      <c r="AK250" s="191"/>
      <c r="AM250" s="191"/>
      <c r="AN250" s="191"/>
      <c r="AQ250" s="179"/>
      <c r="AR250" s="192"/>
      <c r="AS250" s="192"/>
      <c r="AU250" s="192"/>
      <c r="AV250" s="192"/>
      <c r="AY250" s="179"/>
      <c r="BA250" s="192"/>
      <c r="BB250" s="192"/>
      <c r="BD250" s="192"/>
      <c r="BE250" s="192"/>
      <c r="BH250" s="179"/>
      <c r="BI250" s="192"/>
      <c r="BJ250" s="192"/>
      <c r="BL250" s="192"/>
      <c r="BM250" s="192"/>
      <c r="BP250" s="179"/>
    </row>
    <row r="251">
      <c r="B251" s="189"/>
      <c r="C251" s="189"/>
      <c r="E251" s="189"/>
      <c r="F251" s="189"/>
      <c r="I251" s="179"/>
      <c r="J251" s="189"/>
      <c r="K251" s="189"/>
      <c r="M251" s="189"/>
      <c r="N251" s="189"/>
      <c r="Q251" s="179"/>
      <c r="S251" s="189"/>
      <c r="T251" s="189"/>
      <c r="V251" s="189"/>
      <c r="W251" s="189"/>
      <c r="Z251" s="179"/>
      <c r="AA251" s="189"/>
      <c r="AB251" s="189"/>
      <c r="AD251" s="189"/>
      <c r="AE251" s="189"/>
      <c r="AH251" s="179"/>
      <c r="AJ251" s="191"/>
      <c r="AK251" s="191"/>
      <c r="AM251" s="191"/>
      <c r="AN251" s="191"/>
      <c r="AQ251" s="179"/>
      <c r="AR251" s="192"/>
      <c r="AS251" s="192"/>
      <c r="AU251" s="192"/>
      <c r="AV251" s="192"/>
      <c r="AY251" s="179"/>
      <c r="BA251" s="192"/>
      <c r="BB251" s="192"/>
      <c r="BD251" s="192"/>
      <c r="BE251" s="192"/>
      <c r="BH251" s="179"/>
      <c r="BI251" s="192"/>
      <c r="BJ251" s="192"/>
      <c r="BL251" s="192"/>
      <c r="BM251" s="192"/>
      <c r="BP251" s="179"/>
    </row>
    <row r="252">
      <c r="B252" s="189"/>
      <c r="C252" s="189"/>
      <c r="E252" s="189"/>
      <c r="F252" s="189"/>
      <c r="I252" s="179"/>
      <c r="J252" s="189"/>
      <c r="K252" s="189"/>
      <c r="M252" s="189"/>
      <c r="N252" s="189"/>
      <c r="Q252" s="179"/>
      <c r="S252" s="189"/>
      <c r="T252" s="189"/>
      <c r="V252" s="189"/>
      <c r="W252" s="189"/>
      <c r="Z252" s="179"/>
      <c r="AA252" s="189"/>
      <c r="AB252" s="189"/>
      <c r="AD252" s="189"/>
      <c r="AE252" s="189"/>
      <c r="AH252" s="179"/>
      <c r="AJ252" s="191"/>
      <c r="AK252" s="191"/>
      <c r="AM252" s="191"/>
      <c r="AN252" s="191"/>
      <c r="AQ252" s="179"/>
      <c r="AR252" s="192"/>
      <c r="AS252" s="192"/>
      <c r="AU252" s="192"/>
      <c r="AV252" s="192"/>
      <c r="AY252" s="179"/>
      <c r="BA252" s="192"/>
      <c r="BB252" s="192"/>
      <c r="BD252" s="192"/>
      <c r="BE252" s="192"/>
      <c r="BH252" s="179"/>
      <c r="BI252" s="192"/>
      <c r="BJ252" s="192"/>
      <c r="BL252" s="192"/>
      <c r="BM252" s="192"/>
      <c r="BP252" s="179"/>
    </row>
    <row r="253">
      <c r="B253" s="189"/>
      <c r="C253" s="189"/>
      <c r="E253" s="189"/>
      <c r="F253" s="189"/>
      <c r="I253" s="179"/>
      <c r="J253" s="189"/>
      <c r="K253" s="189"/>
      <c r="M253" s="189"/>
      <c r="N253" s="189"/>
      <c r="Q253" s="179"/>
      <c r="S253" s="189"/>
      <c r="T253" s="189"/>
      <c r="V253" s="189"/>
      <c r="W253" s="189"/>
      <c r="Z253" s="179"/>
      <c r="AA253" s="189"/>
      <c r="AB253" s="189"/>
      <c r="AD253" s="189"/>
      <c r="AE253" s="189"/>
      <c r="AH253" s="179"/>
      <c r="AJ253" s="191"/>
      <c r="AK253" s="191"/>
      <c r="AM253" s="191"/>
      <c r="AN253" s="191"/>
      <c r="AQ253" s="179"/>
      <c r="AR253" s="192"/>
      <c r="AS253" s="192"/>
      <c r="AU253" s="192"/>
      <c r="AV253" s="192"/>
      <c r="AY253" s="179"/>
      <c r="BA253" s="192"/>
      <c r="BB253" s="192"/>
      <c r="BD253" s="192"/>
      <c r="BE253" s="192"/>
      <c r="BH253" s="179"/>
      <c r="BI253" s="192"/>
      <c r="BJ253" s="192"/>
      <c r="BL253" s="192"/>
      <c r="BM253" s="192"/>
      <c r="BP253" s="179"/>
    </row>
    <row r="254">
      <c r="B254" s="189"/>
      <c r="C254" s="189"/>
      <c r="E254" s="189"/>
      <c r="F254" s="189"/>
      <c r="I254" s="179"/>
      <c r="J254" s="189"/>
      <c r="K254" s="189"/>
      <c r="M254" s="189"/>
      <c r="N254" s="189"/>
      <c r="Q254" s="179"/>
      <c r="S254" s="189"/>
      <c r="T254" s="189"/>
      <c r="V254" s="189"/>
      <c r="W254" s="189"/>
      <c r="Z254" s="179"/>
      <c r="AA254" s="189"/>
      <c r="AB254" s="189"/>
      <c r="AD254" s="189"/>
      <c r="AE254" s="189"/>
      <c r="AH254" s="179"/>
      <c r="AJ254" s="191"/>
      <c r="AK254" s="191"/>
      <c r="AM254" s="191"/>
      <c r="AN254" s="191"/>
      <c r="AQ254" s="179"/>
      <c r="AR254" s="192"/>
      <c r="AS254" s="192"/>
      <c r="AU254" s="192"/>
      <c r="AV254" s="192"/>
      <c r="AY254" s="179"/>
      <c r="BA254" s="192"/>
      <c r="BB254" s="192"/>
      <c r="BD254" s="192"/>
      <c r="BE254" s="192"/>
      <c r="BH254" s="179"/>
      <c r="BI254" s="192"/>
      <c r="BJ254" s="192"/>
      <c r="BL254" s="192"/>
      <c r="BM254" s="192"/>
      <c r="BP254" s="179"/>
    </row>
    <row r="255">
      <c r="B255" s="189"/>
      <c r="C255" s="189"/>
      <c r="E255" s="189"/>
      <c r="F255" s="189"/>
      <c r="I255" s="179"/>
      <c r="J255" s="189"/>
      <c r="K255" s="189"/>
      <c r="M255" s="189"/>
      <c r="N255" s="189"/>
      <c r="Q255" s="179"/>
      <c r="S255" s="189"/>
      <c r="T255" s="189"/>
      <c r="V255" s="189"/>
      <c r="W255" s="189"/>
      <c r="Z255" s="179"/>
      <c r="AA255" s="189"/>
      <c r="AB255" s="189"/>
      <c r="AD255" s="189"/>
      <c r="AE255" s="189"/>
      <c r="AH255" s="179"/>
      <c r="AJ255" s="191"/>
      <c r="AK255" s="191"/>
      <c r="AM255" s="191"/>
      <c r="AN255" s="191"/>
      <c r="AQ255" s="179"/>
      <c r="AR255" s="192"/>
      <c r="AS255" s="192"/>
      <c r="AU255" s="192"/>
      <c r="AV255" s="192"/>
      <c r="AY255" s="179"/>
      <c r="BA255" s="192"/>
      <c r="BB255" s="192"/>
      <c r="BD255" s="192"/>
      <c r="BE255" s="192"/>
      <c r="BH255" s="179"/>
      <c r="BI255" s="192"/>
      <c r="BJ255" s="192"/>
      <c r="BL255" s="192"/>
      <c r="BM255" s="192"/>
      <c r="BP255" s="179"/>
    </row>
    <row r="256">
      <c r="B256" s="189"/>
      <c r="C256" s="189"/>
      <c r="E256" s="189"/>
      <c r="F256" s="189"/>
      <c r="I256" s="179"/>
      <c r="J256" s="189"/>
      <c r="K256" s="189"/>
      <c r="M256" s="189"/>
      <c r="N256" s="189"/>
      <c r="Q256" s="179"/>
      <c r="S256" s="189"/>
      <c r="T256" s="189"/>
      <c r="V256" s="189"/>
      <c r="W256" s="189"/>
      <c r="Z256" s="179"/>
      <c r="AA256" s="189"/>
      <c r="AB256" s="189"/>
      <c r="AD256" s="189"/>
      <c r="AE256" s="189"/>
      <c r="AH256" s="179"/>
      <c r="AJ256" s="191"/>
      <c r="AK256" s="191"/>
      <c r="AM256" s="191"/>
      <c r="AN256" s="191"/>
      <c r="AQ256" s="179"/>
      <c r="AR256" s="192"/>
      <c r="AS256" s="192"/>
      <c r="AU256" s="192"/>
      <c r="AV256" s="192"/>
      <c r="AY256" s="179"/>
      <c r="BA256" s="192"/>
      <c r="BB256" s="192"/>
      <c r="BD256" s="192"/>
      <c r="BE256" s="192"/>
      <c r="BH256" s="179"/>
      <c r="BI256" s="192"/>
      <c r="BJ256" s="192"/>
      <c r="BL256" s="192"/>
      <c r="BM256" s="192"/>
      <c r="BP256" s="179"/>
    </row>
    <row r="257">
      <c r="B257" s="189"/>
      <c r="C257" s="189"/>
      <c r="E257" s="189"/>
      <c r="F257" s="189"/>
      <c r="I257" s="179"/>
      <c r="J257" s="189"/>
      <c r="K257" s="189"/>
      <c r="M257" s="189"/>
      <c r="N257" s="189"/>
      <c r="Q257" s="179"/>
      <c r="S257" s="189"/>
      <c r="T257" s="189"/>
      <c r="V257" s="189"/>
      <c r="W257" s="189"/>
      <c r="Z257" s="179"/>
      <c r="AA257" s="189"/>
      <c r="AB257" s="189"/>
      <c r="AD257" s="189"/>
      <c r="AE257" s="189"/>
      <c r="AH257" s="179"/>
      <c r="AJ257" s="191"/>
      <c r="AK257" s="191"/>
      <c r="AM257" s="191"/>
      <c r="AN257" s="191"/>
      <c r="AQ257" s="179"/>
      <c r="AR257" s="192"/>
      <c r="AS257" s="192"/>
      <c r="AU257" s="192"/>
      <c r="AV257" s="192"/>
      <c r="AY257" s="179"/>
      <c r="BA257" s="192"/>
      <c r="BB257" s="192"/>
      <c r="BD257" s="192"/>
      <c r="BE257" s="192"/>
      <c r="BH257" s="179"/>
      <c r="BI257" s="192"/>
      <c r="BJ257" s="192"/>
      <c r="BL257" s="192"/>
      <c r="BM257" s="192"/>
      <c r="BP257" s="179"/>
    </row>
    <row r="258">
      <c r="B258" s="189"/>
      <c r="C258" s="189"/>
      <c r="E258" s="189"/>
      <c r="F258" s="189"/>
      <c r="I258" s="179"/>
      <c r="J258" s="189"/>
      <c r="K258" s="189"/>
      <c r="M258" s="189"/>
      <c r="N258" s="189"/>
      <c r="Q258" s="179"/>
      <c r="S258" s="189"/>
      <c r="T258" s="189"/>
      <c r="V258" s="189"/>
      <c r="W258" s="189"/>
      <c r="Z258" s="179"/>
      <c r="AA258" s="189"/>
      <c r="AB258" s="189"/>
      <c r="AD258" s="189"/>
      <c r="AE258" s="189"/>
      <c r="AH258" s="179"/>
      <c r="AJ258" s="191"/>
      <c r="AK258" s="191"/>
      <c r="AM258" s="191"/>
      <c r="AN258" s="191"/>
      <c r="AQ258" s="179"/>
      <c r="AR258" s="192"/>
      <c r="AS258" s="192"/>
      <c r="AU258" s="192"/>
      <c r="AV258" s="192"/>
      <c r="AY258" s="179"/>
      <c r="BA258" s="192"/>
      <c r="BB258" s="192"/>
      <c r="BD258" s="192"/>
      <c r="BE258" s="192"/>
      <c r="BH258" s="179"/>
      <c r="BI258" s="192"/>
      <c r="BJ258" s="192"/>
      <c r="BL258" s="192"/>
      <c r="BM258" s="192"/>
      <c r="BP258" s="179"/>
    </row>
    <row r="259">
      <c r="B259" s="189"/>
      <c r="C259" s="189"/>
      <c r="E259" s="189"/>
      <c r="F259" s="189"/>
      <c r="I259" s="179"/>
      <c r="J259" s="189"/>
      <c r="K259" s="189"/>
      <c r="M259" s="189"/>
      <c r="N259" s="189"/>
      <c r="Q259" s="179"/>
      <c r="S259" s="189"/>
      <c r="T259" s="189"/>
      <c r="V259" s="189"/>
      <c r="W259" s="189"/>
      <c r="Z259" s="179"/>
      <c r="AA259" s="189"/>
      <c r="AB259" s="189"/>
      <c r="AD259" s="189"/>
      <c r="AE259" s="189"/>
      <c r="AH259" s="179"/>
      <c r="AJ259" s="191"/>
      <c r="AK259" s="191"/>
      <c r="AM259" s="191"/>
      <c r="AN259" s="191"/>
      <c r="AQ259" s="179"/>
      <c r="AR259" s="192"/>
      <c r="AS259" s="192"/>
      <c r="AU259" s="192"/>
      <c r="AV259" s="192"/>
      <c r="AY259" s="179"/>
      <c r="BA259" s="192"/>
      <c r="BB259" s="192"/>
      <c r="BD259" s="192"/>
      <c r="BE259" s="192"/>
      <c r="BH259" s="179"/>
      <c r="BI259" s="192"/>
      <c r="BJ259" s="192"/>
      <c r="BL259" s="192"/>
      <c r="BM259" s="192"/>
      <c r="BP259" s="179"/>
    </row>
    <row r="260">
      <c r="B260" s="189"/>
      <c r="C260" s="189"/>
      <c r="E260" s="189"/>
      <c r="F260" s="189"/>
      <c r="I260" s="179"/>
      <c r="J260" s="189"/>
      <c r="K260" s="189"/>
      <c r="M260" s="189"/>
      <c r="N260" s="189"/>
      <c r="Q260" s="179"/>
      <c r="S260" s="189"/>
      <c r="T260" s="189"/>
      <c r="V260" s="189"/>
      <c r="W260" s="189"/>
      <c r="Z260" s="179"/>
      <c r="AA260" s="189"/>
      <c r="AB260" s="189"/>
      <c r="AD260" s="189"/>
      <c r="AE260" s="189"/>
      <c r="AH260" s="179"/>
      <c r="AJ260" s="191"/>
      <c r="AK260" s="191"/>
      <c r="AM260" s="191"/>
      <c r="AN260" s="191"/>
      <c r="AQ260" s="179"/>
      <c r="AR260" s="192"/>
      <c r="AS260" s="192"/>
      <c r="AU260" s="192"/>
      <c r="AV260" s="192"/>
      <c r="AY260" s="179"/>
      <c r="BA260" s="192"/>
      <c r="BB260" s="192"/>
      <c r="BD260" s="192"/>
      <c r="BE260" s="192"/>
      <c r="BH260" s="179"/>
      <c r="BI260" s="192"/>
      <c r="BJ260" s="192"/>
      <c r="BL260" s="192"/>
      <c r="BM260" s="192"/>
      <c r="BP260" s="179"/>
    </row>
    <row r="261">
      <c r="B261" s="189"/>
      <c r="C261" s="189"/>
      <c r="E261" s="189"/>
      <c r="F261" s="189"/>
      <c r="I261" s="179"/>
      <c r="J261" s="189"/>
      <c r="K261" s="189"/>
      <c r="M261" s="189"/>
      <c r="N261" s="189"/>
      <c r="Q261" s="179"/>
      <c r="S261" s="189"/>
      <c r="T261" s="189"/>
      <c r="V261" s="189"/>
      <c r="W261" s="189"/>
      <c r="Z261" s="179"/>
      <c r="AA261" s="189"/>
      <c r="AB261" s="189"/>
      <c r="AD261" s="189"/>
      <c r="AE261" s="189"/>
      <c r="AH261" s="179"/>
      <c r="AJ261" s="191"/>
      <c r="AK261" s="191"/>
      <c r="AM261" s="191"/>
      <c r="AN261" s="191"/>
      <c r="AQ261" s="179"/>
      <c r="AR261" s="192"/>
      <c r="AS261" s="192"/>
      <c r="AU261" s="192"/>
      <c r="AV261" s="192"/>
      <c r="AY261" s="179"/>
      <c r="BA261" s="192"/>
      <c r="BB261" s="192"/>
      <c r="BD261" s="192"/>
      <c r="BE261" s="192"/>
      <c r="BH261" s="179"/>
      <c r="BI261" s="192"/>
      <c r="BJ261" s="192"/>
      <c r="BL261" s="192"/>
      <c r="BM261" s="192"/>
      <c r="BP261" s="179"/>
    </row>
    <row r="262">
      <c r="B262" s="189"/>
      <c r="C262" s="189"/>
      <c r="E262" s="189"/>
      <c r="F262" s="189"/>
      <c r="I262" s="179"/>
      <c r="J262" s="189"/>
      <c r="K262" s="189"/>
      <c r="M262" s="189"/>
      <c r="N262" s="189"/>
      <c r="Q262" s="179"/>
      <c r="S262" s="189"/>
      <c r="T262" s="189"/>
      <c r="V262" s="189"/>
      <c r="W262" s="189"/>
      <c r="Z262" s="179"/>
      <c r="AA262" s="189"/>
      <c r="AB262" s="189"/>
      <c r="AD262" s="189"/>
      <c r="AE262" s="189"/>
      <c r="AH262" s="179"/>
      <c r="AJ262" s="191"/>
      <c r="AK262" s="191"/>
      <c r="AM262" s="191"/>
      <c r="AN262" s="191"/>
      <c r="AQ262" s="179"/>
      <c r="AR262" s="192"/>
      <c r="AS262" s="192"/>
      <c r="AU262" s="192"/>
      <c r="AV262" s="192"/>
      <c r="AY262" s="179"/>
      <c r="BA262" s="192"/>
      <c r="BB262" s="192"/>
      <c r="BD262" s="192"/>
      <c r="BE262" s="192"/>
      <c r="BH262" s="179"/>
      <c r="BI262" s="192"/>
      <c r="BJ262" s="192"/>
      <c r="BL262" s="192"/>
      <c r="BM262" s="192"/>
      <c r="BP262" s="179"/>
    </row>
    <row r="263">
      <c r="B263" s="189"/>
      <c r="C263" s="189"/>
      <c r="E263" s="189"/>
      <c r="F263" s="189"/>
      <c r="I263" s="179"/>
      <c r="J263" s="189"/>
      <c r="K263" s="189"/>
      <c r="M263" s="189"/>
      <c r="N263" s="189"/>
      <c r="Q263" s="179"/>
      <c r="S263" s="189"/>
      <c r="T263" s="189"/>
      <c r="V263" s="189"/>
      <c r="W263" s="189"/>
      <c r="Z263" s="179"/>
      <c r="AA263" s="189"/>
      <c r="AB263" s="189"/>
      <c r="AD263" s="189"/>
      <c r="AE263" s="189"/>
      <c r="AH263" s="179"/>
      <c r="AJ263" s="191"/>
      <c r="AK263" s="191"/>
      <c r="AM263" s="191"/>
      <c r="AN263" s="191"/>
      <c r="AQ263" s="179"/>
      <c r="AR263" s="192"/>
      <c r="AS263" s="192"/>
      <c r="AU263" s="192"/>
      <c r="AV263" s="192"/>
      <c r="AY263" s="179"/>
      <c r="BA263" s="192"/>
      <c r="BB263" s="192"/>
      <c r="BD263" s="192"/>
      <c r="BE263" s="192"/>
      <c r="BH263" s="179"/>
      <c r="BI263" s="192"/>
      <c r="BJ263" s="192"/>
      <c r="BL263" s="192"/>
      <c r="BM263" s="192"/>
      <c r="BP263" s="179"/>
    </row>
    <row r="264">
      <c r="B264" s="189"/>
      <c r="C264" s="189"/>
      <c r="E264" s="189"/>
      <c r="F264" s="189"/>
      <c r="I264" s="179"/>
      <c r="J264" s="189"/>
      <c r="K264" s="189"/>
      <c r="M264" s="189"/>
      <c r="N264" s="189"/>
      <c r="Q264" s="179"/>
      <c r="S264" s="189"/>
      <c r="T264" s="189"/>
      <c r="V264" s="189"/>
      <c r="W264" s="189"/>
      <c r="Z264" s="179"/>
      <c r="AA264" s="189"/>
      <c r="AB264" s="189"/>
      <c r="AD264" s="189"/>
      <c r="AE264" s="189"/>
      <c r="AH264" s="179"/>
      <c r="AJ264" s="191"/>
      <c r="AK264" s="191"/>
      <c r="AM264" s="191"/>
      <c r="AN264" s="191"/>
      <c r="AQ264" s="179"/>
      <c r="AR264" s="192"/>
      <c r="AS264" s="192"/>
      <c r="AU264" s="192"/>
      <c r="AV264" s="192"/>
      <c r="AY264" s="179"/>
      <c r="BA264" s="192"/>
      <c r="BB264" s="192"/>
      <c r="BD264" s="192"/>
      <c r="BE264" s="192"/>
      <c r="BH264" s="179"/>
      <c r="BI264" s="192"/>
      <c r="BJ264" s="192"/>
      <c r="BL264" s="192"/>
      <c r="BM264" s="192"/>
      <c r="BP264" s="179"/>
    </row>
    <row r="265">
      <c r="B265" s="189"/>
      <c r="C265" s="189"/>
      <c r="E265" s="189"/>
      <c r="F265" s="189"/>
      <c r="I265" s="179"/>
      <c r="J265" s="189"/>
      <c r="K265" s="189"/>
      <c r="M265" s="189"/>
      <c r="N265" s="189"/>
      <c r="Q265" s="179"/>
      <c r="S265" s="189"/>
      <c r="T265" s="189"/>
      <c r="V265" s="189"/>
      <c r="W265" s="189"/>
      <c r="Z265" s="179"/>
      <c r="AA265" s="189"/>
      <c r="AB265" s="189"/>
      <c r="AD265" s="189"/>
      <c r="AE265" s="189"/>
      <c r="AH265" s="179"/>
      <c r="AJ265" s="191"/>
      <c r="AK265" s="191"/>
      <c r="AM265" s="191"/>
      <c r="AN265" s="191"/>
      <c r="AQ265" s="179"/>
      <c r="AR265" s="192"/>
      <c r="AS265" s="192"/>
      <c r="AU265" s="192"/>
      <c r="AV265" s="192"/>
      <c r="AY265" s="179"/>
      <c r="BA265" s="192"/>
      <c r="BB265" s="192"/>
      <c r="BD265" s="192"/>
      <c r="BE265" s="192"/>
      <c r="BH265" s="179"/>
      <c r="BI265" s="192"/>
      <c r="BJ265" s="192"/>
      <c r="BL265" s="192"/>
      <c r="BM265" s="192"/>
      <c r="BP265" s="179"/>
    </row>
    <row r="266">
      <c r="B266" s="189"/>
      <c r="C266" s="189"/>
      <c r="E266" s="189"/>
      <c r="F266" s="189"/>
      <c r="I266" s="179"/>
      <c r="J266" s="189"/>
      <c r="K266" s="189"/>
      <c r="M266" s="189"/>
      <c r="N266" s="189"/>
      <c r="Q266" s="179"/>
      <c r="S266" s="189"/>
      <c r="T266" s="189"/>
      <c r="V266" s="189"/>
      <c r="W266" s="189"/>
      <c r="Z266" s="179"/>
      <c r="AA266" s="189"/>
      <c r="AB266" s="189"/>
      <c r="AD266" s="189"/>
      <c r="AE266" s="189"/>
      <c r="AH266" s="179"/>
      <c r="AJ266" s="191"/>
      <c r="AK266" s="191"/>
      <c r="AM266" s="191"/>
      <c r="AN266" s="191"/>
      <c r="AQ266" s="179"/>
      <c r="AR266" s="192"/>
      <c r="AS266" s="192"/>
      <c r="AU266" s="192"/>
      <c r="AV266" s="192"/>
      <c r="AY266" s="179"/>
      <c r="BA266" s="192"/>
      <c r="BB266" s="192"/>
      <c r="BD266" s="192"/>
      <c r="BE266" s="192"/>
      <c r="BH266" s="179"/>
      <c r="BI266" s="192"/>
      <c r="BJ266" s="192"/>
      <c r="BL266" s="192"/>
      <c r="BM266" s="192"/>
      <c r="BP266" s="179"/>
    </row>
    <row r="267">
      <c r="B267" s="189"/>
      <c r="C267" s="189"/>
      <c r="E267" s="189"/>
      <c r="F267" s="189"/>
      <c r="I267" s="179"/>
      <c r="J267" s="189"/>
      <c r="K267" s="189"/>
      <c r="M267" s="189"/>
      <c r="N267" s="189"/>
      <c r="Q267" s="179"/>
      <c r="S267" s="189"/>
      <c r="T267" s="189"/>
      <c r="V267" s="189"/>
      <c r="W267" s="189"/>
      <c r="Z267" s="179"/>
      <c r="AA267" s="189"/>
      <c r="AB267" s="189"/>
      <c r="AD267" s="189"/>
      <c r="AE267" s="189"/>
      <c r="AH267" s="179"/>
      <c r="AJ267" s="191"/>
      <c r="AK267" s="191"/>
      <c r="AM267" s="191"/>
      <c r="AN267" s="191"/>
      <c r="AQ267" s="179"/>
      <c r="AR267" s="192"/>
      <c r="AS267" s="192"/>
      <c r="AU267" s="192"/>
      <c r="AV267" s="192"/>
      <c r="AY267" s="179"/>
      <c r="BA267" s="192"/>
      <c r="BB267" s="192"/>
      <c r="BD267" s="192"/>
      <c r="BE267" s="192"/>
      <c r="BH267" s="179"/>
      <c r="BI267" s="192"/>
      <c r="BJ267" s="192"/>
      <c r="BL267" s="192"/>
      <c r="BM267" s="192"/>
      <c r="BP267" s="179"/>
    </row>
    <row r="268">
      <c r="B268" s="189"/>
      <c r="C268" s="189"/>
      <c r="E268" s="189"/>
      <c r="F268" s="189"/>
      <c r="I268" s="179"/>
      <c r="J268" s="189"/>
      <c r="K268" s="189"/>
      <c r="M268" s="189"/>
      <c r="N268" s="189"/>
      <c r="Q268" s="179"/>
      <c r="S268" s="189"/>
      <c r="T268" s="189"/>
      <c r="V268" s="189"/>
      <c r="W268" s="189"/>
      <c r="Z268" s="179"/>
      <c r="AA268" s="189"/>
      <c r="AB268" s="189"/>
      <c r="AD268" s="189"/>
      <c r="AE268" s="189"/>
      <c r="AH268" s="179"/>
      <c r="AJ268" s="191"/>
      <c r="AK268" s="191"/>
      <c r="AM268" s="191"/>
      <c r="AN268" s="191"/>
      <c r="AQ268" s="179"/>
      <c r="AR268" s="192"/>
      <c r="AS268" s="192"/>
      <c r="AU268" s="192"/>
      <c r="AV268" s="192"/>
      <c r="AY268" s="179"/>
      <c r="BA268" s="192"/>
      <c r="BB268" s="192"/>
      <c r="BD268" s="192"/>
      <c r="BE268" s="192"/>
      <c r="BH268" s="179"/>
      <c r="BI268" s="192"/>
      <c r="BJ268" s="192"/>
      <c r="BL268" s="192"/>
      <c r="BM268" s="192"/>
      <c r="BP268" s="179"/>
    </row>
    <row r="269">
      <c r="B269" s="189"/>
      <c r="C269" s="189"/>
      <c r="E269" s="189"/>
      <c r="F269" s="189"/>
      <c r="I269" s="179"/>
      <c r="J269" s="189"/>
      <c r="K269" s="189"/>
      <c r="M269" s="189"/>
      <c r="N269" s="189"/>
      <c r="Q269" s="179"/>
      <c r="S269" s="189"/>
      <c r="T269" s="189"/>
      <c r="V269" s="189"/>
      <c r="W269" s="189"/>
      <c r="Z269" s="179"/>
      <c r="AA269" s="189"/>
      <c r="AB269" s="189"/>
      <c r="AD269" s="189"/>
      <c r="AE269" s="189"/>
      <c r="AH269" s="179"/>
      <c r="AJ269" s="191"/>
      <c r="AK269" s="191"/>
      <c r="AM269" s="191"/>
      <c r="AN269" s="191"/>
      <c r="AQ269" s="179"/>
      <c r="AR269" s="192"/>
      <c r="AS269" s="192"/>
      <c r="AU269" s="192"/>
      <c r="AV269" s="192"/>
      <c r="AY269" s="179"/>
      <c r="BA269" s="192"/>
      <c r="BB269" s="192"/>
      <c r="BD269" s="192"/>
      <c r="BE269" s="192"/>
      <c r="BH269" s="179"/>
      <c r="BI269" s="192"/>
      <c r="BJ269" s="192"/>
      <c r="BL269" s="192"/>
      <c r="BM269" s="192"/>
      <c r="BP269" s="179"/>
    </row>
    <row r="270">
      <c r="B270" s="189"/>
      <c r="C270" s="189"/>
      <c r="E270" s="189"/>
      <c r="F270" s="189"/>
      <c r="I270" s="179"/>
      <c r="J270" s="189"/>
      <c r="K270" s="189"/>
      <c r="M270" s="189"/>
      <c r="N270" s="189"/>
      <c r="Q270" s="179"/>
      <c r="S270" s="189"/>
      <c r="T270" s="189"/>
      <c r="V270" s="189"/>
      <c r="W270" s="189"/>
      <c r="Z270" s="179"/>
      <c r="AA270" s="189"/>
      <c r="AB270" s="189"/>
      <c r="AD270" s="189"/>
      <c r="AE270" s="189"/>
      <c r="AH270" s="179"/>
      <c r="AJ270" s="191"/>
      <c r="AK270" s="191"/>
      <c r="AM270" s="191"/>
      <c r="AN270" s="191"/>
      <c r="AQ270" s="179"/>
      <c r="AR270" s="192"/>
      <c r="AS270" s="192"/>
      <c r="AU270" s="192"/>
      <c r="AV270" s="192"/>
      <c r="AY270" s="179"/>
      <c r="BA270" s="192"/>
      <c r="BB270" s="192"/>
      <c r="BD270" s="192"/>
      <c r="BE270" s="192"/>
      <c r="BH270" s="179"/>
      <c r="BI270" s="192"/>
      <c r="BJ270" s="192"/>
      <c r="BL270" s="192"/>
      <c r="BM270" s="192"/>
      <c r="BP270" s="179"/>
    </row>
    <row r="271">
      <c r="B271" s="189"/>
      <c r="C271" s="189"/>
      <c r="E271" s="189"/>
      <c r="F271" s="189"/>
      <c r="I271" s="179"/>
      <c r="J271" s="189"/>
      <c r="K271" s="189"/>
      <c r="M271" s="189"/>
      <c r="N271" s="189"/>
      <c r="Q271" s="179"/>
      <c r="S271" s="189"/>
      <c r="T271" s="189"/>
      <c r="V271" s="189"/>
      <c r="W271" s="189"/>
      <c r="Z271" s="179"/>
      <c r="AA271" s="189"/>
      <c r="AB271" s="189"/>
      <c r="AD271" s="189"/>
      <c r="AE271" s="189"/>
      <c r="AH271" s="179"/>
      <c r="AJ271" s="191"/>
      <c r="AK271" s="191"/>
      <c r="AM271" s="191"/>
      <c r="AN271" s="191"/>
      <c r="AQ271" s="179"/>
      <c r="AR271" s="192"/>
      <c r="AS271" s="192"/>
      <c r="AU271" s="192"/>
      <c r="AV271" s="192"/>
      <c r="AY271" s="179"/>
      <c r="BA271" s="192"/>
      <c r="BB271" s="192"/>
      <c r="BD271" s="192"/>
      <c r="BE271" s="192"/>
      <c r="BH271" s="179"/>
      <c r="BI271" s="192"/>
      <c r="BJ271" s="192"/>
      <c r="BL271" s="192"/>
      <c r="BM271" s="192"/>
      <c r="BP271" s="179"/>
    </row>
    <row r="272">
      <c r="B272" s="189"/>
      <c r="C272" s="189"/>
      <c r="E272" s="189"/>
      <c r="F272" s="189"/>
      <c r="I272" s="179"/>
      <c r="J272" s="189"/>
      <c r="K272" s="189"/>
      <c r="M272" s="189"/>
      <c r="N272" s="189"/>
      <c r="Q272" s="179"/>
      <c r="S272" s="189"/>
      <c r="T272" s="189"/>
      <c r="V272" s="189"/>
      <c r="W272" s="189"/>
      <c r="Z272" s="179"/>
      <c r="AA272" s="189"/>
      <c r="AB272" s="189"/>
      <c r="AD272" s="189"/>
      <c r="AE272" s="189"/>
      <c r="AH272" s="179"/>
      <c r="AJ272" s="191"/>
      <c r="AK272" s="191"/>
      <c r="AM272" s="191"/>
      <c r="AN272" s="191"/>
      <c r="AQ272" s="179"/>
      <c r="AR272" s="192"/>
      <c r="AS272" s="192"/>
      <c r="AU272" s="192"/>
      <c r="AV272" s="192"/>
      <c r="AY272" s="179"/>
      <c r="BA272" s="192"/>
      <c r="BB272" s="192"/>
      <c r="BD272" s="192"/>
      <c r="BE272" s="192"/>
      <c r="BH272" s="179"/>
      <c r="BI272" s="192"/>
      <c r="BJ272" s="192"/>
      <c r="BL272" s="192"/>
      <c r="BM272" s="192"/>
      <c r="BP272" s="179"/>
    </row>
    <row r="273">
      <c r="B273" s="189"/>
      <c r="C273" s="189"/>
      <c r="E273" s="189"/>
      <c r="F273" s="189"/>
      <c r="I273" s="179"/>
      <c r="J273" s="189"/>
      <c r="K273" s="189"/>
      <c r="M273" s="189"/>
      <c r="N273" s="189"/>
      <c r="Q273" s="179"/>
      <c r="S273" s="189"/>
      <c r="T273" s="189"/>
      <c r="V273" s="189"/>
      <c r="W273" s="189"/>
      <c r="Z273" s="179"/>
      <c r="AA273" s="189"/>
      <c r="AB273" s="189"/>
      <c r="AD273" s="189"/>
      <c r="AE273" s="189"/>
      <c r="AH273" s="179"/>
      <c r="AJ273" s="191"/>
      <c r="AK273" s="191"/>
      <c r="AM273" s="191"/>
      <c r="AN273" s="191"/>
      <c r="AQ273" s="179"/>
      <c r="AR273" s="192"/>
      <c r="AS273" s="192"/>
      <c r="AU273" s="192"/>
      <c r="AV273" s="192"/>
      <c r="AY273" s="179"/>
      <c r="BA273" s="192"/>
      <c r="BB273" s="192"/>
      <c r="BD273" s="192"/>
      <c r="BE273" s="192"/>
      <c r="BH273" s="179"/>
      <c r="BI273" s="192"/>
      <c r="BJ273" s="192"/>
      <c r="BL273" s="192"/>
      <c r="BM273" s="192"/>
      <c r="BP273" s="179"/>
    </row>
    <row r="274">
      <c r="B274" s="189"/>
      <c r="C274" s="189"/>
      <c r="E274" s="189"/>
      <c r="F274" s="189"/>
      <c r="I274" s="179"/>
      <c r="J274" s="189"/>
      <c r="K274" s="189"/>
      <c r="M274" s="189"/>
      <c r="N274" s="189"/>
      <c r="Q274" s="179"/>
      <c r="S274" s="189"/>
      <c r="T274" s="189"/>
      <c r="V274" s="189"/>
      <c r="W274" s="189"/>
      <c r="Z274" s="179"/>
      <c r="AA274" s="189"/>
      <c r="AB274" s="189"/>
      <c r="AD274" s="189"/>
      <c r="AE274" s="189"/>
      <c r="AH274" s="179"/>
      <c r="AJ274" s="191"/>
      <c r="AK274" s="191"/>
      <c r="AM274" s="191"/>
      <c r="AN274" s="191"/>
      <c r="AQ274" s="179"/>
      <c r="AR274" s="192"/>
      <c r="AS274" s="192"/>
      <c r="AU274" s="192"/>
      <c r="AV274" s="192"/>
      <c r="AY274" s="179"/>
      <c r="BA274" s="192"/>
      <c r="BB274" s="192"/>
      <c r="BD274" s="192"/>
      <c r="BE274" s="192"/>
      <c r="BH274" s="179"/>
      <c r="BI274" s="192"/>
      <c r="BJ274" s="192"/>
      <c r="BL274" s="192"/>
      <c r="BM274" s="192"/>
      <c r="BP274" s="179"/>
    </row>
    <row r="275">
      <c r="B275" s="189"/>
      <c r="C275" s="189"/>
      <c r="E275" s="189"/>
      <c r="F275" s="189"/>
      <c r="I275" s="179"/>
      <c r="J275" s="189"/>
      <c r="K275" s="189"/>
      <c r="M275" s="189"/>
      <c r="N275" s="189"/>
      <c r="Q275" s="179"/>
      <c r="S275" s="189"/>
      <c r="T275" s="189"/>
      <c r="V275" s="189"/>
      <c r="W275" s="189"/>
      <c r="Z275" s="179"/>
      <c r="AA275" s="189"/>
      <c r="AB275" s="189"/>
      <c r="AD275" s="189"/>
      <c r="AE275" s="189"/>
      <c r="AH275" s="179"/>
      <c r="AJ275" s="191"/>
      <c r="AK275" s="191"/>
      <c r="AM275" s="191"/>
      <c r="AN275" s="191"/>
      <c r="AQ275" s="179"/>
      <c r="AR275" s="192"/>
      <c r="AS275" s="192"/>
      <c r="AU275" s="192"/>
      <c r="AV275" s="192"/>
      <c r="AY275" s="179"/>
      <c r="BA275" s="192"/>
      <c r="BB275" s="192"/>
      <c r="BD275" s="192"/>
      <c r="BE275" s="192"/>
      <c r="BH275" s="179"/>
      <c r="BI275" s="192"/>
      <c r="BJ275" s="192"/>
      <c r="BL275" s="192"/>
      <c r="BM275" s="192"/>
      <c r="BP275" s="179"/>
    </row>
    <row r="276">
      <c r="B276" s="189"/>
      <c r="C276" s="189"/>
      <c r="E276" s="189"/>
      <c r="F276" s="189"/>
      <c r="I276" s="179"/>
      <c r="J276" s="189"/>
      <c r="K276" s="189"/>
      <c r="M276" s="189"/>
      <c r="N276" s="189"/>
      <c r="Q276" s="179"/>
      <c r="S276" s="189"/>
      <c r="T276" s="189"/>
      <c r="V276" s="189"/>
      <c r="W276" s="189"/>
      <c r="Z276" s="179"/>
      <c r="AA276" s="189"/>
      <c r="AB276" s="189"/>
      <c r="AD276" s="189"/>
      <c r="AE276" s="189"/>
      <c r="AH276" s="179"/>
      <c r="AJ276" s="191"/>
      <c r="AK276" s="191"/>
      <c r="AM276" s="191"/>
      <c r="AN276" s="191"/>
      <c r="AQ276" s="179"/>
      <c r="AR276" s="192"/>
      <c r="AS276" s="192"/>
      <c r="AU276" s="192"/>
      <c r="AV276" s="192"/>
      <c r="AY276" s="179"/>
      <c r="BA276" s="192"/>
      <c r="BB276" s="192"/>
      <c r="BD276" s="192"/>
      <c r="BE276" s="192"/>
      <c r="BH276" s="179"/>
      <c r="BI276" s="192"/>
      <c r="BJ276" s="192"/>
      <c r="BL276" s="192"/>
      <c r="BM276" s="192"/>
      <c r="BP276" s="179"/>
    </row>
    <row r="277">
      <c r="B277" s="189"/>
      <c r="C277" s="189"/>
      <c r="E277" s="189"/>
      <c r="F277" s="189"/>
      <c r="I277" s="179"/>
      <c r="J277" s="189"/>
      <c r="K277" s="189"/>
      <c r="M277" s="189"/>
      <c r="N277" s="189"/>
      <c r="Q277" s="179"/>
      <c r="S277" s="189"/>
      <c r="T277" s="189"/>
      <c r="V277" s="189"/>
      <c r="W277" s="189"/>
      <c r="Z277" s="179"/>
      <c r="AA277" s="189"/>
      <c r="AB277" s="189"/>
      <c r="AD277" s="189"/>
      <c r="AE277" s="189"/>
      <c r="AH277" s="179"/>
      <c r="AJ277" s="191"/>
      <c r="AK277" s="191"/>
      <c r="AM277" s="191"/>
      <c r="AN277" s="191"/>
      <c r="AQ277" s="179"/>
      <c r="AR277" s="192"/>
      <c r="AS277" s="192"/>
      <c r="AU277" s="192"/>
      <c r="AV277" s="192"/>
      <c r="AY277" s="179"/>
      <c r="BA277" s="192"/>
      <c r="BB277" s="192"/>
      <c r="BD277" s="192"/>
      <c r="BE277" s="192"/>
      <c r="BH277" s="179"/>
      <c r="BI277" s="192"/>
      <c r="BJ277" s="192"/>
      <c r="BL277" s="192"/>
      <c r="BM277" s="192"/>
      <c r="BP277" s="179"/>
    </row>
    <row r="278">
      <c r="B278" s="189"/>
      <c r="C278" s="189"/>
      <c r="E278" s="189"/>
      <c r="F278" s="189"/>
      <c r="I278" s="179"/>
      <c r="J278" s="189"/>
      <c r="K278" s="189"/>
      <c r="M278" s="189"/>
      <c r="N278" s="189"/>
      <c r="Q278" s="179"/>
      <c r="S278" s="189"/>
      <c r="T278" s="189"/>
      <c r="V278" s="189"/>
      <c r="W278" s="189"/>
      <c r="Z278" s="179"/>
      <c r="AA278" s="189"/>
      <c r="AB278" s="189"/>
      <c r="AD278" s="189"/>
      <c r="AE278" s="189"/>
      <c r="AH278" s="179"/>
      <c r="AJ278" s="191"/>
      <c r="AK278" s="191"/>
      <c r="AM278" s="191"/>
      <c r="AN278" s="191"/>
      <c r="AQ278" s="179"/>
      <c r="AR278" s="192"/>
      <c r="AS278" s="192"/>
      <c r="AU278" s="192"/>
      <c r="AV278" s="192"/>
      <c r="AY278" s="179"/>
      <c r="BA278" s="192"/>
      <c r="BB278" s="192"/>
      <c r="BD278" s="192"/>
      <c r="BE278" s="192"/>
      <c r="BH278" s="179"/>
      <c r="BI278" s="192"/>
      <c r="BJ278" s="192"/>
      <c r="BL278" s="192"/>
      <c r="BM278" s="192"/>
      <c r="BP278" s="179"/>
    </row>
    <row r="279">
      <c r="B279" s="189"/>
      <c r="C279" s="189"/>
      <c r="E279" s="189"/>
      <c r="F279" s="189"/>
      <c r="I279" s="179"/>
      <c r="J279" s="189"/>
      <c r="K279" s="189"/>
      <c r="M279" s="189"/>
      <c r="N279" s="189"/>
      <c r="Q279" s="179"/>
      <c r="S279" s="189"/>
      <c r="T279" s="189"/>
      <c r="V279" s="189"/>
      <c r="W279" s="189"/>
      <c r="Z279" s="179"/>
      <c r="AA279" s="189"/>
      <c r="AB279" s="189"/>
      <c r="AD279" s="189"/>
      <c r="AE279" s="189"/>
      <c r="AH279" s="179"/>
      <c r="AJ279" s="191"/>
      <c r="AK279" s="191"/>
      <c r="AM279" s="191"/>
      <c r="AN279" s="191"/>
      <c r="AQ279" s="179"/>
      <c r="AR279" s="192"/>
      <c r="AS279" s="192"/>
      <c r="AU279" s="192"/>
      <c r="AV279" s="192"/>
      <c r="AY279" s="179"/>
      <c r="BA279" s="192"/>
      <c r="BB279" s="192"/>
      <c r="BD279" s="192"/>
      <c r="BE279" s="192"/>
      <c r="BH279" s="179"/>
      <c r="BI279" s="192"/>
      <c r="BJ279" s="192"/>
      <c r="BL279" s="192"/>
      <c r="BM279" s="192"/>
      <c r="BP279" s="179"/>
    </row>
    <row r="280">
      <c r="B280" s="189"/>
      <c r="C280" s="189"/>
      <c r="E280" s="189"/>
      <c r="F280" s="189"/>
      <c r="I280" s="179"/>
      <c r="J280" s="189"/>
      <c r="K280" s="189"/>
      <c r="M280" s="189"/>
      <c r="N280" s="189"/>
      <c r="Q280" s="179"/>
      <c r="S280" s="189"/>
      <c r="T280" s="189"/>
      <c r="V280" s="189"/>
      <c r="W280" s="189"/>
      <c r="Z280" s="179"/>
      <c r="AA280" s="189"/>
      <c r="AB280" s="189"/>
      <c r="AD280" s="189"/>
      <c r="AE280" s="189"/>
      <c r="AH280" s="179"/>
      <c r="AJ280" s="191"/>
      <c r="AK280" s="191"/>
      <c r="AM280" s="191"/>
      <c r="AN280" s="191"/>
      <c r="AQ280" s="179"/>
      <c r="AR280" s="192"/>
      <c r="AS280" s="192"/>
      <c r="AU280" s="192"/>
      <c r="AV280" s="192"/>
      <c r="AY280" s="179"/>
      <c r="BA280" s="192"/>
      <c r="BB280" s="192"/>
      <c r="BD280" s="192"/>
      <c r="BE280" s="192"/>
      <c r="BH280" s="179"/>
      <c r="BI280" s="192"/>
      <c r="BJ280" s="192"/>
      <c r="BL280" s="192"/>
      <c r="BM280" s="192"/>
      <c r="BP280" s="179"/>
    </row>
    <row r="281">
      <c r="B281" s="189"/>
      <c r="C281" s="189"/>
      <c r="E281" s="189"/>
      <c r="F281" s="189"/>
      <c r="I281" s="179"/>
      <c r="J281" s="189"/>
      <c r="K281" s="189"/>
      <c r="M281" s="189"/>
      <c r="N281" s="189"/>
      <c r="Q281" s="179"/>
      <c r="S281" s="189"/>
      <c r="T281" s="189"/>
      <c r="V281" s="189"/>
      <c r="W281" s="189"/>
      <c r="Z281" s="179"/>
      <c r="AA281" s="189"/>
      <c r="AB281" s="189"/>
      <c r="AD281" s="189"/>
      <c r="AE281" s="189"/>
      <c r="AH281" s="179"/>
      <c r="AJ281" s="191"/>
      <c r="AK281" s="191"/>
      <c r="AM281" s="191"/>
      <c r="AN281" s="191"/>
      <c r="AQ281" s="179"/>
      <c r="AR281" s="192"/>
      <c r="AS281" s="192"/>
      <c r="AU281" s="192"/>
      <c r="AV281" s="192"/>
      <c r="AY281" s="179"/>
      <c r="BA281" s="192"/>
      <c r="BB281" s="192"/>
      <c r="BD281" s="192"/>
      <c r="BE281" s="192"/>
      <c r="BH281" s="179"/>
      <c r="BI281" s="192"/>
      <c r="BJ281" s="192"/>
      <c r="BL281" s="192"/>
      <c r="BM281" s="192"/>
      <c r="BP281" s="179"/>
    </row>
    <row r="282">
      <c r="B282" s="189"/>
      <c r="C282" s="189"/>
      <c r="E282" s="189"/>
      <c r="F282" s="189"/>
      <c r="I282" s="179"/>
      <c r="J282" s="189"/>
      <c r="K282" s="189"/>
      <c r="M282" s="189"/>
      <c r="N282" s="189"/>
      <c r="Q282" s="179"/>
      <c r="S282" s="189"/>
      <c r="T282" s="189"/>
      <c r="V282" s="189"/>
      <c r="W282" s="189"/>
      <c r="Z282" s="179"/>
      <c r="AA282" s="189"/>
      <c r="AB282" s="189"/>
      <c r="AD282" s="189"/>
      <c r="AE282" s="189"/>
      <c r="AH282" s="179"/>
      <c r="AJ282" s="191"/>
      <c r="AK282" s="191"/>
      <c r="AM282" s="191"/>
      <c r="AN282" s="191"/>
      <c r="AQ282" s="179"/>
      <c r="AR282" s="192"/>
      <c r="AS282" s="192"/>
      <c r="AU282" s="192"/>
      <c r="AV282" s="192"/>
      <c r="AY282" s="179"/>
      <c r="BA282" s="192"/>
      <c r="BB282" s="192"/>
      <c r="BD282" s="192"/>
      <c r="BE282" s="192"/>
      <c r="BH282" s="179"/>
      <c r="BI282" s="192"/>
      <c r="BJ282" s="192"/>
      <c r="BL282" s="192"/>
      <c r="BM282" s="192"/>
      <c r="BP282" s="179"/>
    </row>
    <row r="283">
      <c r="B283" s="189"/>
      <c r="C283" s="189"/>
      <c r="E283" s="189"/>
      <c r="F283" s="189"/>
      <c r="I283" s="179"/>
      <c r="J283" s="189"/>
      <c r="K283" s="189"/>
      <c r="M283" s="189"/>
      <c r="N283" s="189"/>
      <c r="Q283" s="179"/>
      <c r="S283" s="189"/>
      <c r="T283" s="189"/>
      <c r="V283" s="189"/>
      <c r="W283" s="189"/>
      <c r="Z283" s="179"/>
      <c r="AA283" s="189"/>
      <c r="AB283" s="189"/>
      <c r="AD283" s="189"/>
      <c r="AE283" s="189"/>
      <c r="AH283" s="179"/>
      <c r="AJ283" s="191"/>
      <c r="AK283" s="191"/>
      <c r="AM283" s="191"/>
      <c r="AN283" s="191"/>
      <c r="AQ283" s="179"/>
      <c r="AR283" s="192"/>
      <c r="AS283" s="192"/>
      <c r="AU283" s="192"/>
      <c r="AV283" s="192"/>
      <c r="AY283" s="179"/>
      <c r="BA283" s="192"/>
      <c r="BB283" s="192"/>
      <c r="BD283" s="192"/>
      <c r="BE283" s="192"/>
      <c r="BH283" s="179"/>
      <c r="BI283" s="192"/>
      <c r="BJ283" s="192"/>
      <c r="BL283" s="192"/>
      <c r="BM283" s="192"/>
      <c r="BP283" s="179"/>
    </row>
    <row r="284">
      <c r="B284" s="189"/>
      <c r="C284" s="189"/>
      <c r="E284" s="189"/>
      <c r="F284" s="189"/>
      <c r="I284" s="179"/>
      <c r="J284" s="189"/>
      <c r="K284" s="189"/>
      <c r="M284" s="189"/>
      <c r="N284" s="189"/>
      <c r="Q284" s="179"/>
      <c r="S284" s="189"/>
      <c r="T284" s="189"/>
      <c r="V284" s="189"/>
      <c r="W284" s="189"/>
      <c r="Z284" s="179"/>
      <c r="AA284" s="189"/>
      <c r="AB284" s="189"/>
      <c r="AD284" s="189"/>
      <c r="AE284" s="189"/>
      <c r="AH284" s="179"/>
      <c r="AJ284" s="191"/>
      <c r="AK284" s="191"/>
      <c r="AM284" s="191"/>
      <c r="AN284" s="191"/>
      <c r="AQ284" s="179"/>
      <c r="AR284" s="192"/>
      <c r="AS284" s="192"/>
      <c r="AU284" s="192"/>
      <c r="AV284" s="192"/>
      <c r="AY284" s="179"/>
      <c r="BA284" s="192"/>
      <c r="BB284" s="192"/>
      <c r="BD284" s="192"/>
      <c r="BE284" s="192"/>
      <c r="BH284" s="179"/>
      <c r="BI284" s="192"/>
      <c r="BJ284" s="192"/>
      <c r="BL284" s="192"/>
      <c r="BM284" s="192"/>
      <c r="BP284" s="179"/>
    </row>
    <row r="285">
      <c r="B285" s="189"/>
      <c r="C285" s="189"/>
      <c r="E285" s="189"/>
      <c r="F285" s="189"/>
      <c r="I285" s="179"/>
      <c r="J285" s="189"/>
      <c r="K285" s="189"/>
      <c r="M285" s="189"/>
      <c r="N285" s="189"/>
      <c r="Q285" s="179"/>
      <c r="S285" s="189"/>
      <c r="T285" s="189"/>
      <c r="V285" s="189"/>
      <c r="W285" s="189"/>
      <c r="Z285" s="179"/>
      <c r="AA285" s="189"/>
      <c r="AB285" s="189"/>
      <c r="AD285" s="189"/>
      <c r="AE285" s="189"/>
      <c r="AH285" s="179"/>
      <c r="AJ285" s="191"/>
      <c r="AK285" s="191"/>
      <c r="AM285" s="191"/>
      <c r="AN285" s="191"/>
      <c r="AQ285" s="179"/>
      <c r="AR285" s="192"/>
      <c r="AS285" s="192"/>
      <c r="AU285" s="192"/>
      <c r="AV285" s="192"/>
      <c r="AY285" s="179"/>
      <c r="BA285" s="192"/>
      <c r="BB285" s="192"/>
      <c r="BD285" s="192"/>
      <c r="BE285" s="192"/>
      <c r="BH285" s="179"/>
      <c r="BI285" s="192"/>
      <c r="BJ285" s="192"/>
      <c r="BL285" s="192"/>
      <c r="BM285" s="192"/>
      <c r="BP285" s="179"/>
    </row>
    <row r="286">
      <c r="B286" s="189"/>
      <c r="C286" s="189"/>
      <c r="E286" s="189"/>
      <c r="F286" s="189"/>
      <c r="I286" s="179"/>
      <c r="J286" s="189"/>
      <c r="K286" s="189"/>
      <c r="M286" s="189"/>
      <c r="N286" s="189"/>
      <c r="Q286" s="179"/>
      <c r="S286" s="189"/>
      <c r="T286" s="189"/>
      <c r="V286" s="189"/>
      <c r="W286" s="189"/>
      <c r="Z286" s="179"/>
      <c r="AA286" s="189"/>
      <c r="AB286" s="189"/>
      <c r="AD286" s="189"/>
      <c r="AE286" s="189"/>
      <c r="AH286" s="179"/>
      <c r="AJ286" s="191"/>
      <c r="AK286" s="191"/>
      <c r="AM286" s="191"/>
      <c r="AN286" s="191"/>
      <c r="AQ286" s="179"/>
      <c r="AR286" s="192"/>
      <c r="AS286" s="192"/>
      <c r="AU286" s="192"/>
      <c r="AV286" s="192"/>
      <c r="AY286" s="179"/>
      <c r="BA286" s="192"/>
      <c r="BB286" s="192"/>
      <c r="BD286" s="192"/>
      <c r="BE286" s="192"/>
      <c r="BH286" s="179"/>
      <c r="BI286" s="192"/>
      <c r="BJ286" s="192"/>
      <c r="BL286" s="192"/>
      <c r="BM286" s="192"/>
      <c r="BP286" s="179"/>
    </row>
    <row r="287">
      <c r="B287" s="189"/>
      <c r="C287" s="189"/>
      <c r="E287" s="189"/>
      <c r="F287" s="189"/>
      <c r="I287" s="179"/>
      <c r="J287" s="189"/>
      <c r="K287" s="189"/>
      <c r="M287" s="189"/>
      <c r="N287" s="189"/>
      <c r="Q287" s="179"/>
      <c r="S287" s="189"/>
      <c r="T287" s="189"/>
      <c r="V287" s="189"/>
      <c r="W287" s="189"/>
      <c r="Z287" s="179"/>
      <c r="AA287" s="189"/>
      <c r="AB287" s="189"/>
      <c r="AD287" s="189"/>
      <c r="AE287" s="189"/>
      <c r="AH287" s="179"/>
      <c r="AJ287" s="191"/>
      <c r="AK287" s="191"/>
      <c r="AM287" s="191"/>
      <c r="AN287" s="191"/>
      <c r="AQ287" s="179"/>
      <c r="AR287" s="192"/>
      <c r="AS287" s="192"/>
      <c r="AU287" s="192"/>
      <c r="AV287" s="192"/>
      <c r="AY287" s="179"/>
      <c r="BA287" s="192"/>
      <c r="BB287" s="192"/>
      <c r="BD287" s="192"/>
      <c r="BE287" s="192"/>
      <c r="BH287" s="179"/>
      <c r="BI287" s="192"/>
      <c r="BJ287" s="192"/>
      <c r="BL287" s="192"/>
      <c r="BM287" s="192"/>
      <c r="BP287" s="179"/>
    </row>
    <row r="288">
      <c r="B288" s="189"/>
      <c r="C288" s="189"/>
      <c r="E288" s="189"/>
      <c r="F288" s="189"/>
      <c r="I288" s="179"/>
      <c r="J288" s="189"/>
      <c r="K288" s="189"/>
      <c r="M288" s="189"/>
      <c r="N288" s="189"/>
      <c r="Q288" s="179"/>
      <c r="S288" s="189"/>
      <c r="T288" s="189"/>
      <c r="V288" s="189"/>
      <c r="W288" s="189"/>
      <c r="Z288" s="179"/>
      <c r="AA288" s="189"/>
      <c r="AB288" s="189"/>
      <c r="AD288" s="189"/>
      <c r="AE288" s="189"/>
      <c r="AH288" s="179"/>
      <c r="AJ288" s="191"/>
      <c r="AK288" s="191"/>
      <c r="AM288" s="191"/>
      <c r="AN288" s="191"/>
      <c r="AQ288" s="179"/>
      <c r="AR288" s="192"/>
      <c r="AS288" s="192"/>
      <c r="AU288" s="192"/>
      <c r="AV288" s="192"/>
      <c r="AY288" s="179"/>
      <c r="BA288" s="192"/>
      <c r="BB288" s="192"/>
      <c r="BD288" s="192"/>
      <c r="BE288" s="192"/>
      <c r="BH288" s="179"/>
      <c r="BI288" s="192"/>
      <c r="BJ288" s="192"/>
      <c r="BL288" s="192"/>
      <c r="BM288" s="192"/>
      <c r="BP288" s="179"/>
    </row>
    <row r="289">
      <c r="B289" s="189"/>
      <c r="C289" s="189"/>
      <c r="E289" s="189"/>
      <c r="F289" s="189"/>
      <c r="I289" s="179"/>
      <c r="J289" s="189"/>
      <c r="K289" s="189"/>
      <c r="M289" s="189"/>
      <c r="N289" s="189"/>
      <c r="Q289" s="179"/>
      <c r="S289" s="189"/>
      <c r="T289" s="189"/>
      <c r="V289" s="189"/>
      <c r="W289" s="189"/>
      <c r="Z289" s="179"/>
      <c r="AA289" s="189"/>
      <c r="AB289" s="189"/>
      <c r="AD289" s="189"/>
      <c r="AE289" s="189"/>
      <c r="AH289" s="179"/>
      <c r="AJ289" s="191"/>
      <c r="AK289" s="191"/>
      <c r="AM289" s="191"/>
      <c r="AN289" s="191"/>
      <c r="AQ289" s="179"/>
      <c r="AR289" s="192"/>
      <c r="AS289" s="192"/>
      <c r="AU289" s="192"/>
      <c r="AV289" s="192"/>
      <c r="AY289" s="179"/>
      <c r="BA289" s="192"/>
      <c r="BB289" s="192"/>
      <c r="BD289" s="192"/>
      <c r="BE289" s="192"/>
      <c r="BH289" s="179"/>
      <c r="BI289" s="192"/>
      <c r="BJ289" s="192"/>
      <c r="BL289" s="192"/>
      <c r="BM289" s="192"/>
      <c r="BP289" s="179"/>
    </row>
    <row r="290">
      <c r="B290" s="189"/>
      <c r="C290" s="189"/>
      <c r="E290" s="189"/>
      <c r="F290" s="189"/>
      <c r="I290" s="179"/>
      <c r="J290" s="189"/>
      <c r="K290" s="189"/>
      <c r="M290" s="189"/>
      <c r="N290" s="189"/>
      <c r="Q290" s="179"/>
      <c r="S290" s="189"/>
      <c r="T290" s="189"/>
      <c r="V290" s="189"/>
      <c r="W290" s="189"/>
      <c r="Z290" s="179"/>
      <c r="AA290" s="189"/>
      <c r="AB290" s="189"/>
      <c r="AD290" s="189"/>
      <c r="AE290" s="189"/>
      <c r="AH290" s="179"/>
      <c r="AJ290" s="191"/>
      <c r="AK290" s="191"/>
      <c r="AM290" s="191"/>
      <c r="AN290" s="191"/>
      <c r="AQ290" s="179"/>
      <c r="AR290" s="192"/>
      <c r="AS290" s="192"/>
      <c r="AU290" s="192"/>
      <c r="AV290" s="192"/>
      <c r="AY290" s="179"/>
      <c r="BA290" s="192"/>
      <c r="BB290" s="192"/>
      <c r="BD290" s="192"/>
      <c r="BE290" s="192"/>
      <c r="BH290" s="179"/>
      <c r="BI290" s="192"/>
      <c r="BJ290" s="192"/>
      <c r="BL290" s="192"/>
      <c r="BM290" s="192"/>
      <c r="BP290" s="179"/>
    </row>
    <row r="291">
      <c r="B291" s="189"/>
      <c r="C291" s="189"/>
      <c r="E291" s="189"/>
      <c r="F291" s="189"/>
      <c r="I291" s="179"/>
      <c r="J291" s="189"/>
      <c r="K291" s="189"/>
      <c r="M291" s="189"/>
      <c r="N291" s="189"/>
      <c r="Q291" s="179"/>
      <c r="S291" s="189"/>
      <c r="T291" s="189"/>
      <c r="V291" s="189"/>
      <c r="W291" s="189"/>
      <c r="Z291" s="179"/>
      <c r="AA291" s="189"/>
      <c r="AB291" s="189"/>
      <c r="AD291" s="189"/>
      <c r="AE291" s="189"/>
      <c r="AH291" s="179"/>
      <c r="AJ291" s="191"/>
      <c r="AK291" s="191"/>
      <c r="AM291" s="191"/>
      <c r="AN291" s="191"/>
      <c r="AQ291" s="179"/>
      <c r="AR291" s="192"/>
      <c r="AS291" s="192"/>
      <c r="AU291" s="192"/>
      <c r="AV291" s="192"/>
      <c r="AY291" s="179"/>
      <c r="BA291" s="192"/>
      <c r="BB291" s="192"/>
      <c r="BD291" s="192"/>
      <c r="BE291" s="192"/>
      <c r="BH291" s="179"/>
      <c r="BI291" s="192"/>
      <c r="BJ291" s="192"/>
      <c r="BL291" s="192"/>
      <c r="BM291" s="192"/>
      <c r="BP291" s="179"/>
    </row>
    <row r="292">
      <c r="B292" s="189"/>
      <c r="C292" s="189"/>
      <c r="E292" s="189"/>
      <c r="F292" s="189"/>
      <c r="I292" s="179"/>
      <c r="J292" s="189"/>
      <c r="K292" s="189"/>
      <c r="M292" s="189"/>
      <c r="N292" s="189"/>
      <c r="Q292" s="179"/>
      <c r="S292" s="189"/>
      <c r="T292" s="189"/>
      <c r="V292" s="189"/>
      <c r="W292" s="189"/>
      <c r="Z292" s="179"/>
      <c r="AA292" s="189"/>
      <c r="AB292" s="189"/>
      <c r="AD292" s="189"/>
      <c r="AE292" s="189"/>
      <c r="AH292" s="179"/>
      <c r="AJ292" s="191"/>
      <c r="AK292" s="191"/>
      <c r="AM292" s="191"/>
      <c r="AN292" s="191"/>
      <c r="AQ292" s="179"/>
      <c r="AR292" s="192"/>
      <c r="AS292" s="192"/>
      <c r="AU292" s="192"/>
      <c r="AV292" s="192"/>
      <c r="AY292" s="179"/>
      <c r="BA292" s="192"/>
      <c r="BB292" s="192"/>
      <c r="BD292" s="192"/>
      <c r="BE292" s="192"/>
      <c r="BH292" s="179"/>
      <c r="BI292" s="192"/>
      <c r="BJ292" s="192"/>
      <c r="BL292" s="192"/>
      <c r="BM292" s="192"/>
      <c r="BP292" s="179"/>
    </row>
    <row r="293">
      <c r="B293" s="189"/>
      <c r="C293" s="189"/>
      <c r="E293" s="189"/>
      <c r="F293" s="189"/>
      <c r="I293" s="179"/>
      <c r="J293" s="189"/>
      <c r="K293" s="189"/>
      <c r="M293" s="189"/>
      <c r="N293" s="189"/>
      <c r="Q293" s="179"/>
      <c r="S293" s="189"/>
      <c r="T293" s="189"/>
      <c r="V293" s="189"/>
      <c r="W293" s="189"/>
      <c r="Z293" s="179"/>
      <c r="AA293" s="189"/>
      <c r="AB293" s="189"/>
      <c r="AD293" s="189"/>
      <c r="AE293" s="189"/>
      <c r="AH293" s="179"/>
      <c r="AJ293" s="191"/>
      <c r="AK293" s="191"/>
      <c r="AM293" s="191"/>
      <c r="AN293" s="191"/>
      <c r="AQ293" s="179"/>
      <c r="AR293" s="192"/>
      <c r="AS293" s="192"/>
      <c r="AU293" s="192"/>
      <c r="AV293" s="192"/>
      <c r="AY293" s="179"/>
      <c r="BA293" s="192"/>
      <c r="BB293" s="192"/>
      <c r="BD293" s="192"/>
      <c r="BE293" s="192"/>
      <c r="BH293" s="179"/>
      <c r="BI293" s="192"/>
      <c r="BJ293" s="192"/>
      <c r="BL293" s="192"/>
      <c r="BM293" s="192"/>
      <c r="BP293" s="179"/>
    </row>
    <row r="294">
      <c r="B294" s="189"/>
      <c r="C294" s="189"/>
      <c r="E294" s="189"/>
      <c r="F294" s="189"/>
      <c r="I294" s="179"/>
      <c r="J294" s="189"/>
      <c r="K294" s="189"/>
      <c r="M294" s="189"/>
      <c r="N294" s="189"/>
      <c r="Q294" s="179"/>
      <c r="S294" s="189"/>
      <c r="T294" s="189"/>
      <c r="V294" s="189"/>
      <c r="W294" s="189"/>
      <c r="Z294" s="179"/>
      <c r="AA294" s="189"/>
      <c r="AB294" s="189"/>
      <c r="AD294" s="189"/>
      <c r="AE294" s="189"/>
      <c r="AH294" s="179"/>
      <c r="AJ294" s="191"/>
      <c r="AK294" s="191"/>
      <c r="AM294" s="191"/>
      <c r="AN294" s="191"/>
      <c r="AQ294" s="179"/>
      <c r="AR294" s="192"/>
      <c r="AS294" s="192"/>
      <c r="AU294" s="192"/>
      <c r="AV294" s="192"/>
      <c r="AY294" s="179"/>
      <c r="BA294" s="192"/>
      <c r="BB294" s="192"/>
      <c r="BD294" s="192"/>
      <c r="BE294" s="192"/>
      <c r="BH294" s="179"/>
      <c r="BI294" s="192"/>
      <c r="BJ294" s="192"/>
      <c r="BL294" s="192"/>
      <c r="BM294" s="192"/>
      <c r="BP294" s="179"/>
    </row>
    <row r="295">
      <c r="B295" s="189"/>
      <c r="C295" s="189"/>
      <c r="E295" s="189"/>
      <c r="F295" s="189"/>
      <c r="I295" s="179"/>
      <c r="J295" s="189"/>
      <c r="K295" s="189"/>
      <c r="M295" s="189"/>
      <c r="N295" s="189"/>
      <c r="Q295" s="179"/>
      <c r="S295" s="189"/>
      <c r="T295" s="189"/>
      <c r="V295" s="189"/>
      <c r="W295" s="189"/>
      <c r="Z295" s="179"/>
      <c r="AA295" s="189"/>
      <c r="AB295" s="189"/>
      <c r="AD295" s="189"/>
      <c r="AE295" s="189"/>
      <c r="AH295" s="179"/>
      <c r="AJ295" s="191"/>
      <c r="AK295" s="191"/>
      <c r="AM295" s="191"/>
      <c r="AN295" s="191"/>
      <c r="AQ295" s="179"/>
      <c r="AR295" s="192"/>
      <c r="AS295" s="192"/>
      <c r="AU295" s="192"/>
      <c r="AV295" s="192"/>
      <c r="AY295" s="179"/>
      <c r="BA295" s="192"/>
      <c r="BB295" s="192"/>
      <c r="BD295" s="192"/>
      <c r="BE295" s="192"/>
      <c r="BH295" s="179"/>
      <c r="BI295" s="192"/>
      <c r="BJ295" s="192"/>
      <c r="BL295" s="192"/>
      <c r="BM295" s="192"/>
      <c r="BP295" s="179"/>
    </row>
    <row r="296">
      <c r="B296" s="189"/>
      <c r="C296" s="189"/>
      <c r="E296" s="189"/>
      <c r="F296" s="189"/>
      <c r="I296" s="179"/>
      <c r="J296" s="189"/>
      <c r="K296" s="189"/>
      <c r="M296" s="189"/>
      <c r="N296" s="189"/>
      <c r="Q296" s="179"/>
      <c r="S296" s="189"/>
      <c r="T296" s="189"/>
      <c r="V296" s="189"/>
      <c r="W296" s="189"/>
      <c r="Z296" s="179"/>
      <c r="AA296" s="189"/>
      <c r="AB296" s="189"/>
      <c r="AD296" s="189"/>
      <c r="AE296" s="189"/>
      <c r="AH296" s="179"/>
      <c r="AJ296" s="191"/>
      <c r="AK296" s="191"/>
      <c r="AM296" s="191"/>
      <c r="AN296" s="191"/>
      <c r="AQ296" s="179"/>
      <c r="AR296" s="192"/>
      <c r="AS296" s="192"/>
      <c r="AU296" s="192"/>
      <c r="AV296" s="192"/>
      <c r="AY296" s="179"/>
      <c r="BA296" s="192"/>
      <c r="BB296" s="192"/>
      <c r="BD296" s="192"/>
      <c r="BE296" s="192"/>
      <c r="BH296" s="179"/>
      <c r="BI296" s="192"/>
      <c r="BJ296" s="192"/>
      <c r="BL296" s="192"/>
      <c r="BM296" s="192"/>
      <c r="BP296" s="179"/>
    </row>
    <row r="297">
      <c r="B297" s="189"/>
      <c r="C297" s="189"/>
      <c r="E297" s="189"/>
      <c r="F297" s="189"/>
      <c r="I297" s="179"/>
      <c r="J297" s="189"/>
      <c r="K297" s="189"/>
      <c r="M297" s="189"/>
      <c r="N297" s="189"/>
      <c r="Q297" s="179"/>
      <c r="S297" s="189"/>
      <c r="T297" s="189"/>
      <c r="V297" s="189"/>
      <c r="W297" s="189"/>
      <c r="Z297" s="179"/>
      <c r="AA297" s="189"/>
      <c r="AB297" s="189"/>
      <c r="AD297" s="189"/>
      <c r="AE297" s="189"/>
      <c r="AH297" s="179"/>
      <c r="AJ297" s="191"/>
      <c r="AK297" s="191"/>
      <c r="AM297" s="191"/>
      <c r="AN297" s="191"/>
      <c r="AQ297" s="179"/>
      <c r="AR297" s="192"/>
      <c r="AS297" s="192"/>
      <c r="AU297" s="192"/>
      <c r="AV297" s="192"/>
      <c r="AY297" s="179"/>
      <c r="BA297" s="192"/>
      <c r="BB297" s="192"/>
      <c r="BD297" s="192"/>
      <c r="BE297" s="192"/>
      <c r="BH297" s="179"/>
      <c r="BI297" s="192"/>
      <c r="BJ297" s="192"/>
      <c r="BL297" s="192"/>
      <c r="BM297" s="192"/>
      <c r="BP297" s="179"/>
    </row>
    <row r="298">
      <c r="B298" s="189"/>
      <c r="C298" s="189"/>
      <c r="E298" s="189"/>
      <c r="F298" s="189"/>
      <c r="I298" s="179"/>
      <c r="J298" s="189"/>
      <c r="K298" s="189"/>
      <c r="M298" s="189"/>
      <c r="N298" s="189"/>
      <c r="Q298" s="179"/>
      <c r="S298" s="189"/>
      <c r="T298" s="189"/>
      <c r="V298" s="189"/>
      <c r="W298" s="189"/>
      <c r="Z298" s="179"/>
      <c r="AA298" s="189"/>
      <c r="AB298" s="189"/>
      <c r="AD298" s="189"/>
      <c r="AE298" s="189"/>
      <c r="AH298" s="179"/>
      <c r="AJ298" s="191"/>
      <c r="AK298" s="191"/>
      <c r="AM298" s="191"/>
      <c r="AN298" s="191"/>
      <c r="AQ298" s="179"/>
      <c r="AR298" s="192"/>
      <c r="AS298" s="192"/>
      <c r="AU298" s="192"/>
      <c r="AV298" s="192"/>
      <c r="AY298" s="179"/>
      <c r="BA298" s="192"/>
      <c r="BB298" s="192"/>
      <c r="BD298" s="192"/>
      <c r="BE298" s="192"/>
      <c r="BH298" s="179"/>
      <c r="BI298" s="192"/>
      <c r="BJ298" s="192"/>
      <c r="BL298" s="192"/>
      <c r="BM298" s="192"/>
      <c r="BP298" s="179"/>
    </row>
    <row r="299">
      <c r="B299" s="189"/>
      <c r="C299" s="189"/>
      <c r="E299" s="189"/>
      <c r="F299" s="189"/>
      <c r="I299" s="179"/>
      <c r="J299" s="189"/>
      <c r="K299" s="189"/>
      <c r="M299" s="189"/>
      <c r="N299" s="189"/>
      <c r="Q299" s="179"/>
      <c r="S299" s="189"/>
      <c r="T299" s="189"/>
      <c r="V299" s="189"/>
      <c r="W299" s="189"/>
      <c r="Z299" s="179"/>
      <c r="AA299" s="189"/>
      <c r="AB299" s="189"/>
      <c r="AD299" s="189"/>
      <c r="AE299" s="189"/>
      <c r="AH299" s="179"/>
      <c r="AJ299" s="191"/>
      <c r="AK299" s="191"/>
      <c r="AM299" s="191"/>
      <c r="AN299" s="191"/>
      <c r="AQ299" s="179"/>
      <c r="AR299" s="192"/>
      <c r="AS299" s="192"/>
      <c r="AU299" s="192"/>
      <c r="AV299" s="192"/>
      <c r="AY299" s="179"/>
      <c r="BA299" s="192"/>
      <c r="BB299" s="192"/>
      <c r="BD299" s="192"/>
      <c r="BE299" s="192"/>
      <c r="BH299" s="179"/>
      <c r="BI299" s="192"/>
      <c r="BJ299" s="192"/>
      <c r="BL299" s="192"/>
      <c r="BM299" s="192"/>
      <c r="BP299" s="179"/>
    </row>
    <row r="300">
      <c r="B300" s="189"/>
      <c r="C300" s="189"/>
      <c r="E300" s="189"/>
      <c r="F300" s="189"/>
      <c r="I300" s="179"/>
      <c r="J300" s="189"/>
      <c r="K300" s="189"/>
      <c r="M300" s="189"/>
      <c r="N300" s="189"/>
      <c r="Q300" s="179"/>
      <c r="S300" s="189"/>
      <c r="T300" s="189"/>
      <c r="V300" s="189"/>
      <c r="W300" s="189"/>
      <c r="Z300" s="179"/>
      <c r="AA300" s="189"/>
      <c r="AB300" s="189"/>
      <c r="AD300" s="189"/>
      <c r="AE300" s="189"/>
      <c r="AH300" s="179"/>
      <c r="AJ300" s="191"/>
      <c r="AK300" s="191"/>
      <c r="AM300" s="191"/>
      <c r="AN300" s="191"/>
      <c r="AQ300" s="179"/>
      <c r="AR300" s="192"/>
      <c r="AS300" s="192"/>
      <c r="AU300" s="192"/>
      <c r="AV300" s="192"/>
      <c r="AY300" s="179"/>
      <c r="BA300" s="192"/>
      <c r="BB300" s="192"/>
      <c r="BD300" s="192"/>
      <c r="BE300" s="192"/>
      <c r="BH300" s="179"/>
      <c r="BI300" s="192"/>
      <c r="BJ300" s="192"/>
      <c r="BL300" s="192"/>
      <c r="BM300" s="192"/>
      <c r="BP300" s="179"/>
    </row>
    <row r="301">
      <c r="B301" s="189"/>
      <c r="C301" s="189"/>
      <c r="E301" s="189"/>
      <c r="F301" s="189"/>
      <c r="I301" s="179"/>
      <c r="J301" s="189"/>
      <c r="K301" s="189"/>
      <c r="M301" s="189"/>
      <c r="N301" s="189"/>
      <c r="Q301" s="179"/>
      <c r="S301" s="189"/>
      <c r="T301" s="189"/>
      <c r="V301" s="189"/>
      <c r="W301" s="189"/>
      <c r="Z301" s="179"/>
      <c r="AA301" s="189"/>
      <c r="AB301" s="189"/>
      <c r="AD301" s="189"/>
      <c r="AE301" s="189"/>
      <c r="AH301" s="179"/>
      <c r="AJ301" s="191"/>
      <c r="AK301" s="191"/>
      <c r="AM301" s="191"/>
      <c r="AN301" s="191"/>
      <c r="AQ301" s="179"/>
      <c r="AR301" s="192"/>
      <c r="AS301" s="192"/>
      <c r="AU301" s="192"/>
      <c r="AV301" s="192"/>
      <c r="AY301" s="179"/>
      <c r="BA301" s="192"/>
      <c r="BB301" s="192"/>
      <c r="BD301" s="192"/>
      <c r="BE301" s="192"/>
      <c r="BH301" s="179"/>
      <c r="BI301" s="192"/>
      <c r="BJ301" s="192"/>
      <c r="BL301" s="192"/>
      <c r="BM301" s="192"/>
      <c r="BP301" s="179"/>
    </row>
    <row r="302">
      <c r="B302" s="189"/>
      <c r="C302" s="189"/>
      <c r="E302" s="189"/>
      <c r="F302" s="189"/>
      <c r="I302" s="179"/>
      <c r="J302" s="189"/>
      <c r="K302" s="189"/>
      <c r="M302" s="189"/>
      <c r="N302" s="189"/>
      <c r="Q302" s="179"/>
      <c r="S302" s="189"/>
      <c r="T302" s="189"/>
      <c r="V302" s="189"/>
      <c r="W302" s="189"/>
      <c r="Z302" s="179"/>
      <c r="AA302" s="189"/>
      <c r="AB302" s="189"/>
      <c r="AD302" s="189"/>
      <c r="AE302" s="189"/>
      <c r="AH302" s="179"/>
      <c r="AJ302" s="191"/>
      <c r="AK302" s="191"/>
      <c r="AM302" s="191"/>
      <c r="AN302" s="191"/>
      <c r="AQ302" s="179"/>
      <c r="AR302" s="192"/>
      <c r="AS302" s="192"/>
      <c r="AU302" s="192"/>
      <c r="AV302" s="192"/>
      <c r="AY302" s="179"/>
      <c r="BA302" s="192"/>
      <c r="BB302" s="192"/>
      <c r="BD302" s="192"/>
      <c r="BE302" s="192"/>
      <c r="BH302" s="179"/>
      <c r="BI302" s="192"/>
      <c r="BJ302" s="192"/>
      <c r="BL302" s="192"/>
      <c r="BM302" s="192"/>
      <c r="BP302" s="179"/>
    </row>
    <row r="303">
      <c r="B303" s="189"/>
      <c r="C303" s="189"/>
      <c r="E303" s="189"/>
      <c r="F303" s="189"/>
      <c r="I303" s="179"/>
      <c r="J303" s="189"/>
      <c r="K303" s="189"/>
      <c r="M303" s="189"/>
      <c r="N303" s="189"/>
      <c r="Q303" s="179"/>
      <c r="S303" s="189"/>
      <c r="T303" s="189"/>
      <c r="V303" s="189"/>
      <c r="W303" s="189"/>
      <c r="Z303" s="179"/>
      <c r="AA303" s="189"/>
      <c r="AB303" s="189"/>
      <c r="AD303" s="189"/>
      <c r="AE303" s="189"/>
      <c r="AH303" s="179"/>
      <c r="AJ303" s="191"/>
      <c r="AK303" s="191"/>
      <c r="AM303" s="191"/>
      <c r="AN303" s="191"/>
      <c r="AQ303" s="179"/>
      <c r="AR303" s="192"/>
      <c r="AS303" s="192"/>
      <c r="AU303" s="192"/>
      <c r="AV303" s="192"/>
      <c r="AY303" s="179"/>
      <c r="BA303" s="192"/>
      <c r="BB303" s="192"/>
      <c r="BD303" s="192"/>
      <c r="BE303" s="192"/>
      <c r="BH303" s="179"/>
      <c r="BI303" s="192"/>
      <c r="BJ303" s="192"/>
      <c r="BL303" s="192"/>
      <c r="BM303" s="192"/>
      <c r="BP303" s="179"/>
    </row>
    <row r="304">
      <c r="B304" s="189"/>
      <c r="C304" s="189"/>
      <c r="E304" s="189"/>
      <c r="F304" s="189"/>
      <c r="I304" s="179"/>
      <c r="J304" s="189"/>
      <c r="K304" s="189"/>
      <c r="M304" s="189"/>
      <c r="N304" s="189"/>
      <c r="Q304" s="179"/>
      <c r="S304" s="189"/>
      <c r="T304" s="189"/>
      <c r="V304" s="189"/>
      <c r="W304" s="189"/>
      <c r="Z304" s="179"/>
      <c r="AA304" s="189"/>
      <c r="AB304" s="189"/>
      <c r="AD304" s="189"/>
      <c r="AE304" s="189"/>
      <c r="AH304" s="179"/>
      <c r="AJ304" s="191"/>
      <c r="AK304" s="191"/>
      <c r="AM304" s="191"/>
      <c r="AN304" s="191"/>
      <c r="AQ304" s="179"/>
      <c r="AR304" s="192"/>
      <c r="AS304" s="192"/>
      <c r="AU304" s="192"/>
      <c r="AV304" s="192"/>
      <c r="AY304" s="179"/>
      <c r="BA304" s="192"/>
      <c r="BB304" s="192"/>
      <c r="BD304" s="192"/>
      <c r="BE304" s="192"/>
      <c r="BH304" s="179"/>
      <c r="BI304" s="192"/>
      <c r="BJ304" s="192"/>
      <c r="BL304" s="192"/>
      <c r="BM304" s="192"/>
      <c r="BP304" s="179"/>
    </row>
    <row r="305">
      <c r="B305" s="189"/>
      <c r="C305" s="189"/>
      <c r="E305" s="189"/>
      <c r="F305" s="189"/>
      <c r="I305" s="179"/>
      <c r="J305" s="189"/>
      <c r="K305" s="189"/>
      <c r="M305" s="189"/>
      <c r="N305" s="189"/>
      <c r="Q305" s="179"/>
      <c r="S305" s="189"/>
      <c r="T305" s="189"/>
      <c r="V305" s="189"/>
      <c r="W305" s="189"/>
      <c r="Z305" s="179"/>
      <c r="AA305" s="189"/>
      <c r="AB305" s="189"/>
      <c r="AD305" s="189"/>
      <c r="AE305" s="189"/>
      <c r="AH305" s="179"/>
      <c r="AJ305" s="191"/>
      <c r="AK305" s="191"/>
      <c r="AM305" s="191"/>
      <c r="AN305" s="191"/>
      <c r="AQ305" s="179"/>
      <c r="AR305" s="192"/>
      <c r="AS305" s="192"/>
      <c r="AU305" s="192"/>
      <c r="AV305" s="192"/>
      <c r="AY305" s="179"/>
      <c r="BA305" s="192"/>
      <c r="BB305" s="192"/>
      <c r="BD305" s="192"/>
      <c r="BE305" s="192"/>
      <c r="BH305" s="179"/>
      <c r="BI305" s="192"/>
      <c r="BJ305" s="192"/>
      <c r="BL305" s="192"/>
      <c r="BM305" s="192"/>
      <c r="BP305" s="179"/>
    </row>
    <row r="306">
      <c r="B306" s="189"/>
      <c r="C306" s="189"/>
      <c r="E306" s="189"/>
      <c r="F306" s="189"/>
      <c r="I306" s="179"/>
      <c r="J306" s="189"/>
      <c r="K306" s="189"/>
      <c r="M306" s="189"/>
      <c r="N306" s="189"/>
      <c r="Q306" s="179"/>
      <c r="S306" s="189"/>
      <c r="T306" s="189"/>
      <c r="V306" s="189"/>
      <c r="W306" s="189"/>
      <c r="Z306" s="179"/>
      <c r="AA306" s="189"/>
      <c r="AB306" s="189"/>
      <c r="AD306" s="189"/>
      <c r="AE306" s="189"/>
      <c r="AH306" s="179"/>
      <c r="AJ306" s="191"/>
      <c r="AK306" s="191"/>
      <c r="AM306" s="191"/>
      <c r="AN306" s="191"/>
      <c r="AQ306" s="179"/>
      <c r="AR306" s="192"/>
      <c r="AS306" s="192"/>
      <c r="AU306" s="192"/>
      <c r="AV306" s="192"/>
      <c r="AY306" s="179"/>
      <c r="BA306" s="192"/>
      <c r="BB306" s="192"/>
      <c r="BD306" s="192"/>
      <c r="BE306" s="192"/>
      <c r="BH306" s="179"/>
      <c r="BI306" s="192"/>
      <c r="BJ306" s="192"/>
      <c r="BL306" s="192"/>
      <c r="BM306" s="192"/>
      <c r="BP306" s="179"/>
    </row>
    <row r="307">
      <c r="B307" s="189"/>
      <c r="C307" s="189"/>
      <c r="E307" s="189"/>
      <c r="F307" s="189"/>
      <c r="I307" s="179"/>
      <c r="J307" s="189"/>
      <c r="K307" s="189"/>
      <c r="M307" s="189"/>
      <c r="N307" s="189"/>
      <c r="Q307" s="179"/>
      <c r="S307" s="189"/>
      <c r="T307" s="189"/>
      <c r="V307" s="189"/>
      <c r="W307" s="189"/>
      <c r="Z307" s="179"/>
      <c r="AA307" s="189"/>
      <c r="AB307" s="189"/>
      <c r="AD307" s="189"/>
      <c r="AE307" s="189"/>
      <c r="AH307" s="179"/>
      <c r="AJ307" s="191"/>
      <c r="AK307" s="191"/>
      <c r="AM307" s="191"/>
      <c r="AN307" s="191"/>
      <c r="AQ307" s="179"/>
      <c r="AR307" s="192"/>
      <c r="AS307" s="192"/>
      <c r="AU307" s="192"/>
      <c r="AV307" s="192"/>
      <c r="AY307" s="179"/>
      <c r="BA307" s="192"/>
      <c r="BB307" s="192"/>
      <c r="BD307" s="192"/>
      <c r="BE307" s="192"/>
      <c r="BH307" s="179"/>
      <c r="BI307" s="192"/>
      <c r="BJ307" s="192"/>
      <c r="BL307" s="192"/>
      <c r="BM307" s="192"/>
      <c r="BP307" s="179"/>
    </row>
    <row r="308">
      <c r="B308" s="189"/>
      <c r="C308" s="189"/>
      <c r="E308" s="189"/>
      <c r="F308" s="189"/>
      <c r="I308" s="179"/>
      <c r="J308" s="189"/>
      <c r="K308" s="189"/>
      <c r="M308" s="189"/>
      <c r="N308" s="189"/>
      <c r="Q308" s="179"/>
      <c r="S308" s="189"/>
      <c r="T308" s="189"/>
      <c r="V308" s="189"/>
      <c r="W308" s="189"/>
      <c r="Z308" s="179"/>
      <c r="AA308" s="189"/>
      <c r="AB308" s="189"/>
      <c r="AD308" s="189"/>
      <c r="AE308" s="189"/>
      <c r="AH308" s="179"/>
      <c r="AJ308" s="191"/>
      <c r="AK308" s="191"/>
      <c r="AM308" s="191"/>
      <c r="AN308" s="191"/>
      <c r="AQ308" s="179"/>
      <c r="AR308" s="192"/>
      <c r="AS308" s="192"/>
      <c r="AU308" s="192"/>
      <c r="AV308" s="192"/>
      <c r="AY308" s="179"/>
      <c r="BA308" s="192"/>
      <c r="BB308" s="192"/>
      <c r="BD308" s="192"/>
      <c r="BE308" s="192"/>
      <c r="BH308" s="179"/>
      <c r="BI308" s="192"/>
      <c r="BJ308" s="192"/>
      <c r="BL308" s="192"/>
      <c r="BM308" s="192"/>
      <c r="BP308" s="179"/>
    </row>
    <row r="309">
      <c r="B309" s="189"/>
      <c r="C309" s="189"/>
      <c r="E309" s="189"/>
      <c r="F309" s="189"/>
      <c r="I309" s="179"/>
      <c r="J309" s="189"/>
      <c r="K309" s="189"/>
      <c r="M309" s="189"/>
      <c r="N309" s="189"/>
      <c r="Q309" s="179"/>
      <c r="S309" s="189"/>
      <c r="T309" s="189"/>
      <c r="V309" s="189"/>
      <c r="W309" s="189"/>
      <c r="Z309" s="179"/>
      <c r="AA309" s="189"/>
      <c r="AB309" s="189"/>
      <c r="AD309" s="189"/>
      <c r="AE309" s="189"/>
      <c r="AH309" s="179"/>
      <c r="AJ309" s="191"/>
      <c r="AK309" s="191"/>
      <c r="AM309" s="191"/>
      <c r="AN309" s="191"/>
      <c r="AQ309" s="179"/>
      <c r="AR309" s="192"/>
      <c r="AS309" s="192"/>
      <c r="AU309" s="192"/>
      <c r="AV309" s="192"/>
      <c r="AY309" s="179"/>
      <c r="BA309" s="192"/>
      <c r="BB309" s="192"/>
      <c r="BD309" s="192"/>
      <c r="BE309" s="192"/>
      <c r="BH309" s="179"/>
      <c r="BI309" s="192"/>
      <c r="BJ309" s="192"/>
      <c r="BL309" s="192"/>
      <c r="BM309" s="192"/>
      <c r="BP309" s="179"/>
    </row>
    <row r="310">
      <c r="B310" s="189"/>
      <c r="C310" s="189"/>
      <c r="E310" s="189"/>
      <c r="F310" s="189"/>
      <c r="I310" s="179"/>
      <c r="J310" s="189"/>
      <c r="K310" s="189"/>
      <c r="M310" s="189"/>
      <c r="N310" s="189"/>
      <c r="Q310" s="179"/>
      <c r="S310" s="189"/>
      <c r="T310" s="189"/>
      <c r="V310" s="189"/>
      <c r="W310" s="189"/>
      <c r="Z310" s="179"/>
      <c r="AA310" s="189"/>
      <c r="AB310" s="189"/>
      <c r="AD310" s="189"/>
      <c r="AE310" s="189"/>
      <c r="AH310" s="179"/>
      <c r="AJ310" s="191"/>
      <c r="AK310" s="191"/>
      <c r="AM310" s="191"/>
      <c r="AN310" s="191"/>
      <c r="AQ310" s="179"/>
      <c r="AR310" s="192"/>
      <c r="AS310" s="192"/>
      <c r="AU310" s="192"/>
      <c r="AV310" s="192"/>
      <c r="AY310" s="179"/>
      <c r="BA310" s="192"/>
      <c r="BB310" s="192"/>
      <c r="BD310" s="192"/>
      <c r="BE310" s="192"/>
      <c r="BH310" s="179"/>
      <c r="BI310" s="192"/>
      <c r="BJ310" s="192"/>
      <c r="BL310" s="192"/>
      <c r="BM310" s="192"/>
      <c r="BP310" s="179"/>
    </row>
    <row r="311">
      <c r="B311" s="189"/>
      <c r="C311" s="189"/>
      <c r="E311" s="189"/>
      <c r="F311" s="189"/>
      <c r="I311" s="179"/>
      <c r="J311" s="189"/>
      <c r="K311" s="189"/>
      <c r="M311" s="189"/>
      <c r="N311" s="189"/>
      <c r="Q311" s="179"/>
      <c r="S311" s="189"/>
      <c r="T311" s="189"/>
      <c r="V311" s="189"/>
      <c r="W311" s="189"/>
      <c r="Z311" s="179"/>
      <c r="AA311" s="189"/>
      <c r="AB311" s="189"/>
      <c r="AD311" s="189"/>
      <c r="AE311" s="189"/>
      <c r="AH311" s="179"/>
      <c r="AJ311" s="191"/>
      <c r="AK311" s="191"/>
      <c r="AM311" s="191"/>
      <c r="AN311" s="191"/>
      <c r="AQ311" s="179"/>
      <c r="AR311" s="192"/>
      <c r="AS311" s="192"/>
      <c r="AU311" s="192"/>
      <c r="AV311" s="192"/>
      <c r="AY311" s="179"/>
      <c r="BA311" s="192"/>
      <c r="BB311" s="192"/>
      <c r="BD311" s="192"/>
      <c r="BE311" s="192"/>
      <c r="BH311" s="179"/>
      <c r="BI311" s="192"/>
      <c r="BJ311" s="192"/>
      <c r="BL311" s="192"/>
      <c r="BM311" s="192"/>
      <c r="BP311" s="179"/>
    </row>
    <row r="312">
      <c r="B312" s="189"/>
      <c r="C312" s="189"/>
      <c r="E312" s="189"/>
      <c r="F312" s="189"/>
      <c r="I312" s="179"/>
      <c r="J312" s="189"/>
      <c r="K312" s="189"/>
      <c r="M312" s="189"/>
      <c r="N312" s="189"/>
      <c r="Q312" s="179"/>
      <c r="S312" s="189"/>
      <c r="T312" s="189"/>
      <c r="V312" s="189"/>
      <c r="W312" s="189"/>
      <c r="Z312" s="179"/>
      <c r="AA312" s="189"/>
      <c r="AB312" s="189"/>
      <c r="AD312" s="189"/>
      <c r="AE312" s="189"/>
      <c r="AH312" s="179"/>
      <c r="AJ312" s="191"/>
      <c r="AK312" s="191"/>
      <c r="AM312" s="191"/>
      <c r="AN312" s="191"/>
      <c r="AQ312" s="179"/>
      <c r="AR312" s="192"/>
      <c r="AS312" s="192"/>
      <c r="AU312" s="192"/>
      <c r="AV312" s="192"/>
      <c r="AY312" s="179"/>
      <c r="BA312" s="192"/>
      <c r="BB312" s="192"/>
      <c r="BD312" s="192"/>
      <c r="BE312" s="192"/>
      <c r="BH312" s="179"/>
      <c r="BI312" s="192"/>
      <c r="BJ312" s="192"/>
      <c r="BL312" s="192"/>
      <c r="BM312" s="192"/>
      <c r="BP312" s="179"/>
    </row>
    <row r="313">
      <c r="B313" s="189"/>
      <c r="C313" s="189"/>
      <c r="E313" s="189"/>
      <c r="F313" s="189"/>
      <c r="I313" s="179"/>
      <c r="J313" s="189"/>
      <c r="K313" s="189"/>
      <c r="M313" s="189"/>
      <c r="N313" s="189"/>
      <c r="Q313" s="179"/>
      <c r="S313" s="189"/>
      <c r="T313" s="189"/>
      <c r="V313" s="189"/>
      <c r="W313" s="189"/>
      <c r="Z313" s="179"/>
      <c r="AA313" s="189"/>
      <c r="AB313" s="189"/>
      <c r="AD313" s="189"/>
      <c r="AE313" s="189"/>
      <c r="AH313" s="179"/>
      <c r="AJ313" s="191"/>
      <c r="AK313" s="191"/>
      <c r="AM313" s="191"/>
      <c r="AN313" s="191"/>
      <c r="AQ313" s="179"/>
      <c r="AR313" s="192"/>
      <c r="AS313" s="192"/>
      <c r="AU313" s="192"/>
      <c r="AV313" s="192"/>
      <c r="AY313" s="179"/>
      <c r="BA313" s="192"/>
      <c r="BB313" s="192"/>
      <c r="BD313" s="192"/>
      <c r="BE313" s="192"/>
      <c r="BH313" s="179"/>
      <c r="BI313" s="192"/>
      <c r="BJ313" s="192"/>
      <c r="BL313" s="192"/>
      <c r="BM313" s="192"/>
      <c r="BP313" s="179"/>
    </row>
    <row r="314">
      <c r="B314" s="189"/>
      <c r="C314" s="189"/>
      <c r="E314" s="189"/>
      <c r="F314" s="189"/>
      <c r="I314" s="179"/>
      <c r="J314" s="189"/>
      <c r="K314" s="189"/>
      <c r="M314" s="189"/>
      <c r="N314" s="189"/>
      <c r="Q314" s="179"/>
      <c r="S314" s="189"/>
      <c r="T314" s="189"/>
      <c r="V314" s="189"/>
      <c r="W314" s="189"/>
      <c r="Z314" s="179"/>
      <c r="AA314" s="189"/>
      <c r="AB314" s="189"/>
      <c r="AD314" s="189"/>
      <c r="AE314" s="189"/>
      <c r="AH314" s="179"/>
      <c r="AJ314" s="191"/>
      <c r="AK314" s="191"/>
      <c r="AM314" s="191"/>
      <c r="AN314" s="191"/>
      <c r="AQ314" s="179"/>
      <c r="AR314" s="192"/>
      <c r="AS314" s="192"/>
      <c r="AU314" s="192"/>
      <c r="AV314" s="192"/>
      <c r="AY314" s="179"/>
      <c r="BA314" s="192"/>
      <c r="BB314" s="192"/>
      <c r="BD314" s="192"/>
      <c r="BE314" s="192"/>
      <c r="BH314" s="179"/>
      <c r="BI314" s="192"/>
      <c r="BJ314" s="192"/>
      <c r="BL314" s="192"/>
      <c r="BM314" s="192"/>
      <c r="BP314" s="179"/>
    </row>
    <row r="315">
      <c r="B315" s="189"/>
      <c r="C315" s="189"/>
      <c r="E315" s="189"/>
      <c r="F315" s="189"/>
      <c r="I315" s="179"/>
      <c r="J315" s="189"/>
      <c r="K315" s="189"/>
      <c r="M315" s="189"/>
      <c r="N315" s="189"/>
      <c r="Q315" s="179"/>
      <c r="S315" s="189"/>
      <c r="T315" s="189"/>
      <c r="V315" s="189"/>
      <c r="W315" s="189"/>
      <c r="Z315" s="179"/>
      <c r="AA315" s="189"/>
      <c r="AB315" s="189"/>
      <c r="AD315" s="189"/>
      <c r="AE315" s="189"/>
      <c r="AH315" s="179"/>
      <c r="AJ315" s="191"/>
      <c r="AK315" s="191"/>
      <c r="AM315" s="191"/>
      <c r="AN315" s="191"/>
      <c r="AQ315" s="179"/>
      <c r="AR315" s="192"/>
      <c r="AS315" s="192"/>
      <c r="AU315" s="192"/>
      <c r="AV315" s="192"/>
      <c r="AY315" s="179"/>
      <c r="BA315" s="192"/>
      <c r="BB315" s="192"/>
      <c r="BD315" s="192"/>
      <c r="BE315" s="192"/>
      <c r="BH315" s="179"/>
      <c r="BI315" s="192"/>
      <c r="BJ315" s="192"/>
      <c r="BL315" s="192"/>
      <c r="BM315" s="192"/>
      <c r="BP315" s="179"/>
    </row>
    <row r="316">
      <c r="B316" s="189"/>
      <c r="C316" s="189"/>
      <c r="E316" s="189"/>
      <c r="F316" s="189"/>
      <c r="I316" s="179"/>
      <c r="J316" s="189"/>
      <c r="K316" s="189"/>
      <c r="M316" s="189"/>
      <c r="N316" s="189"/>
      <c r="Q316" s="179"/>
      <c r="S316" s="189"/>
      <c r="T316" s="189"/>
      <c r="V316" s="189"/>
      <c r="W316" s="189"/>
      <c r="Z316" s="179"/>
      <c r="AA316" s="189"/>
      <c r="AB316" s="189"/>
      <c r="AD316" s="189"/>
      <c r="AE316" s="189"/>
      <c r="AH316" s="179"/>
      <c r="AJ316" s="191"/>
      <c r="AK316" s="191"/>
      <c r="AM316" s="191"/>
      <c r="AN316" s="191"/>
      <c r="AQ316" s="179"/>
      <c r="AR316" s="192"/>
      <c r="AS316" s="192"/>
      <c r="AU316" s="192"/>
      <c r="AV316" s="192"/>
      <c r="AY316" s="179"/>
      <c r="BA316" s="192"/>
      <c r="BB316" s="192"/>
      <c r="BD316" s="192"/>
      <c r="BE316" s="192"/>
      <c r="BH316" s="179"/>
      <c r="BI316" s="192"/>
      <c r="BJ316" s="192"/>
      <c r="BL316" s="192"/>
      <c r="BM316" s="192"/>
      <c r="BP316" s="179"/>
    </row>
    <row r="317">
      <c r="B317" s="189"/>
      <c r="C317" s="189"/>
      <c r="E317" s="189"/>
      <c r="F317" s="189"/>
      <c r="I317" s="179"/>
      <c r="J317" s="189"/>
      <c r="K317" s="189"/>
      <c r="M317" s="189"/>
      <c r="N317" s="189"/>
      <c r="Q317" s="179"/>
      <c r="S317" s="189"/>
      <c r="T317" s="189"/>
      <c r="V317" s="189"/>
      <c r="W317" s="189"/>
      <c r="Z317" s="179"/>
      <c r="AA317" s="189"/>
      <c r="AB317" s="189"/>
      <c r="AD317" s="189"/>
      <c r="AE317" s="189"/>
      <c r="AH317" s="179"/>
      <c r="AJ317" s="191"/>
      <c r="AK317" s="191"/>
      <c r="AM317" s="191"/>
      <c r="AN317" s="191"/>
      <c r="AQ317" s="179"/>
      <c r="AR317" s="192"/>
      <c r="AS317" s="192"/>
      <c r="AU317" s="192"/>
      <c r="AV317" s="192"/>
      <c r="AY317" s="179"/>
      <c r="BA317" s="192"/>
      <c r="BB317" s="192"/>
      <c r="BD317" s="192"/>
      <c r="BE317" s="192"/>
      <c r="BH317" s="179"/>
      <c r="BI317" s="192"/>
      <c r="BJ317" s="192"/>
      <c r="BL317" s="192"/>
      <c r="BM317" s="192"/>
      <c r="BP317" s="179"/>
    </row>
    <row r="318">
      <c r="B318" s="189"/>
      <c r="C318" s="189"/>
      <c r="E318" s="189"/>
      <c r="F318" s="189"/>
      <c r="I318" s="179"/>
      <c r="J318" s="189"/>
      <c r="K318" s="189"/>
      <c r="M318" s="189"/>
      <c r="N318" s="189"/>
      <c r="Q318" s="179"/>
      <c r="S318" s="189"/>
      <c r="T318" s="189"/>
      <c r="V318" s="189"/>
      <c r="W318" s="189"/>
      <c r="Z318" s="179"/>
      <c r="AA318" s="189"/>
      <c r="AB318" s="189"/>
      <c r="AD318" s="189"/>
      <c r="AE318" s="189"/>
      <c r="AH318" s="179"/>
      <c r="AJ318" s="191"/>
      <c r="AK318" s="191"/>
      <c r="AM318" s="191"/>
      <c r="AN318" s="191"/>
      <c r="AQ318" s="179"/>
      <c r="AR318" s="192"/>
      <c r="AS318" s="192"/>
      <c r="AU318" s="192"/>
      <c r="AV318" s="192"/>
      <c r="AY318" s="179"/>
      <c r="BA318" s="192"/>
      <c r="BB318" s="192"/>
      <c r="BD318" s="192"/>
      <c r="BE318" s="192"/>
      <c r="BH318" s="179"/>
      <c r="BI318" s="192"/>
      <c r="BJ318" s="192"/>
      <c r="BL318" s="192"/>
      <c r="BM318" s="192"/>
      <c r="BP318" s="179"/>
    </row>
    <row r="319">
      <c r="B319" s="189"/>
      <c r="C319" s="189"/>
      <c r="E319" s="189"/>
      <c r="F319" s="189"/>
      <c r="I319" s="179"/>
      <c r="J319" s="189"/>
      <c r="K319" s="189"/>
      <c r="M319" s="189"/>
      <c r="N319" s="189"/>
      <c r="Q319" s="179"/>
      <c r="S319" s="189"/>
      <c r="T319" s="189"/>
      <c r="V319" s="189"/>
      <c r="W319" s="189"/>
      <c r="Z319" s="179"/>
      <c r="AA319" s="189"/>
      <c r="AB319" s="189"/>
      <c r="AD319" s="189"/>
      <c r="AE319" s="189"/>
      <c r="AH319" s="179"/>
      <c r="AJ319" s="191"/>
      <c r="AK319" s="191"/>
      <c r="AM319" s="191"/>
      <c r="AN319" s="191"/>
      <c r="AQ319" s="179"/>
      <c r="AR319" s="192"/>
      <c r="AS319" s="192"/>
      <c r="AU319" s="192"/>
      <c r="AV319" s="192"/>
      <c r="AY319" s="179"/>
      <c r="BA319" s="192"/>
      <c r="BB319" s="192"/>
      <c r="BD319" s="192"/>
      <c r="BE319" s="192"/>
      <c r="BH319" s="179"/>
      <c r="BI319" s="192"/>
      <c r="BJ319" s="192"/>
      <c r="BL319" s="192"/>
      <c r="BM319" s="192"/>
      <c r="BP319" s="179"/>
    </row>
    <row r="320">
      <c r="B320" s="189"/>
      <c r="C320" s="189"/>
      <c r="E320" s="189"/>
      <c r="F320" s="189"/>
      <c r="I320" s="179"/>
      <c r="J320" s="189"/>
      <c r="K320" s="189"/>
      <c r="M320" s="189"/>
      <c r="N320" s="189"/>
      <c r="Q320" s="179"/>
      <c r="S320" s="189"/>
      <c r="T320" s="189"/>
      <c r="V320" s="189"/>
      <c r="W320" s="189"/>
      <c r="Z320" s="179"/>
      <c r="AA320" s="189"/>
      <c r="AB320" s="189"/>
      <c r="AD320" s="189"/>
      <c r="AE320" s="189"/>
      <c r="AH320" s="179"/>
      <c r="AJ320" s="191"/>
      <c r="AK320" s="191"/>
      <c r="AM320" s="191"/>
      <c r="AN320" s="191"/>
      <c r="AQ320" s="179"/>
      <c r="AR320" s="192"/>
      <c r="AS320" s="192"/>
      <c r="AU320" s="192"/>
      <c r="AV320" s="192"/>
      <c r="AY320" s="179"/>
      <c r="BA320" s="192"/>
      <c r="BB320" s="192"/>
      <c r="BD320" s="192"/>
      <c r="BE320" s="192"/>
      <c r="BH320" s="179"/>
      <c r="BI320" s="192"/>
      <c r="BJ320" s="192"/>
      <c r="BL320" s="192"/>
      <c r="BM320" s="192"/>
      <c r="BP320" s="179"/>
    </row>
    <row r="321">
      <c r="B321" s="189"/>
      <c r="C321" s="189"/>
      <c r="E321" s="189"/>
      <c r="F321" s="189"/>
      <c r="I321" s="179"/>
      <c r="J321" s="189"/>
      <c r="K321" s="189"/>
      <c r="M321" s="189"/>
      <c r="N321" s="189"/>
      <c r="Q321" s="179"/>
      <c r="S321" s="189"/>
      <c r="T321" s="189"/>
      <c r="V321" s="189"/>
      <c r="W321" s="189"/>
      <c r="Z321" s="179"/>
      <c r="AA321" s="189"/>
      <c r="AB321" s="189"/>
      <c r="AD321" s="189"/>
      <c r="AE321" s="189"/>
      <c r="AH321" s="179"/>
      <c r="AJ321" s="191"/>
      <c r="AK321" s="191"/>
      <c r="AM321" s="191"/>
      <c r="AN321" s="191"/>
      <c r="AQ321" s="179"/>
      <c r="AR321" s="192"/>
      <c r="AS321" s="192"/>
      <c r="AU321" s="192"/>
      <c r="AV321" s="192"/>
      <c r="AY321" s="179"/>
      <c r="BA321" s="192"/>
      <c r="BB321" s="192"/>
      <c r="BD321" s="192"/>
      <c r="BE321" s="192"/>
      <c r="BH321" s="179"/>
      <c r="BI321" s="192"/>
      <c r="BJ321" s="192"/>
      <c r="BL321" s="192"/>
      <c r="BM321" s="192"/>
      <c r="BP321" s="179"/>
    </row>
    <row r="322">
      <c r="B322" s="189"/>
      <c r="C322" s="189"/>
      <c r="E322" s="189"/>
      <c r="F322" s="189"/>
      <c r="I322" s="179"/>
      <c r="J322" s="189"/>
      <c r="K322" s="189"/>
      <c r="M322" s="189"/>
      <c r="N322" s="189"/>
      <c r="Q322" s="179"/>
      <c r="S322" s="189"/>
      <c r="T322" s="189"/>
      <c r="V322" s="189"/>
      <c r="W322" s="189"/>
      <c r="Z322" s="179"/>
      <c r="AA322" s="189"/>
      <c r="AB322" s="189"/>
      <c r="AD322" s="189"/>
      <c r="AE322" s="189"/>
      <c r="AH322" s="179"/>
      <c r="AJ322" s="191"/>
      <c r="AK322" s="191"/>
      <c r="AM322" s="191"/>
      <c r="AN322" s="191"/>
      <c r="AQ322" s="179"/>
      <c r="AR322" s="192"/>
      <c r="AS322" s="192"/>
      <c r="AU322" s="192"/>
      <c r="AV322" s="192"/>
      <c r="AY322" s="179"/>
      <c r="BA322" s="192"/>
      <c r="BB322" s="192"/>
      <c r="BD322" s="192"/>
      <c r="BE322" s="192"/>
      <c r="BH322" s="179"/>
      <c r="BI322" s="192"/>
      <c r="BJ322" s="192"/>
      <c r="BL322" s="192"/>
      <c r="BM322" s="192"/>
      <c r="BP322" s="179"/>
    </row>
    <row r="323">
      <c r="B323" s="189"/>
      <c r="C323" s="189"/>
      <c r="E323" s="189"/>
      <c r="F323" s="189"/>
      <c r="I323" s="179"/>
      <c r="J323" s="189"/>
      <c r="K323" s="189"/>
      <c r="M323" s="189"/>
      <c r="N323" s="189"/>
      <c r="Q323" s="179"/>
      <c r="S323" s="189"/>
      <c r="T323" s="189"/>
      <c r="V323" s="189"/>
      <c r="W323" s="189"/>
      <c r="Z323" s="179"/>
      <c r="AA323" s="189"/>
      <c r="AB323" s="189"/>
      <c r="AD323" s="189"/>
      <c r="AE323" s="189"/>
      <c r="AH323" s="179"/>
      <c r="AJ323" s="191"/>
      <c r="AK323" s="191"/>
      <c r="AM323" s="191"/>
      <c r="AN323" s="191"/>
      <c r="AQ323" s="179"/>
      <c r="AR323" s="192"/>
      <c r="AS323" s="192"/>
      <c r="AU323" s="192"/>
      <c r="AV323" s="192"/>
      <c r="AY323" s="179"/>
      <c r="BA323" s="192"/>
      <c r="BB323" s="192"/>
      <c r="BD323" s="192"/>
      <c r="BE323" s="192"/>
      <c r="BH323" s="179"/>
      <c r="BI323" s="192"/>
      <c r="BJ323" s="192"/>
      <c r="BL323" s="192"/>
      <c r="BM323" s="192"/>
      <c r="BP323" s="179"/>
    </row>
    <row r="324">
      <c r="B324" s="189"/>
      <c r="C324" s="189"/>
      <c r="E324" s="189"/>
      <c r="F324" s="189"/>
      <c r="I324" s="179"/>
      <c r="J324" s="189"/>
      <c r="K324" s="189"/>
      <c r="M324" s="189"/>
      <c r="N324" s="189"/>
      <c r="Q324" s="179"/>
      <c r="S324" s="189"/>
      <c r="T324" s="189"/>
      <c r="V324" s="189"/>
      <c r="W324" s="189"/>
      <c r="Z324" s="179"/>
      <c r="AA324" s="189"/>
      <c r="AB324" s="189"/>
      <c r="AD324" s="189"/>
      <c r="AE324" s="189"/>
      <c r="AH324" s="179"/>
      <c r="AJ324" s="191"/>
      <c r="AK324" s="191"/>
      <c r="AM324" s="191"/>
      <c r="AN324" s="191"/>
      <c r="AQ324" s="179"/>
      <c r="AR324" s="192"/>
      <c r="AS324" s="192"/>
      <c r="AU324" s="192"/>
      <c r="AV324" s="192"/>
      <c r="AY324" s="179"/>
      <c r="BA324" s="192"/>
      <c r="BB324" s="192"/>
      <c r="BD324" s="192"/>
      <c r="BE324" s="192"/>
      <c r="BH324" s="179"/>
      <c r="BI324" s="192"/>
      <c r="BJ324" s="192"/>
      <c r="BL324" s="192"/>
      <c r="BM324" s="192"/>
      <c r="BP324" s="179"/>
    </row>
    <row r="325">
      <c r="B325" s="189"/>
      <c r="C325" s="189"/>
      <c r="E325" s="189"/>
      <c r="F325" s="189"/>
      <c r="I325" s="179"/>
      <c r="J325" s="189"/>
      <c r="K325" s="189"/>
      <c r="M325" s="189"/>
      <c r="N325" s="189"/>
      <c r="Q325" s="179"/>
      <c r="S325" s="189"/>
      <c r="T325" s="189"/>
      <c r="V325" s="189"/>
      <c r="W325" s="189"/>
      <c r="Z325" s="179"/>
      <c r="AA325" s="189"/>
      <c r="AB325" s="189"/>
      <c r="AD325" s="189"/>
      <c r="AE325" s="189"/>
      <c r="AH325" s="179"/>
      <c r="AJ325" s="191"/>
      <c r="AK325" s="191"/>
      <c r="AM325" s="191"/>
      <c r="AN325" s="191"/>
      <c r="AQ325" s="179"/>
      <c r="AR325" s="192"/>
      <c r="AS325" s="192"/>
      <c r="AU325" s="192"/>
      <c r="AV325" s="192"/>
      <c r="AY325" s="179"/>
      <c r="BA325" s="192"/>
      <c r="BB325" s="192"/>
      <c r="BD325" s="192"/>
      <c r="BE325" s="192"/>
      <c r="BH325" s="179"/>
      <c r="BI325" s="192"/>
      <c r="BJ325" s="192"/>
      <c r="BL325" s="192"/>
      <c r="BM325" s="192"/>
      <c r="BP325" s="179"/>
    </row>
    <row r="326">
      <c r="B326" s="189"/>
      <c r="C326" s="189"/>
      <c r="E326" s="189"/>
      <c r="F326" s="189"/>
      <c r="I326" s="179"/>
      <c r="J326" s="189"/>
      <c r="K326" s="189"/>
      <c r="M326" s="189"/>
      <c r="N326" s="189"/>
      <c r="Q326" s="179"/>
      <c r="S326" s="189"/>
      <c r="T326" s="189"/>
      <c r="V326" s="189"/>
      <c r="W326" s="189"/>
      <c r="Z326" s="179"/>
      <c r="AA326" s="189"/>
      <c r="AB326" s="189"/>
      <c r="AD326" s="189"/>
      <c r="AE326" s="189"/>
      <c r="AH326" s="179"/>
      <c r="AJ326" s="191"/>
      <c r="AK326" s="191"/>
      <c r="AM326" s="191"/>
      <c r="AN326" s="191"/>
      <c r="AQ326" s="179"/>
      <c r="AR326" s="192"/>
      <c r="AS326" s="192"/>
      <c r="AU326" s="192"/>
      <c r="AV326" s="192"/>
      <c r="AY326" s="179"/>
      <c r="BA326" s="192"/>
      <c r="BB326" s="192"/>
      <c r="BD326" s="192"/>
      <c r="BE326" s="192"/>
      <c r="BH326" s="179"/>
      <c r="BI326" s="192"/>
      <c r="BJ326" s="192"/>
      <c r="BL326" s="192"/>
      <c r="BM326" s="192"/>
      <c r="BP326" s="179"/>
    </row>
    <row r="327">
      <c r="B327" s="189"/>
      <c r="C327" s="189"/>
      <c r="E327" s="189"/>
      <c r="F327" s="189"/>
      <c r="I327" s="179"/>
      <c r="J327" s="189"/>
      <c r="K327" s="189"/>
      <c r="M327" s="189"/>
      <c r="N327" s="189"/>
      <c r="Q327" s="179"/>
      <c r="S327" s="189"/>
      <c r="T327" s="189"/>
      <c r="V327" s="189"/>
      <c r="W327" s="189"/>
      <c r="Z327" s="179"/>
      <c r="AA327" s="189"/>
      <c r="AB327" s="189"/>
      <c r="AD327" s="189"/>
      <c r="AE327" s="189"/>
      <c r="AH327" s="179"/>
      <c r="AJ327" s="191"/>
      <c r="AK327" s="191"/>
      <c r="AM327" s="191"/>
      <c r="AN327" s="191"/>
      <c r="AQ327" s="179"/>
      <c r="AR327" s="192"/>
      <c r="AS327" s="192"/>
      <c r="AU327" s="192"/>
      <c r="AV327" s="192"/>
      <c r="AY327" s="179"/>
      <c r="BA327" s="192"/>
      <c r="BB327" s="192"/>
      <c r="BD327" s="192"/>
      <c r="BE327" s="192"/>
      <c r="BH327" s="179"/>
      <c r="BI327" s="192"/>
      <c r="BJ327" s="192"/>
      <c r="BL327" s="192"/>
      <c r="BM327" s="192"/>
      <c r="BP327" s="179"/>
    </row>
    <row r="328">
      <c r="B328" s="189"/>
      <c r="C328" s="189"/>
      <c r="E328" s="189"/>
      <c r="F328" s="189"/>
      <c r="I328" s="179"/>
      <c r="J328" s="189"/>
      <c r="K328" s="189"/>
      <c r="M328" s="189"/>
      <c r="N328" s="189"/>
      <c r="Q328" s="179"/>
      <c r="S328" s="189"/>
      <c r="T328" s="189"/>
      <c r="V328" s="189"/>
      <c r="W328" s="189"/>
      <c r="Z328" s="179"/>
      <c r="AA328" s="189"/>
      <c r="AB328" s="189"/>
      <c r="AD328" s="189"/>
      <c r="AE328" s="189"/>
      <c r="AH328" s="179"/>
      <c r="AJ328" s="191"/>
      <c r="AK328" s="191"/>
      <c r="AM328" s="191"/>
      <c r="AN328" s="191"/>
      <c r="AQ328" s="179"/>
      <c r="AR328" s="192"/>
      <c r="AS328" s="192"/>
      <c r="AU328" s="192"/>
      <c r="AV328" s="192"/>
      <c r="AY328" s="179"/>
      <c r="BA328" s="192"/>
      <c r="BB328" s="192"/>
      <c r="BD328" s="192"/>
      <c r="BE328" s="192"/>
      <c r="BH328" s="179"/>
      <c r="BI328" s="192"/>
      <c r="BJ328" s="192"/>
      <c r="BL328" s="192"/>
      <c r="BM328" s="192"/>
      <c r="BP328" s="179"/>
    </row>
    <row r="329">
      <c r="B329" s="189"/>
      <c r="C329" s="189"/>
      <c r="E329" s="189"/>
      <c r="F329" s="189"/>
      <c r="I329" s="179"/>
      <c r="J329" s="189"/>
      <c r="K329" s="189"/>
      <c r="M329" s="189"/>
      <c r="N329" s="189"/>
      <c r="Q329" s="179"/>
      <c r="S329" s="189"/>
      <c r="T329" s="189"/>
      <c r="V329" s="189"/>
      <c r="W329" s="189"/>
      <c r="Z329" s="179"/>
      <c r="AA329" s="189"/>
      <c r="AB329" s="189"/>
      <c r="AD329" s="189"/>
      <c r="AE329" s="189"/>
      <c r="AH329" s="179"/>
      <c r="AJ329" s="191"/>
      <c r="AK329" s="191"/>
      <c r="AM329" s="191"/>
      <c r="AN329" s="191"/>
      <c r="AQ329" s="179"/>
      <c r="AR329" s="192"/>
      <c r="AS329" s="192"/>
      <c r="AU329" s="192"/>
      <c r="AV329" s="192"/>
      <c r="AY329" s="179"/>
      <c r="BA329" s="192"/>
      <c r="BB329" s="192"/>
      <c r="BD329" s="192"/>
      <c r="BE329" s="192"/>
      <c r="BH329" s="179"/>
      <c r="BI329" s="192"/>
      <c r="BJ329" s="192"/>
      <c r="BL329" s="192"/>
      <c r="BM329" s="192"/>
      <c r="BP329" s="179"/>
    </row>
    <row r="330">
      <c r="B330" s="189"/>
      <c r="C330" s="189"/>
      <c r="E330" s="189"/>
      <c r="F330" s="189"/>
      <c r="I330" s="179"/>
      <c r="J330" s="189"/>
      <c r="K330" s="189"/>
      <c r="M330" s="189"/>
      <c r="N330" s="189"/>
      <c r="Q330" s="179"/>
      <c r="S330" s="189"/>
      <c r="T330" s="189"/>
      <c r="V330" s="189"/>
      <c r="W330" s="189"/>
      <c r="Z330" s="179"/>
      <c r="AA330" s="189"/>
      <c r="AB330" s="189"/>
      <c r="AD330" s="189"/>
      <c r="AE330" s="189"/>
      <c r="AH330" s="179"/>
      <c r="AJ330" s="191"/>
      <c r="AK330" s="191"/>
      <c r="AM330" s="191"/>
      <c r="AN330" s="191"/>
      <c r="AQ330" s="179"/>
      <c r="AR330" s="192"/>
      <c r="AS330" s="192"/>
      <c r="AU330" s="192"/>
      <c r="AV330" s="192"/>
      <c r="AY330" s="179"/>
      <c r="BA330" s="192"/>
      <c r="BB330" s="192"/>
      <c r="BD330" s="192"/>
      <c r="BE330" s="192"/>
      <c r="BH330" s="179"/>
      <c r="BI330" s="192"/>
      <c r="BJ330" s="192"/>
      <c r="BL330" s="192"/>
      <c r="BM330" s="192"/>
      <c r="BP330" s="179"/>
    </row>
    <row r="331">
      <c r="B331" s="189"/>
      <c r="C331" s="189"/>
      <c r="E331" s="189"/>
      <c r="F331" s="189"/>
      <c r="I331" s="179"/>
      <c r="J331" s="189"/>
      <c r="K331" s="189"/>
      <c r="M331" s="189"/>
      <c r="N331" s="189"/>
      <c r="Q331" s="179"/>
      <c r="S331" s="189"/>
      <c r="T331" s="189"/>
      <c r="V331" s="189"/>
      <c r="W331" s="189"/>
      <c r="Z331" s="179"/>
      <c r="AA331" s="189"/>
      <c r="AB331" s="189"/>
      <c r="AD331" s="189"/>
      <c r="AE331" s="189"/>
      <c r="AH331" s="179"/>
      <c r="AJ331" s="191"/>
      <c r="AK331" s="191"/>
      <c r="AM331" s="191"/>
      <c r="AN331" s="191"/>
      <c r="AQ331" s="179"/>
      <c r="AR331" s="192"/>
      <c r="AS331" s="192"/>
      <c r="AU331" s="192"/>
      <c r="AV331" s="192"/>
      <c r="AY331" s="179"/>
      <c r="BA331" s="192"/>
      <c r="BB331" s="192"/>
      <c r="BD331" s="192"/>
      <c r="BE331" s="192"/>
      <c r="BH331" s="179"/>
      <c r="BI331" s="192"/>
      <c r="BJ331" s="192"/>
      <c r="BL331" s="192"/>
      <c r="BM331" s="192"/>
      <c r="BP331" s="179"/>
    </row>
    <row r="332">
      <c r="B332" s="189"/>
      <c r="C332" s="189"/>
      <c r="E332" s="189"/>
      <c r="F332" s="189"/>
      <c r="I332" s="179"/>
      <c r="J332" s="189"/>
      <c r="K332" s="189"/>
      <c r="M332" s="189"/>
      <c r="N332" s="189"/>
      <c r="Q332" s="179"/>
      <c r="S332" s="189"/>
      <c r="T332" s="189"/>
      <c r="V332" s="189"/>
      <c r="W332" s="189"/>
      <c r="Z332" s="179"/>
      <c r="AA332" s="189"/>
      <c r="AB332" s="189"/>
      <c r="AD332" s="189"/>
      <c r="AE332" s="189"/>
      <c r="AH332" s="179"/>
      <c r="AJ332" s="191"/>
      <c r="AK332" s="191"/>
      <c r="AM332" s="191"/>
      <c r="AN332" s="191"/>
      <c r="AQ332" s="179"/>
      <c r="AR332" s="192"/>
      <c r="AS332" s="192"/>
      <c r="AU332" s="192"/>
      <c r="AV332" s="192"/>
      <c r="AY332" s="179"/>
      <c r="BA332" s="192"/>
      <c r="BB332" s="192"/>
      <c r="BD332" s="192"/>
      <c r="BE332" s="192"/>
      <c r="BH332" s="179"/>
      <c r="BI332" s="192"/>
      <c r="BJ332" s="192"/>
      <c r="BL332" s="192"/>
      <c r="BM332" s="192"/>
      <c r="BP332" s="179"/>
    </row>
    <row r="333">
      <c r="B333" s="189"/>
      <c r="C333" s="189"/>
      <c r="E333" s="189"/>
      <c r="F333" s="189"/>
      <c r="I333" s="179"/>
      <c r="J333" s="189"/>
      <c r="K333" s="189"/>
      <c r="M333" s="189"/>
      <c r="N333" s="189"/>
      <c r="Q333" s="179"/>
      <c r="S333" s="189"/>
      <c r="T333" s="189"/>
      <c r="V333" s="189"/>
      <c r="W333" s="189"/>
      <c r="Z333" s="179"/>
      <c r="AA333" s="189"/>
      <c r="AB333" s="189"/>
      <c r="AD333" s="189"/>
      <c r="AE333" s="189"/>
      <c r="AH333" s="179"/>
      <c r="AJ333" s="191"/>
      <c r="AK333" s="191"/>
      <c r="AM333" s="191"/>
      <c r="AN333" s="191"/>
      <c r="AQ333" s="179"/>
      <c r="AR333" s="192"/>
      <c r="AS333" s="192"/>
      <c r="AU333" s="192"/>
      <c r="AV333" s="192"/>
      <c r="AY333" s="179"/>
      <c r="BA333" s="192"/>
      <c r="BB333" s="192"/>
      <c r="BD333" s="192"/>
      <c r="BE333" s="192"/>
      <c r="BH333" s="179"/>
      <c r="BI333" s="192"/>
      <c r="BJ333" s="192"/>
      <c r="BL333" s="192"/>
      <c r="BM333" s="192"/>
      <c r="BP333" s="179"/>
    </row>
    <row r="334">
      <c r="B334" s="189"/>
      <c r="C334" s="189"/>
      <c r="E334" s="189"/>
      <c r="F334" s="189"/>
      <c r="I334" s="179"/>
      <c r="J334" s="189"/>
      <c r="K334" s="189"/>
      <c r="M334" s="189"/>
      <c r="N334" s="189"/>
      <c r="Q334" s="179"/>
      <c r="S334" s="189"/>
      <c r="T334" s="189"/>
      <c r="V334" s="189"/>
      <c r="W334" s="189"/>
      <c r="Z334" s="179"/>
      <c r="AA334" s="189"/>
      <c r="AB334" s="189"/>
      <c r="AD334" s="189"/>
      <c r="AE334" s="189"/>
      <c r="AH334" s="179"/>
      <c r="AJ334" s="191"/>
      <c r="AK334" s="191"/>
      <c r="AM334" s="191"/>
      <c r="AN334" s="191"/>
      <c r="AQ334" s="179"/>
      <c r="AR334" s="192"/>
      <c r="AS334" s="192"/>
      <c r="AU334" s="192"/>
      <c r="AV334" s="192"/>
      <c r="AY334" s="179"/>
      <c r="BA334" s="192"/>
      <c r="BB334" s="192"/>
      <c r="BD334" s="192"/>
      <c r="BE334" s="192"/>
      <c r="BH334" s="179"/>
      <c r="BI334" s="192"/>
      <c r="BJ334" s="192"/>
      <c r="BL334" s="192"/>
      <c r="BM334" s="192"/>
      <c r="BP334" s="179"/>
    </row>
    <row r="335">
      <c r="B335" s="189"/>
      <c r="C335" s="189"/>
      <c r="E335" s="189"/>
      <c r="F335" s="189"/>
      <c r="I335" s="179"/>
      <c r="J335" s="189"/>
      <c r="K335" s="189"/>
      <c r="M335" s="189"/>
      <c r="N335" s="189"/>
      <c r="Q335" s="179"/>
      <c r="S335" s="189"/>
      <c r="T335" s="189"/>
      <c r="V335" s="189"/>
      <c r="W335" s="189"/>
      <c r="Z335" s="179"/>
      <c r="AA335" s="189"/>
      <c r="AB335" s="189"/>
      <c r="AD335" s="189"/>
      <c r="AE335" s="189"/>
      <c r="AH335" s="179"/>
      <c r="AJ335" s="191"/>
      <c r="AK335" s="191"/>
      <c r="AM335" s="191"/>
      <c r="AN335" s="191"/>
      <c r="AQ335" s="179"/>
      <c r="AR335" s="192"/>
      <c r="AS335" s="192"/>
      <c r="AU335" s="192"/>
      <c r="AV335" s="192"/>
      <c r="AY335" s="179"/>
      <c r="BA335" s="192"/>
      <c r="BB335" s="192"/>
      <c r="BD335" s="192"/>
      <c r="BE335" s="192"/>
      <c r="BH335" s="179"/>
      <c r="BI335" s="192"/>
      <c r="BJ335" s="192"/>
      <c r="BL335" s="192"/>
      <c r="BM335" s="192"/>
      <c r="BP335" s="179"/>
    </row>
    <row r="336">
      <c r="B336" s="189"/>
      <c r="C336" s="189"/>
      <c r="E336" s="189"/>
      <c r="F336" s="189"/>
      <c r="I336" s="179"/>
      <c r="J336" s="189"/>
      <c r="K336" s="189"/>
      <c r="M336" s="189"/>
      <c r="N336" s="189"/>
      <c r="Q336" s="179"/>
      <c r="S336" s="189"/>
      <c r="T336" s="189"/>
      <c r="V336" s="189"/>
      <c r="W336" s="189"/>
      <c r="Z336" s="179"/>
      <c r="AA336" s="189"/>
      <c r="AB336" s="189"/>
      <c r="AD336" s="189"/>
      <c r="AE336" s="189"/>
      <c r="AH336" s="179"/>
      <c r="AJ336" s="191"/>
      <c r="AK336" s="191"/>
      <c r="AM336" s="191"/>
      <c r="AN336" s="191"/>
      <c r="AQ336" s="179"/>
      <c r="AR336" s="192"/>
      <c r="AS336" s="192"/>
      <c r="AU336" s="192"/>
      <c r="AV336" s="192"/>
      <c r="AY336" s="179"/>
      <c r="BA336" s="192"/>
      <c r="BB336" s="192"/>
      <c r="BD336" s="192"/>
      <c r="BE336" s="192"/>
      <c r="BH336" s="179"/>
      <c r="BI336" s="192"/>
      <c r="BJ336" s="192"/>
      <c r="BL336" s="192"/>
      <c r="BM336" s="192"/>
      <c r="BP336" s="179"/>
    </row>
    <row r="337">
      <c r="B337" s="189"/>
      <c r="C337" s="189"/>
      <c r="E337" s="189"/>
      <c r="F337" s="189"/>
      <c r="I337" s="179"/>
      <c r="J337" s="189"/>
      <c r="K337" s="189"/>
      <c r="M337" s="189"/>
      <c r="N337" s="189"/>
      <c r="Q337" s="179"/>
      <c r="S337" s="189"/>
      <c r="T337" s="189"/>
      <c r="V337" s="189"/>
      <c r="W337" s="189"/>
      <c r="Z337" s="179"/>
      <c r="AA337" s="189"/>
      <c r="AB337" s="189"/>
      <c r="AD337" s="189"/>
      <c r="AE337" s="189"/>
      <c r="AH337" s="179"/>
      <c r="AJ337" s="191"/>
      <c r="AK337" s="191"/>
      <c r="AM337" s="191"/>
      <c r="AN337" s="191"/>
      <c r="AQ337" s="179"/>
      <c r="AR337" s="192"/>
      <c r="AS337" s="192"/>
      <c r="AU337" s="192"/>
      <c r="AV337" s="192"/>
      <c r="AY337" s="179"/>
      <c r="BA337" s="192"/>
      <c r="BB337" s="192"/>
      <c r="BD337" s="192"/>
      <c r="BE337" s="192"/>
      <c r="BH337" s="179"/>
      <c r="BI337" s="192"/>
      <c r="BJ337" s="192"/>
      <c r="BL337" s="192"/>
      <c r="BM337" s="192"/>
      <c r="BP337" s="179"/>
    </row>
    <row r="338">
      <c r="B338" s="189"/>
      <c r="C338" s="189"/>
      <c r="E338" s="189"/>
      <c r="F338" s="189"/>
      <c r="I338" s="179"/>
      <c r="J338" s="189"/>
      <c r="K338" s="189"/>
      <c r="M338" s="189"/>
      <c r="N338" s="189"/>
      <c r="Q338" s="179"/>
      <c r="S338" s="189"/>
      <c r="T338" s="189"/>
      <c r="V338" s="189"/>
      <c r="W338" s="189"/>
      <c r="Z338" s="179"/>
      <c r="AA338" s="189"/>
      <c r="AB338" s="189"/>
      <c r="AD338" s="189"/>
      <c r="AE338" s="189"/>
      <c r="AH338" s="179"/>
      <c r="AJ338" s="191"/>
      <c r="AK338" s="191"/>
      <c r="AM338" s="191"/>
      <c r="AN338" s="191"/>
      <c r="AQ338" s="179"/>
      <c r="AR338" s="192"/>
      <c r="AS338" s="192"/>
      <c r="AU338" s="192"/>
      <c r="AV338" s="192"/>
      <c r="AY338" s="179"/>
      <c r="BA338" s="192"/>
      <c r="BB338" s="192"/>
      <c r="BD338" s="192"/>
      <c r="BE338" s="192"/>
      <c r="BH338" s="179"/>
      <c r="BI338" s="192"/>
      <c r="BJ338" s="192"/>
      <c r="BL338" s="192"/>
      <c r="BM338" s="192"/>
      <c r="BP338" s="179"/>
    </row>
    <row r="339">
      <c r="B339" s="189"/>
      <c r="C339" s="189"/>
      <c r="E339" s="189"/>
      <c r="F339" s="189"/>
      <c r="I339" s="179"/>
      <c r="J339" s="189"/>
      <c r="K339" s="189"/>
      <c r="M339" s="189"/>
      <c r="N339" s="189"/>
      <c r="Q339" s="179"/>
      <c r="S339" s="189"/>
      <c r="T339" s="189"/>
      <c r="V339" s="189"/>
      <c r="W339" s="189"/>
      <c r="Z339" s="179"/>
      <c r="AA339" s="189"/>
      <c r="AB339" s="189"/>
      <c r="AD339" s="189"/>
      <c r="AE339" s="189"/>
      <c r="AH339" s="179"/>
      <c r="AJ339" s="191"/>
      <c r="AK339" s="191"/>
      <c r="AM339" s="191"/>
      <c r="AN339" s="191"/>
      <c r="AQ339" s="179"/>
      <c r="AR339" s="192"/>
      <c r="AS339" s="192"/>
      <c r="AU339" s="192"/>
      <c r="AV339" s="192"/>
      <c r="AY339" s="179"/>
      <c r="BA339" s="192"/>
      <c r="BB339" s="192"/>
      <c r="BD339" s="192"/>
      <c r="BE339" s="192"/>
      <c r="BH339" s="179"/>
      <c r="BI339" s="192"/>
      <c r="BJ339" s="192"/>
      <c r="BL339" s="192"/>
      <c r="BM339" s="192"/>
      <c r="BP339" s="179"/>
    </row>
    <row r="340">
      <c r="B340" s="189"/>
      <c r="C340" s="189"/>
      <c r="E340" s="189"/>
      <c r="F340" s="189"/>
      <c r="I340" s="179"/>
      <c r="J340" s="189"/>
      <c r="K340" s="189"/>
      <c r="M340" s="189"/>
      <c r="N340" s="189"/>
      <c r="Q340" s="179"/>
      <c r="S340" s="189"/>
      <c r="T340" s="189"/>
      <c r="V340" s="189"/>
      <c r="W340" s="189"/>
      <c r="Z340" s="179"/>
      <c r="AA340" s="189"/>
      <c r="AB340" s="189"/>
      <c r="AD340" s="189"/>
      <c r="AE340" s="189"/>
      <c r="AH340" s="179"/>
      <c r="AJ340" s="191"/>
      <c r="AK340" s="191"/>
      <c r="AM340" s="191"/>
      <c r="AN340" s="191"/>
      <c r="AQ340" s="179"/>
      <c r="AR340" s="192"/>
      <c r="AS340" s="192"/>
      <c r="AU340" s="192"/>
      <c r="AV340" s="192"/>
      <c r="AY340" s="179"/>
      <c r="BA340" s="192"/>
      <c r="BB340" s="192"/>
      <c r="BD340" s="192"/>
      <c r="BE340" s="192"/>
      <c r="BH340" s="179"/>
      <c r="BI340" s="192"/>
      <c r="BJ340" s="192"/>
      <c r="BL340" s="192"/>
      <c r="BM340" s="192"/>
      <c r="BP340" s="179"/>
    </row>
    <row r="341">
      <c r="B341" s="189"/>
      <c r="C341" s="189"/>
      <c r="E341" s="189"/>
      <c r="F341" s="189"/>
      <c r="I341" s="179"/>
      <c r="J341" s="189"/>
      <c r="K341" s="189"/>
      <c r="M341" s="189"/>
      <c r="N341" s="189"/>
      <c r="Q341" s="179"/>
      <c r="S341" s="189"/>
      <c r="T341" s="189"/>
      <c r="V341" s="189"/>
      <c r="W341" s="189"/>
      <c r="Z341" s="179"/>
      <c r="AA341" s="189"/>
      <c r="AB341" s="189"/>
      <c r="AD341" s="189"/>
      <c r="AE341" s="189"/>
      <c r="AH341" s="179"/>
      <c r="AJ341" s="191"/>
      <c r="AK341" s="191"/>
      <c r="AM341" s="191"/>
      <c r="AN341" s="191"/>
      <c r="AQ341" s="179"/>
      <c r="AR341" s="192"/>
      <c r="AS341" s="192"/>
      <c r="AU341" s="192"/>
      <c r="AV341" s="192"/>
      <c r="AY341" s="179"/>
      <c r="BA341" s="192"/>
      <c r="BB341" s="192"/>
      <c r="BD341" s="192"/>
      <c r="BE341" s="192"/>
      <c r="BH341" s="179"/>
      <c r="BI341" s="192"/>
      <c r="BJ341" s="192"/>
      <c r="BL341" s="192"/>
      <c r="BM341" s="192"/>
      <c r="BP341" s="179"/>
    </row>
    <row r="342">
      <c r="B342" s="189"/>
      <c r="C342" s="189"/>
      <c r="E342" s="189"/>
      <c r="F342" s="189"/>
      <c r="I342" s="179"/>
      <c r="J342" s="189"/>
      <c r="K342" s="189"/>
      <c r="M342" s="189"/>
      <c r="N342" s="189"/>
      <c r="Q342" s="179"/>
      <c r="S342" s="189"/>
      <c r="T342" s="189"/>
      <c r="V342" s="189"/>
      <c r="W342" s="189"/>
      <c r="Z342" s="179"/>
      <c r="AA342" s="189"/>
      <c r="AB342" s="189"/>
      <c r="AD342" s="189"/>
      <c r="AE342" s="189"/>
      <c r="AH342" s="179"/>
      <c r="AJ342" s="191"/>
      <c r="AK342" s="191"/>
      <c r="AM342" s="191"/>
      <c r="AN342" s="191"/>
      <c r="AQ342" s="179"/>
      <c r="AR342" s="192"/>
      <c r="AS342" s="192"/>
      <c r="AU342" s="192"/>
      <c r="AV342" s="192"/>
      <c r="AY342" s="179"/>
      <c r="BA342" s="192"/>
      <c r="BB342" s="192"/>
      <c r="BD342" s="192"/>
      <c r="BE342" s="192"/>
      <c r="BH342" s="179"/>
      <c r="BI342" s="192"/>
      <c r="BJ342" s="192"/>
      <c r="BL342" s="192"/>
      <c r="BM342" s="192"/>
      <c r="BP342" s="179"/>
    </row>
    <row r="343">
      <c r="B343" s="189"/>
      <c r="C343" s="189"/>
      <c r="E343" s="189"/>
      <c r="F343" s="189"/>
      <c r="I343" s="179"/>
      <c r="J343" s="189"/>
      <c r="K343" s="189"/>
      <c r="M343" s="189"/>
      <c r="N343" s="189"/>
      <c r="Q343" s="179"/>
      <c r="S343" s="189"/>
      <c r="T343" s="189"/>
      <c r="V343" s="189"/>
      <c r="W343" s="189"/>
      <c r="Z343" s="179"/>
      <c r="AA343" s="189"/>
      <c r="AB343" s="189"/>
      <c r="AD343" s="189"/>
      <c r="AE343" s="189"/>
      <c r="AH343" s="179"/>
      <c r="AJ343" s="191"/>
      <c r="AK343" s="191"/>
      <c r="AM343" s="191"/>
      <c r="AN343" s="191"/>
      <c r="AQ343" s="179"/>
      <c r="AR343" s="192"/>
      <c r="AS343" s="192"/>
      <c r="AU343" s="192"/>
      <c r="AV343" s="192"/>
      <c r="AY343" s="179"/>
      <c r="BA343" s="192"/>
      <c r="BB343" s="192"/>
      <c r="BD343" s="192"/>
      <c r="BE343" s="192"/>
      <c r="BH343" s="179"/>
      <c r="BI343" s="192"/>
      <c r="BJ343" s="192"/>
      <c r="BL343" s="192"/>
      <c r="BM343" s="192"/>
      <c r="BP343" s="179"/>
    </row>
    <row r="344">
      <c r="B344" s="189"/>
      <c r="C344" s="189"/>
      <c r="E344" s="189"/>
      <c r="F344" s="189"/>
      <c r="I344" s="179"/>
      <c r="J344" s="189"/>
      <c r="K344" s="189"/>
      <c r="M344" s="189"/>
      <c r="N344" s="189"/>
      <c r="Q344" s="179"/>
      <c r="S344" s="189"/>
      <c r="T344" s="189"/>
      <c r="V344" s="189"/>
      <c r="W344" s="189"/>
      <c r="Z344" s="179"/>
      <c r="AA344" s="189"/>
      <c r="AB344" s="189"/>
      <c r="AD344" s="189"/>
      <c r="AE344" s="189"/>
      <c r="AH344" s="179"/>
      <c r="AJ344" s="191"/>
      <c r="AK344" s="191"/>
      <c r="AM344" s="191"/>
      <c r="AN344" s="191"/>
      <c r="AQ344" s="179"/>
      <c r="AR344" s="192"/>
      <c r="AS344" s="192"/>
      <c r="AU344" s="192"/>
      <c r="AV344" s="192"/>
      <c r="AY344" s="179"/>
      <c r="BA344" s="192"/>
      <c r="BB344" s="192"/>
      <c r="BD344" s="192"/>
      <c r="BE344" s="192"/>
      <c r="BH344" s="179"/>
      <c r="BI344" s="192"/>
      <c r="BJ344" s="192"/>
      <c r="BL344" s="192"/>
      <c r="BM344" s="192"/>
      <c r="BP344" s="179"/>
    </row>
    <row r="345">
      <c r="B345" s="189"/>
      <c r="C345" s="189"/>
      <c r="E345" s="189"/>
      <c r="F345" s="189"/>
      <c r="I345" s="179"/>
      <c r="J345" s="189"/>
      <c r="K345" s="189"/>
      <c r="M345" s="189"/>
      <c r="N345" s="189"/>
      <c r="Q345" s="179"/>
      <c r="S345" s="189"/>
      <c r="T345" s="189"/>
      <c r="V345" s="189"/>
      <c r="W345" s="189"/>
      <c r="Z345" s="179"/>
      <c r="AA345" s="189"/>
      <c r="AB345" s="189"/>
      <c r="AD345" s="189"/>
      <c r="AE345" s="189"/>
      <c r="AH345" s="179"/>
      <c r="AJ345" s="191"/>
      <c r="AK345" s="191"/>
      <c r="AM345" s="191"/>
      <c r="AN345" s="191"/>
      <c r="AQ345" s="179"/>
      <c r="AR345" s="192"/>
      <c r="AS345" s="192"/>
      <c r="AU345" s="192"/>
      <c r="AV345" s="192"/>
      <c r="AY345" s="179"/>
      <c r="BA345" s="192"/>
      <c r="BB345" s="192"/>
      <c r="BD345" s="192"/>
      <c r="BE345" s="192"/>
      <c r="BH345" s="179"/>
      <c r="BI345" s="192"/>
      <c r="BJ345" s="192"/>
      <c r="BL345" s="192"/>
      <c r="BM345" s="192"/>
      <c r="BP345" s="179"/>
    </row>
    <row r="346">
      <c r="B346" s="189"/>
      <c r="C346" s="189"/>
      <c r="E346" s="189"/>
      <c r="F346" s="189"/>
      <c r="I346" s="179"/>
      <c r="J346" s="189"/>
      <c r="K346" s="189"/>
      <c r="M346" s="189"/>
      <c r="N346" s="189"/>
      <c r="Q346" s="179"/>
      <c r="S346" s="189"/>
      <c r="T346" s="189"/>
      <c r="V346" s="189"/>
      <c r="W346" s="189"/>
      <c r="Z346" s="179"/>
      <c r="AA346" s="189"/>
      <c r="AB346" s="189"/>
      <c r="AD346" s="189"/>
      <c r="AE346" s="189"/>
      <c r="AH346" s="179"/>
      <c r="AJ346" s="191"/>
      <c r="AK346" s="191"/>
      <c r="AM346" s="191"/>
      <c r="AN346" s="191"/>
      <c r="AQ346" s="179"/>
      <c r="AR346" s="192"/>
      <c r="AS346" s="192"/>
      <c r="AU346" s="192"/>
      <c r="AV346" s="192"/>
      <c r="AY346" s="179"/>
      <c r="BA346" s="192"/>
      <c r="BB346" s="192"/>
      <c r="BD346" s="192"/>
      <c r="BE346" s="192"/>
      <c r="BH346" s="179"/>
      <c r="BI346" s="192"/>
      <c r="BJ346" s="192"/>
      <c r="BL346" s="192"/>
      <c r="BM346" s="192"/>
      <c r="BP346" s="179"/>
    </row>
    <row r="347">
      <c r="B347" s="189"/>
      <c r="C347" s="189"/>
      <c r="E347" s="189"/>
      <c r="F347" s="189"/>
      <c r="I347" s="179"/>
      <c r="J347" s="189"/>
      <c r="K347" s="189"/>
      <c r="M347" s="189"/>
      <c r="N347" s="189"/>
      <c r="Q347" s="179"/>
      <c r="S347" s="189"/>
      <c r="T347" s="189"/>
      <c r="V347" s="189"/>
      <c r="W347" s="189"/>
      <c r="Z347" s="179"/>
      <c r="AA347" s="189"/>
      <c r="AB347" s="189"/>
      <c r="AD347" s="189"/>
      <c r="AE347" s="189"/>
      <c r="AH347" s="179"/>
      <c r="AJ347" s="191"/>
      <c r="AK347" s="191"/>
      <c r="AM347" s="191"/>
      <c r="AN347" s="191"/>
      <c r="AQ347" s="179"/>
      <c r="AR347" s="192"/>
      <c r="AS347" s="192"/>
      <c r="AU347" s="192"/>
      <c r="AV347" s="192"/>
      <c r="AY347" s="179"/>
      <c r="BA347" s="192"/>
      <c r="BB347" s="192"/>
      <c r="BD347" s="192"/>
      <c r="BE347" s="192"/>
      <c r="BH347" s="179"/>
      <c r="BI347" s="192"/>
      <c r="BJ347" s="192"/>
      <c r="BL347" s="192"/>
      <c r="BM347" s="192"/>
      <c r="BP347" s="179"/>
    </row>
    <row r="348">
      <c r="B348" s="189"/>
      <c r="C348" s="189"/>
      <c r="E348" s="189"/>
      <c r="F348" s="189"/>
      <c r="I348" s="179"/>
      <c r="J348" s="189"/>
      <c r="K348" s="189"/>
      <c r="M348" s="189"/>
      <c r="N348" s="189"/>
      <c r="Q348" s="179"/>
      <c r="S348" s="189"/>
      <c r="T348" s="189"/>
      <c r="V348" s="189"/>
      <c r="W348" s="189"/>
      <c r="Z348" s="179"/>
      <c r="AA348" s="189"/>
      <c r="AB348" s="189"/>
      <c r="AD348" s="189"/>
      <c r="AE348" s="189"/>
      <c r="AH348" s="179"/>
      <c r="AJ348" s="191"/>
      <c r="AK348" s="191"/>
      <c r="AM348" s="191"/>
      <c r="AN348" s="191"/>
      <c r="AQ348" s="179"/>
      <c r="AR348" s="192"/>
      <c r="AS348" s="192"/>
      <c r="AU348" s="192"/>
      <c r="AV348" s="192"/>
      <c r="AY348" s="179"/>
      <c r="BA348" s="192"/>
      <c r="BB348" s="192"/>
      <c r="BD348" s="192"/>
      <c r="BE348" s="192"/>
      <c r="BH348" s="179"/>
      <c r="BI348" s="192"/>
      <c r="BJ348" s="192"/>
      <c r="BL348" s="192"/>
      <c r="BM348" s="192"/>
      <c r="BP348" s="179"/>
    </row>
    <row r="349">
      <c r="B349" s="189"/>
      <c r="C349" s="189"/>
      <c r="E349" s="189"/>
      <c r="F349" s="189"/>
      <c r="I349" s="179"/>
      <c r="J349" s="189"/>
      <c r="K349" s="189"/>
      <c r="M349" s="189"/>
      <c r="N349" s="189"/>
      <c r="Q349" s="179"/>
      <c r="S349" s="189"/>
      <c r="T349" s="189"/>
      <c r="V349" s="189"/>
      <c r="W349" s="189"/>
      <c r="Z349" s="179"/>
      <c r="AA349" s="189"/>
      <c r="AB349" s="189"/>
      <c r="AD349" s="189"/>
      <c r="AE349" s="189"/>
      <c r="AH349" s="179"/>
      <c r="AJ349" s="191"/>
      <c r="AK349" s="191"/>
      <c r="AM349" s="191"/>
      <c r="AN349" s="191"/>
      <c r="AQ349" s="179"/>
      <c r="AR349" s="192"/>
      <c r="AS349" s="192"/>
      <c r="AU349" s="192"/>
      <c r="AV349" s="192"/>
      <c r="AY349" s="179"/>
      <c r="BA349" s="192"/>
      <c r="BB349" s="192"/>
      <c r="BD349" s="192"/>
      <c r="BE349" s="192"/>
      <c r="BH349" s="179"/>
      <c r="BI349" s="192"/>
      <c r="BJ349" s="192"/>
      <c r="BL349" s="192"/>
      <c r="BM349" s="192"/>
      <c r="BP349" s="179"/>
    </row>
    <row r="350">
      <c r="B350" s="189"/>
      <c r="C350" s="189"/>
      <c r="E350" s="189"/>
      <c r="F350" s="189"/>
      <c r="I350" s="179"/>
      <c r="J350" s="189"/>
      <c r="K350" s="189"/>
      <c r="M350" s="189"/>
      <c r="N350" s="189"/>
      <c r="Q350" s="179"/>
      <c r="S350" s="189"/>
      <c r="T350" s="189"/>
      <c r="V350" s="189"/>
      <c r="W350" s="189"/>
      <c r="Z350" s="179"/>
      <c r="AA350" s="189"/>
      <c r="AB350" s="189"/>
      <c r="AD350" s="189"/>
      <c r="AE350" s="189"/>
      <c r="AH350" s="179"/>
      <c r="AJ350" s="191"/>
      <c r="AK350" s="191"/>
      <c r="AM350" s="191"/>
      <c r="AN350" s="191"/>
      <c r="AQ350" s="179"/>
      <c r="AR350" s="192"/>
      <c r="AS350" s="192"/>
      <c r="AU350" s="192"/>
      <c r="AV350" s="192"/>
      <c r="AY350" s="179"/>
      <c r="BA350" s="192"/>
      <c r="BB350" s="192"/>
      <c r="BD350" s="192"/>
      <c r="BE350" s="192"/>
      <c r="BH350" s="179"/>
      <c r="BI350" s="192"/>
      <c r="BJ350" s="192"/>
      <c r="BL350" s="192"/>
      <c r="BM350" s="192"/>
      <c r="BP350" s="179"/>
    </row>
    <row r="351">
      <c r="B351" s="189"/>
      <c r="C351" s="189"/>
      <c r="E351" s="189"/>
      <c r="F351" s="189"/>
      <c r="I351" s="179"/>
      <c r="J351" s="189"/>
      <c r="K351" s="189"/>
      <c r="M351" s="189"/>
      <c r="N351" s="189"/>
      <c r="Q351" s="179"/>
      <c r="S351" s="189"/>
      <c r="T351" s="189"/>
      <c r="V351" s="189"/>
      <c r="W351" s="189"/>
      <c r="Z351" s="179"/>
      <c r="AA351" s="189"/>
      <c r="AB351" s="189"/>
      <c r="AD351" s="189"/>
      <c r="AE351" s="189"/>
      <c r="AH351" s="179"/>
      <c r="AJ351" s="191"/>
      <c r="AK351" s="191"/>
      <c r="AM351" s="191"/>
      <c r="AN351" s="191"/>
      <c r="AQ351" s="179"/>
      <c r="AR351" s="192"/>
      <c r="AS351" s="192"/>
      <c r="AU351" s="192"/>
      <c r="AV351" s="192"/>
      <c r="AY351" s="179"/>
      <c r="BA351" s="192"/>
      <c r="BB351" s="192"/>
      <c r="BD351" s="192"/>
      <c r="BE351" s="192"/>
      <c r="BH351" s="179"/>
      <c r="BI351" s="192"/>
      <c r="BJ351" s="192"/>
      <c r="BL351" s="192"/>
      <c r="BM351" s="192"/>
      <c r="BP351" s="179"/>
    </row>
    <row r="352">
      <c r="B352" s="189"/>
      <c r="C352" s="189"/>
      <c r="E352" s="189"/>
      <c r="F352" s="189"/>
      <c r="I352" s="179"/>
      <c r="J352" s="189"/>
      <c r="K352" s="189"/>
      <c r="M352" s="189"/>
      <c r="N352" s="189"/>
      <c r="Q352" s="179"/>
      <c r="S352" s="189"/>
      <c r="T352" s="189"/>
      <c r="V352" s="189"/>
      <c r="W352" s="189"/>
      <c r="Z352" s="179"/>
      <c r="AA352" s="189"/>
      <c r="AB352" s="189"/>
      <c r="AD352" s="189"/>
      <c r="AE352" s="189"/>
      <c r="AH352" s="179"/>
      <c r="AJ352" s="191"/>
      <c r="AK352" s="191"/>
      <c r="AM352" s="191"/>
      <c r="AN352" s="191"/>
      <c r="AQ352" s="179"/>
      <c r="AR352" s="192"/>
      <c r="AS352" s="192"/>
      <c r="AU352" s="192"/>
      <c r="AV352" s="192"/>
      <c r="AY352" s="179"/>
      <c r="BA352" s="192"/>
      <c r="BB352" s="192"/>
      <c r="BD352" s="192"/>
      <c r="BE352" s="192"/>
      <c r="BH352" s="179"/>
      <c r="BI352" s="192"/>
      <c r="BJ352" s="192"/>
      <c r="BL352" s="192"/>
      <c r="BM352" s="192"/>
      <c r="BP352" s="179"/>
    </row>
    <row r="353">
      <c r="B353" s="189"/>
      <c r="C353" s="189"/>
      <c r="E353" s="189"/>
      <c r="F353" s="189"/>
      <c r="I353" s="179"/>
      <c r="J353" s="189"/>
      <c r="K353" s="189"/>
      <c r="M353" s="189"/>
      <c r="N353" s="189"/>
      <c r="Q353" s="179"/>
      <c r="S353" s="189"/>
      <c r="T353" s="189"/>
      <c r="V353" s="189"/>
      <c r="W353" s="189"/>
      <c r="Z353" s="179"/>
      <c r="AA353" s="189"/>
      <c r="AB353" s="189"/>
      <c r="AD353" s="189"/>
      <c r="AE353" s="189"/>
      <c r="AH353" s="179"/>
      <c r="AJ353" s="191"/>
      <c r="AK353" s="191"/>
      <c r="AM353" s="191"/>
      <c r="AN353" s="191"/>
      <c r="AQ353" s="179"/>
      <c r="AR353" s="192"/>
      <c r="AS353" s="192"/>
      <c r="AU353" s="192"/>
      <c r="AV353" s="192"/>
      <c r="AY353" s="179"/>
      <c r="BA353" s="192"/>
      <c r="BB353" s="192"/>
      <c r="BD353" s="192"/>
      <c r="BE353" s="192"/>
      <c r="BH353" s="179"/>
      <c r="BI353" s="192"/>
      <c r="BJ353" s="192"/>
      <c r="BL353" s="192"/>
      <c r="BM353" s="192"/>
      <c r="BP353" s="179"/>
    </row>
    <row r="354">
      <c r="B354" s="189"/>
      <c r="C354" s="189"/>
      <c r="E354" s="189"/>
      <c r="F354" s="189"/>
      <c r="I354" s="179"/>
      <c r="J354" s="189"/>
      <c r="K354" s="189"/>
      <c r="M354" s="189"/>
      <c r="N354" s="189"/>
      <c r="Q354" s="179"/>
      <c r="S354" s="189"/>
      <c r="T354" s="189"/>
      <c r="V354" s="189"/>
      <c r="W354" s="189"/>
      <c r="Z354" s="179"/>
      <c r="AA354" s="189"/>
      <c r="AB354" s="189"/>
      <c r="AD354" s="189"/>
      <c r="AE354" s="189"/>
      <c r="AH354" s="179"/>
      <c r="AJ354" s="191"/>
      <c r="AK354" s="191"/>
      <c r="AM354" s="191"/>
      <c r="AN354" s="191"/>
      <c r="AQ354" s="179"/>
      <c r="AR354" s="192"/>
      <c r="AS354" s="192"/>
      <c r="AU354" s="192"/>
      <c r="AV354" s="192"/>
      <c r="AY354" s="179"/>
      <c r="BA354" s="192"/>
      <c r="BB354" s="192"/>
      <c r="BD354" s="192"/>
      <c r="BE354" s="192"/>
      <c r="BH354" s="179"/>
      <c r="BI354" s="192"/>
      <c r="BJ354" s="192"/>
      <c r="BL354" s="192"/>
      <c r="BM354" s="192"/>
      <c r="BP354" s="179"/>
    </row>
    <row r="355">
      <c r="B355" s="189"/>
      <c r="C355" s="189"/>
      <c r="E355" s="189"/>
      <c r="F355" s="189"/>
      <c r="I355" s="179"/>
      <c r="J355" s="189"/>
      <c r="K355" s="189"/>
      <c r="M355" s="189"/>
      <c r="N355" s="189"/>
      <c r="Q355" s="179"/>
      <c r="S355" s="189"/>
      <c r="T355" s="189"/>
      <c r="V355" s="189"/>
      <c r="W355" s="189"/>
      <c r="Z355" s="179"/>
      <c r="AA355" s="189"/>
      <c r="AB355" s="189"/>
      <c r="AD355" s="189"/>
      <c r="AE355" s="189"/>
      <c r="AH355" s="179"/>
      <c r="AJ355" s="191"/>
      <c r="AK355" s="191"/>
      <c r="AM355" s="191"/>
      <c r="AN355" s="191"/>
      <c r="AQ355" s="179"/>
      <c r="AR355" s="192"/>
      <c r="AS355" s="192"/>
      <c r="AU355" s="192"/>
      <c r="AV355" s="192"/>
      <c r="AY355" s="179"/>
      <c r="BA355" s="192"/>
      <c r="BB355" s="192"/>
      <c r="BD355" s="192"/>
      <c r="BE355" s="192"/>
      <c r="BH355" s="179"/>
      <c r="BI355" s="192"/>
      <c r="BJ355" s="192"/>
      <c r="BL355" s="192"/>
      <c r="BM355" s="192"/>
      <c r="BP355" s="179"/>
    </row>
    <row r="356">
      <c r="B356" s="189"/>
      <c r="C356" s="189"/>
      <c r="E356" s="189"/>
      <c r="F356" s="189"/>
      <c r="I356" s="179"/>
      <c r="J356" s="189"/>
      <c r="K356" s="189"/>
      <c r="M356" s="189"/>
      <c r="N356" s="189"/>
      <c r="Q356" s="179"/>
      <c r="S356" s="189"/>
      <c r="T356" s="189"/>
      <c r="V356" s="189"/>
      <c r="W356" s="189"/>
      <c r="Z356" s="179"/>
      <c r="AA356" s="189"/>
      <c r="AB356" s="189"/>
      <c r="AD356" s="189"/>
      <c r="AE356" s="189"/>
      <c r="AH356" s="179"/>
      <c r="AJ356" s="191"/>
      <c r="AK356" s="191"/>
      <c r="AM356" s="191"/>
      <c r="AN356" s="191"/>
      <c r="AQ356" s="179"/>
      <c r="AR356" s="192"/>
      <c r="AS356" s="192"/>
      <c r="AU356" s="192"/>
      <c r="AV356" s="192"/>
      <c r="AY356" s="179"/>
      <c r="BA356" s="192"/>
      <c r="BB356" s="192"/>
      <c r="BD356" s="192"/>
      <c r="BE356" s="192"/>
      <c r="BH356" s="179"/>
      <c r="BI356" s="192"/>
      <c r="BJ356" s="192"/>
      <c r="BL356" s="192"/>
      <c r="BM356" s="192"/>
      <c r="BP356" s="179"/>
    </row>
    <row r="357">
      <c r="B357" s="189"/>
      <c r="C357" s="189"/>
      <c r="E357" s="189"/>
      <c r="F357" s="189"/>
      <c r="I357" s="179"/>
      <c r="J357" s="189"/>
      <c r="K357" s="189"/>
      <c r="M357" s="189"/>
      <c r="N357" s="189"/>
      <c r="Q357" s="179"/>
      <c r="S357" s="189"/>
      <c r="T357" s="189"/>
      <c r="V357" s="189"/>
      <c r="W357" s="189"/>
      <c r="Z357" s="179"/>
      <c r="AA357" s="189"/>
      <c r="AB357" s="189"/>
      <c r="AD357" s="189"/>
      <c r="AE357" s="189"/>
      <c r="AH357" s="179"/>
      <c r="AJ357" s="191"/>
      <c r="AK357" s="191"/>
      <c r="AM357" s="191"/>
      <c r="AN357" s="191"/>
      <c r="AQ357" s="179"/>
      <c r="AR357" s="192"/>
      <c r="AS357" s="192"/>
      <c r="AU357" s="192"/>
      <c r="AV357" s="192"/>
      <c r="AY357" s="179"/>
      <c r="BA357" s="192"/>
      <c r="BB357" s="192"/>
      <c r="BD357" s="192"/>
      <c r="BE357" s="192"/>
      <c r="BH357" s="179"/>
      <c r="BI357" s="192"/>
      <c r="BJ357" s="192"/>
      <c r="BL357" s="192"/>
      <c r="BM357" s="192"/>
      <c r="BP357" s="179"/>
    </row>
    <row r="358">
      <c r="B358" s="189"/>
      <c r="C358" s="189"/>
      <c r="E358" s="189"/>
      <c r="F358" s="189"/>
      <c r="I358" s="179"/>
      <c r="J358" s="189"/>
      <c r="K358" s="189"/>
      <c r="M358" s="189"/>
      <c r="N358" s="189"/>
      <c r="Q358" s="179"/>
      <c r="S358" s="189"/>
      <c r="T358" s="189"/>
      <c r="V358" s="189"/>
      <c r="W358" s="189"/>
      <c r="Z358" s="179"/>
      <c r="AA358" s="189"/>
      <c r="AB358" s="189"/>
      <c r="AD358" s="189"/>
      <c r="AE358" s="189"/>
      <c r="AH358" s="179"/>
      <c r="AJ358" s="191"/>
      <c r="AK358" s="191"/>
      <c r="AM358" s="191"/>
      <c r="AN358" s="191"/>
      <c r="AQ358" s="179"/>
      <c r="AR358" s="192"/>
      <c r="AS358" s="192"/>
      <c r="AU358" s="192"/>
      <c r="AV358" s="192"/>
      <c r="AY358" s="179"/>
      <c r="BA358" s="192"/>
      <c r="BB358" s="192"/>
      <c r="BD358" s="192"/>
      <c r="BE358" s="192"/>
      <c r="BH358" s="179"/>
      <c r="BI358" s="192"/>
      <c r="BJ358" s="192"/>
      <c r="BL358" s="192"/>
      <c r="BM358" s="192"/>
      <c r="BP358" s="179"/>
    </row>
    <row r="359">
      <c r="B359" s="189"/>
      <c r="C359" s="189"/>
      <c r="E359" s="189"/>
      <c r="F359" s="189"/>
      <c r="I359" s="179"/>
      <c r="J359" s="189"/>
      <c r="K359" s="189"/>
      <c r="M359" s="189"/>
      <c r="N359" s="189"/>
      <c r="Q359" s="179"/>
      <c r="S359" s="189"/>
      <c r="T359" s="189"/>
      <c r="V359" s="189"/>
      <c r="W359" s="189"/>
      <c r="Z359" s="179"/>
      <c r="AA359" s="189"/>
      <c r="AB359" s="189"/>
      <c r="AD359" s="189"/>
      <c r="AE359" s="189"/>
      <c r="AH359" s="179"/>
      <c r="AJ359" s="191"/>
      <c r="AK359" s="191"/>
      <c r="AM359" s="191"/>
      <c r="AN359" s="191"/>
      <c r="AQ359" s="179"/>
      <c r="AR359" s="192"/>
      <c r="AS359" s="192"/>
      <c r="AU359" s="192"/>
      <c r="AV359" s="192"/>
      <c r="AY359" s="179"/>
      <c r="BA359" s="192"/>
      <c r="BB359" s="192"/>
      <c r="BD359" s="192"/>
      <c r="BE359" s="192"/>
      <c r="BH359" s="179"/>
      <c r="BI359" s="192"/>
      <c r="BJ359" s="192"/>
      <c r="BL359" s="192"/>
      <c r="BM359" s="192"/>
      <c r="BP359" s="179"/>
    </row>
    <row r="360">
      <c r="B360" s="189"/>
      <c r="C360" s="189"/>
      <c r="E360" s="189"/>
      <c r="F360" s="189"/>
      <c r="I360" s="179"/>
      <c r="J360" s="189"/>
      <c r="K360" s="189"/>
      <c r="M360" s="189"/>
      <c r="N360" s="189"/>
      <c r="Q360" s="179"/>
      <c r="S360" s="189"/>
      <c r="T360" s="189"/>
      <c r="V360" s="189"/>
      <c r="W360" s="189"/>
      <c r="Z360" s="179"/>
      <c r="AA360" s="189"/>
      <c r="AB360" s="189"/>
      <c r="AD360" s="189"/>
      <c r="AE360" s="189"/>
      <c r="AH360" s="179"/>
      <c r="AJ360" s="191"/>
      <c r="AK360" s="191"/>
      <c r="AM360" s="191"/>
      <c r="AN360" s="191"/>
      <c r="AQ360" s="179"/>
      <c r="AR360" s="192"/>
      <c r="AS360" s="192"/>
      <c r="AU360" s="192"/>
      <c r="AV360" s="192"/>
      <c r="AY360" s="179"/>
      <c r="BA360" s="192"/>
      <c r="BB360" s="192"/>
      <c r="BD360" s="192"/>
      <c r="BE360" s="192"/>
      <c r="BH360" s="179"/>
      <c r="BI360" s="192"/>
      <c r="BJ360" s="192"/>
      <c r="BL360" s="192"/>
      <c r="BM360" s="192"/>
      <c r="BP360" s="179"/>
    </row>
    <row r="361">
      <c r="B361" s="189"/>
      <c r="C361" s="189"/>
      <c r="E361" s="189"/>
      <c r="F361" s="189"/>
      <c r="I361" s="179"/>
      <c r="J361" s="189"/>
      <c r="K361" s="189"/>
      <c r="M361" s="189"/>
      <c r="N361" s="189"/>
      <c r="Q361" s="179"/>
      <c r="S361" s="189"/>
      <c r="T361" s="189"/>
      <c r="V361" s="189"/>
      <c r="W361" s="189"/>
      <c r="Z361" s="179"/>
      <c r="AA361" s="189"/>
      <c r="AB361" s="189"/>
      <c r="AD361" s="189"/>
      <c r="AE361" s="189"/>
      <c r="AH361" s="179"/>
      <c r="AJ361" s="191"/>
      <c r="AK361" s="191"/>
      <c r="AM361" s="191"/>
      <c r="AN361" s="191"/>
      <c r="AQ361" s="179"/>
      <c r="AR361" s="192"/>
      <c r="AS361" s="192"/>
      <c r="AU361" s="192"/>
      <c r="AV361" s="192"/>
      <c r="AY361" s="179"/>
      <c r="BA361" s="192"/>
      <c r="BB361" s="192"/>
      <c r="BD361" s="192"/>
      <c r="BE361" s="192"/>
      <c r="BH361" s="179"/>
      <c r="BI361" s="192"/>
      <c r="BJ361" s="192"/>
      <c r="BL361" s="192"/>
      <c r="BM361" s="192"/>
      <c r="BP361" s="179"/>
    </row>
    <row r="362">
      <c r="B362" s="189"/>
      <c r="C362" s="189"/>
      <c r="E362" s="189"/>
      <c r="F362" s="189"/>
      <c r="I362" s="179"/>
      <c r="J362" s="189"/>
      <c r="K362" s="189"/>
      <c r="M362" s="189"/>
      <c r="N362" s="189"/>
      <c r="Q362" s="179"/>
      <c r="S362" s="189"/>
      <c r="T362" s="189"/>
      <c r="V362" s="189"/>
      <c r="W362" s="189"/>
      <c r="Z362" s="179"/>
      <c r="AA362" s="189"/>
      <c r="AB362" s="189"/>
      <c r="AD362" s="189"/>
      <c r="AE362" s="189"/>
      <c r="AH362" s="179"/>
      <c r="AJ362" s="191"/>
      <c r="AK362" s="191"/>
      <c r="AM362" s="191"/>
      <c r="AN362" s="191"/>
      <c r="AQ362" s="179"/>
      <c r="AR362" s="192"/>
      <c r="AS362" s="192"/>
      <c r="AU362" s="192"/>
      <c r="AV362" s="192"/>
      <c r="AY362" s="179"/>
      <c r="BA362" s="192"/>
      <c r="BB362" s="192"/>
      <c r="BD362" s="192"/>
      <c r="BE362" s="192"/>
      <c r="BH362" s="179"/>
      <c r="BI362" s="192"/>
      <c r="BJ362" s="192"/>
      <c r="BL362" s="192"/>
      <c r="BM362" s="192"/>
      <c r="BP362" s="179"/>
    </row>
    <row r="363">
      <c r="B363" s="189"/>
      <c r="C363" s="189"/>
      <c r="E363" s="189"/>
      <c r="F363" s="189"/>
      <c r="I363" s="179"/>
      <c r="J363" s="189"/>
      <c r="K363" s="189"/>
      <c r="M363" s="189"/>
      <c r="N363" s="189"/>
      <c r="Q363" s="179"/>
      <c r="S363" s="189"/>
      <c r="T363" s="189"/>
      <c r="V363" s="189"/>
      <c r="W363" s="189"/>
      <c r="Z363" s="179"/>
      <c r="AA363" s="189"/>
      <c r="AB363" s="189"/>
      <c r="AD363" s="189"/>
      <c r="AE363" s="189"/>
      <c r="AH363" s="179"/>
      <c r="AJ363" s="191"/>
      <c r="AK363" s="191"/>
      <c r="AM363" s="191"/>
      <c r="AN363" s="191"/>
      <c r="AQ363" s="179"/>
      <c r="AR363" s="192"/>
      <c r="AS363" s="192"/>
      <c r="AU363" s="192"/>
      <c r="AV363" s="192"/>
      <c r="AY363" s="179"/>
      <c r="BA363" s="192"/>
      <c r="BB363" s="192"/>
      <c r="BD363" s="192"/>
      <c r="BE363" s="192"/>
      <c r="BH363" s="179"/>
      <c r="BI363" s="192"/>
      <c r="BJ363" s="192"/>
      <c r="BL363" s="192"/>
      <c r="BM363" s="192"/>
      <c r="BP363" s="179"/>
    </row>
    <row r="364">
      <c r="B364" s="189"/>
      <c r="C364" s="189"/>
      <c r="E364" s="189"/>
      <c r="F364" s="189"/>
      <c r="I364" s="179"/>
      <c r="J364" s="189"/>
      <c r="K364" s="189"/>
      <c r="M364" s="189"/>
      <c r="N364" s="189"/>
      <c r="Q364" s="179"/>
      <c r="S364" s="189"/>
      <c r="T364" s="189"/>
      <c r="V364" s="189"/>
      <c r="W364" s="189"/>
      <c r="Z364" s="179"/>
      <c r="AA364" s="189"/>
      <c r="AB364" s="189"/>
      <c r="AD364" s="189"/>
      <c r="AE364" s="189"/>
      <c r="AH364" s="179"/>
      <c r="AJ364" s="191"/>
      <c r="AK364" s="191"/>
      <c r="AM364" s="191"/>
      <c r="AN364" s="191"/>
      <c r="AQ364" s="179"/>
      <c r="AR364" s="192"/>
      <c r="AS364" s="192"/>
      <c r="AU364" s="192"/>
      <c r="AV364" s="192"/>
      <c r="AY364" s="179"/>
      <c r="BA364" s="192"/>
      <c r="BB364" s="192"/>
      <c r="BD364" s="192"/>
      <c r="BE364" s="192"/>
      <c r="BH364" s="179"/>
      <c r="BI364" s="192"/>
      <c r="BJ364" s="192"/>
      <c r="BL364" s="192"/>
      <c r="BM364" s="192"/>
      <c r="BP364" s="179"/>
    </row>
    <row r="365">
      <c r="B365" s="189"/>
      <c r="C365" s="189"/>
      <c r="E365" s="189"/>
      <c r="F365" s="189"/>
      <c r="I365" s="179"/>
      <c r="J365" s="189"/>
      <c r="K365" s="189"/>
      <c r="M365" s="189"/>
      <c r="N365" s="189"/>
      <c r="Q365" s="179"/>
      <c r="S365" s="189"/>
      <c r="T365" s="189"/>
      <c r="V365" s="189"/>
      <c r="W365" s="189"/>
      <c r="Z365" s="179"/>
      <c r="AA365" s="189"/>
      <c r="AB365" s="189"/>
      <c r="AD365" s="189"/>
      <c r="AE365" s="189"/>
      <c r="AH365" s="179"/>
      <c r="AJ365" s="191"/>
      <c r="AK365" s="191"/>
      <c r="AM365" s="191"/>
      <c r="AN365" s="191"/>
      <c r="AQ365" s="179"/>
      <c r="AR365" s="192"/>
      <c r="AS365" s="192"/>
      <c r="AU365" s="192"/>
      <c r="AV365" s="192"/>
      <c r="AY365" s="179"/>
      <c r="BA365" s="192"/>
      <c r="BB365" s="192"/>
      <c r="BD365" s="192"/>
      <c r="BE365" s="192"/>
      <c r="BH365" s="179"/>
      <c r="BI365" s="192"/>
      <c r="BJ365" s="192"/>
      <c r="BL365" s="192"/>
      <c r="BM365" s="192"/>
      <c r="BP365" s="179"/>
    </row>
    <row r="366">
      <c r="B366" s="189"/>
      <c r="C366" s="189"/>
      <c r="E366" s="189"/>
      <c r="F366" s="189"/>
      <c r="I366" s="179"/>
      <c r="J366" s="189"/>
      <c r="K366" s="189"/>
      <c r="M366" s="189"/>
      <c r="N366" s="189"/>
      <c r="Q366" s="179"/>
      <c r="S366" s="189"/>
      <c r="T366" s="189"/>
      <c r="V366" s="189"/>
      <c r="W366" s="189"/>
      <c r="Z366" s="179"/>
      <c r="AA366" s="189"/>
      <c r="AB366" s="189"/>
      <c r="AD366" s="189"/>
      <c r="AE366" s="189"/>
      <c r="AH366" s="179"/>
      <c r="AJ366" s="191"/>
      <c r="AK366" s="191"/>
      <c r="AM366" s="191"/>
      <c r="AN366" s="191"/>
      <c r="AQ366" s="179"/>
      <c r="AR366" s="192"/>
      <c r="AS366" s="192"/>
      <c r="AU366" s="192"/>
      <c r="AV366" s="192"/>
      <c r="AY366" s="179"/>
      <c r="BA366" s="192"/>
      <c r="BB366" s="192"/>
      <c r="BD366" s="192"/>
      <c r="BE366" s="192"/>
      <c r="BH366" s="179"/>
      <c r="BI366" s="192"/>
      <c r="BJ366" s="192"/>
      <c r="BL366" s="192"/>
      <c r="BM366" s="192"/>
      <c r="BP366" s="179"/>
    </row>
    <row r="367">
      <c r="B367" s="189"/>
      <c r="C367" s="189"/>
      <c r="E367" s="189"/>
      <c r="F367" s="189"/>
      <c r="I367" s="179"/>
      <c r="J367" s="189"/>
      <c r="K367" s="189"/>
      <c r="M367" s="189"/>
      <c r="N367" s="189"/>
      <c r="Q367" s="179"/>
      <c r="S367" s="189"/>
      <c r="T367" s="189"/>
      <c r="V367" s="189"/>
      <c r="W367" s="189"/>
      <c r="Z367" s="179"/>
      <c r="AA367" s="189"/>
      <c r="AB367" s="189"/>
      <c r="AD367" s="189"/>
      <c r="AE367" s="189"/>
      <c r="AH367" s="179"/>
      <c r="AJ367" s="191"/>
      <c r="AK367" s="191"/>
      <c r="AM367" s="191"/>
      <c r="AN367" s="191"/>
      <c r="AQ367" s="179"/>
      <c r="AR367" s="192"/>
      <c r="AS367" s="192"/>
      <c r="AU367" s="192"/>
      <c r="AV367" s="192"/>
      <c r="AY367" s="179"/>
      <c r="BA367" s="192"/>
      <c r="BB367" s="192"/>
      <c r="BD367" s="192"/>
      <c r="BE367" s="192"/>
      <c r="BH367" s="179"/>
      <c r="BI367" s="192"/>
      <c r="BJ367" s="192"/>
      <c r="BL367" s="192"/>
      <c r="BM367" s="192"/>
      <c r="BP367" s="179"/>
    </row>
    <row r="368">
      <c r="B368" s="189"/>
      <c r="C368" s="189"/>
      <c r="E368" s="189"/>
      <c r="F368" s="189"/>
      <c r="I368" s="179"/>
      <c r="J368" s="189"/>
      <c r="K368" s="189"/>
      <c r="M368" s="189"/>
      <c r="N368" s="189"/>
      <c r="Q368" s="179"/>
      <c r="S368" s="189"/>
      <c r="T368" s="189"/>
      <c r="V368" s="189"/>
      <c r="W368" s="189"/>
      <c r="Z368" s="179"/>
      <c r="AA368" s="189"/>
      <c r="AB368" s="189"/>
      <c r="AD368" s="189"/>
      <c r="AE368" s="189"/>
      <c r="AH368" s="179"/>
      <c r="AJ368" s="191"/>
      <c r="AK368" s="191"/>
      <c r="AM368" s="191"/>
      <c r="AN368" s="191"/>
      <c r="AQ368" s="179"/>
      <c r="AR368" s="192"/>
      <c r="AS368" s="192"/>
      <c r="AU368" s="192"/>
      <c r="AV368" s="192"/>
      <c r="AY368" s="179"/>
      <c r="BA368" s="192"/>
      <c r="BB368" s="192"/>
      <c r="BD368" s="192"/>
      <c r="BE368" s="192"/>
      <c r="BH368" s="179"/>
      <c r="BI368" s="192"/>
      <c r="BJ368" s="192"/>
      <c r="BL368" s="192"/>
      <c r="BM368" s="192"/>
      <c r="BP368" s="179"/>
    </row>
    <row r="369">
      <c r="B369" s="189"/>
      <c r="C369" s="189"/>
      <c r="E369" s="189"/>
      <c r="F369" s="189"/>
      <c r="I369" s="179"/>
      <c r="J369" s="189"/>
      <c r="K369" s="189"/>
      <c r="M369" s="189"/>
      <c r="N369" s="189"/>
      <c r="Q369" s="179"/>
      <c r="S369" s="189"/>
      <c r="T369" s="189"/>
      <c r="V369" s="189"/>
      <c r="W369" s="189"/>
      <c r="Z369" s="179"/>
      <c r="AA369" s="189"/>
      <c r="AB369" s="189"/>
      <c r="AD369" s="189"/>
      <c r="AE369" s="189"/>
      <c r="AH369" s="179"/>
      <c r="AJ369" s="191"/>
      <c r="AK369" s="191"/>
      <c r="AM369" s="191"/>
      <c r="AN369" s="191"/>
      <c r="AQ369" s="179"/>
      <c r="AR369" s="192"/>
      <c r="AS369" s="192"/>
      <c r="AU369" s="192"/>
      <c r="AV369" s="192"/>
      <c r="AY369" s="179"/>
      <c r="BA369" s="192"/>
      <c r="BB369" s="192"/>
      <c r="BD369" s="192"/>
      <c r="BE369" s="192"/>
      <c r="BH369" s="179"/>
      <c r="BI369" s="192"/>
      <c r="BJ369" s="192"/>
      <c r="BL369" s="192"/>
      <c r="BM369" s="192"/>
      <c r="BP369" s="179"/>
    </row>
    <row r="370">
      <c r="B370" s="189"/>
      <c r="C370" s="189"/>
      <c r="E370" s="189"/>
      <c r="F370" s="189"/>
      <c r="I370" s="179"/>
      <c r="J370" s="189"/>
      <c r="K370" s="189"/>
      <c r="M370" s="189"/>
      <c r="N370" s="189"/>
      <c r="Q370" s="179"/>
      <c r="S370" s="189"/>
      <c r="T370" s="189"/>
      <c r="V370" s="189"/>
      <c r="W370" s="189"/>
      <c r="Z370" s="179"/>
      <c r="AA370" s="189"/>
      <c r="AB370" s="189"/>
      <c r="AD370" s="189"/>
      <c r="AE370" s="189"/>
      <c r="AH370" s="179"/>
      <c r="AJ370" s="191"/>
      <c r="AK370" s="191"/>
      <c r="AM370" s="191"/>
      <c r="AN370" s="191"/>
      <c r="AQ370" s="179"/>
      <c r="AR370" s="192"/>
      <c r="AS370" s="192"/>
      <c r="AU370" s="192"/>
      <c r="AV370" s="192"/>
      <c r="AY370" s="179"/>
      <c r="BA370" s="192"/>
      <c r="BB370" s="192"/>
      <c r="BD370" s="192"/>
      <c r="BE370" s="192"/>
      <c r="BH370" s="179"/>
      <c r="BI370" s="192"/>
      <c r="BJ370" s="192"/>
      <c r="BL370" s="192"/>
      <c r="BM370" s="192"/>
      <c r="BP370" s="179"/>
    </row>
    <row r="371">
      <c r="B371" s="189"/>
      <c r="C371" s="189"/>
      <c r="E371" s="189"/>
      <c r="F371" s="189"/>
      <c r="I371" s="179"/>
      <c r="J371" s="189"/>
      <c r="K371" s="189"/>
      <c r="M371" s="189"/>
      <c r="N371" s="189"/>
      <c r="Q371" s="179"/>
      <c r="S371" s="189"/>
      <c r="T371" s="189"/>
      <c r="V371" s="189"/>
      <c r="W371" s="189"/>
      <c r="Z371" s="179"/>
      <c r="AA371" s="189"/>
      <c r="AB371" s="189"/>
      <c r="AD371" s="189"/>
      <c r="AE371" s="189"/>
      <c r="AH371" s="179"/>
      <c r="AJ371" s="191"/>
      <c r="AK371" s="191"/>
      <c r="AM371" s="191"/>
      <c r="AN371" s="191"/>
      <c r="AQ371" s="179"/>
      <c r="AR371" s="192"/>
      <c r="AS371" s="192"/>
      <c r="AU371" s="192"/>
      <c r="AV371" s="192"/>
      <c r="AY371" s="179"/>
      <c r="BA371" s="192"/>
      <c r="BB371" s="192"/>
      <c r="BD371" s="192"/>
      <c r="BE371" s="192"/>
      <c r="BH371" s="179"/>
      <c r="BI371" s="192"/>
      <c r="BJ371" s="192"/>
      <c r="BL371" s="192"/>
      <c r="BM371" s="192"/>
      <c r="BP371" s="179"/>
    </row>
    <row r="372">
      <c r="B372" s="189"/>
      <c r="C372" s="189"/>
      <c r="E372" s="189"/>
      <c r="F372" s="189"/>
      <c r="I372" s="179"/>
      <c r="J372" s="189"/>
      <c r="K372" s="189"/>
      <c r="M372" s="189"/>
      <c r="N372" s="189"/>
      <c r="Q372" s="179"/>
      <c r="S372" s="189"/>
      <c r="T372" s="189"/>
      <c r="V372" s="189"/>
      <c r="W372" s="189"/>
      <c r="Z372" s="179"/>
      <c r="AA372" s="189"/>
      <c r="AB372" s="189"/>
      <c r="AD372" s="189"/>
      <c r="AE372" s="189"/>
      <c r="AH372" s="179"/>
      <c r="AJ372" s="191"/>
      <c r="AK372" s="191"/>
      <c r="AM372" s="191"/>
      <c r="AN372" s="191"/>
      <c r="AQ372" s="179"/>
      <c r="AR372" s="192"/>
      <c r="AS372" s="192"/>
      <c r="AU372" s="192"/>
      <c r="AV372" s="192"/>
      <c r="AY372" s="179"/>
      <c r="BA372" s="192"/>
      <c r="BB372" s="192"/>
      <c r="BD372" s="192"/>
      <c r="BE372" s="192"/>
      <c r="BH372" s="179"/>
      <c r="BI372" s="192"/>
      <c r="BJ372" s="192"/>
      <c r="BL372" s="192"/>
      <c r="BM372" s="192"/>
      <c r="BP372" s="179"/>
    </row>
    <row r="373">
      <c r="B373" s="189"/>
      <c r="C373" s="189"/>
      <c r="E373" s="189"/>
      <c r="F373" s="189"/>
      <c r="I373" s="179"/>
      <c r="J373" s="189"/>
      <c r="K373" s="189"/>
      <c r="M373" s="189"/>
      <c r="N373" s="189"/>
      <c r="Q373" s="179"/>
      <c r="S373" s="189"/>
      <c r="T373" s="189"/>
      <c r="V373" s="189"/>
      <c r="W373" s="189"/>
      <c r="Z373" s="179"/>
      <c r="AA373" s="189"/>
      <c r="AB373" s="189"/>
      <c r="AD373" s="189"/>
      <c r="AE373" s="189"/>
      <c r="AH373" s="179"/>
      <c r="AJ373" s="191"/>
      <c r="AK373" s="191"/>
      <c r="AM373" s="191"/>
      <c r="AN373" s="191"/>
      <c r="AQ373" s="179"/>
      <c r="AR373" s="192"/>
      <c r="AS373" s="192"/>
      <c r="AU373" s="192"/>
      <c r="AV373" s="192"/>
      <c r="AY373" s="179"/>
      <c r="BA373" s="192"/>
      <c r="BB373" s="192"/>
      <c r="BD373" s="192"/>
      <c r="BE373" s="192"/>
      <c r="BH373" s="179"/>
      <c r="BI373" s="192"/>
      <c r="BJ373" s="192"/>
      <c r="BL373" s="192"/>
      <c r="BM373" s="192"/>
      <c r="BP373" s="179"/>
    </row>
    <row r="374">
      <c r="B374" s="189"/>
      <c r="C374" s="189"/>
      <c r="E374" s="189"/>
      <c r="F374" s="189"/>
      <c r="I374" s="179"/>
      <c r="J374" s="189"/>
      <c r="K374" s="189"/>
      <c r="M374" s="189"/>
      <c r="N374" s="189"/>
      <c r="Q374" s="179"/>
      <c r="S374" s="189"/>
      <c r="T374" s="189"/>
      <c r="V374" s="189"/>
      <c r="W374" s="189"/>
      <c r="Z374" s="179"/>
      <c r="AA374" s="189"/>
      <c r="AB374" s="189"/>
      <c r="AD374" s="189"/>
      <c r="AE374" s="189"/>
      <c r="AH374" s="179"/>
      <c r="AJ374" s="191"/>
      <c r="AK374" s="191"/>
      <c r="AM374" s="191"/>
      <c r="AN374" s="191"/>
      <c r="AQ374" s="179"/>
      <c r="AR374" s="192"/>
      <c r="AS374" s="192"/>
      <c r="AU374" s="192"/>
      <c r="AV374" s="192"/>
      <c r="AY374" s="179"/>
      <c r="BA374" s="192"/>
      <c r="BB374" s="192"/>
      <c r="BD374" s="192"/>
      <c r="BE374" s="192"/>
      <c r="BH374" s="179"/>
      <c r="BI374" s="192"/>
      <c r="BJ374" s="192"/>
      <c r="BL374" s="192"/>
      <c r="BM374" s="192"/>
      <c r="BP374" s="179"/>
    </row>
    <row r="375">
      <c r="B375" s="189"/>
      <c r="C375" s="189"/>
      <c r="E375" s="189"/>
      <c r="F375" s="189"/>
      <c r="I375" s="179"/>
      <c r="J375" s="189"/>
      <c r="K375" s="189"/>
      <c r="M375" s="189"/>
      <c r="N375" s="189"/>
      <c r="Q375" s="179"/>
      <c r="S375" s="189"/>
      <c r="T375" s="189"/>
      <c r="V375" s="189"/>
      <c r="W375" s="189"/>
      <c r="Z375" s="179"/>
      <c r="AA375" s="189"/>
      <c r="AB375" s="189"/>
      <c r="AD375" s="189"/>
      <c r="AE375" s="189"/>
      <c r="AH375" s="179"/>
      <c r="AJ375" s="191"/>
      <c r="AK375" s="191"/>
      <c r="AM375" s="191"/>
      <c r="AN375" s="191"/>
      <c r="AQ375" s="179"/>
      <c r="AR375" s="192"/>
      <c r="AS375" s="192"/>
      <c r="AU375" s="192"/>
      <c r="AV375" s="192"/>
      <c r="AY375" s="179"/>
      <c r="BA375" s="192"/>
      <c r="BB375" s="192"/>
      <c r="BD375" s="192"/>
      <c r="BE375" s="192"/>
      <c r="BH375" s="179"/>
      <c r="BI375" s="192"/>
      <c r="BJ375" s="192"/>
      <c r="BL375" s="192"/>
      <c r="BM375" s="192"/>
      <c r="BP375" s="179"/>
    </row>
    <row r="376">
      <c r="B376" s="189"/>
      <c r="C376" s="189"/>
      <c r="E376" s="189"/>
      <c r="F376" s="189"/>
      <c r="I376" s="179"/>
      <c r="J376" s="189"/>
      <c r="K376" s="189"/>
      <c r="M376" s="189"/>
      <c r="N376" s="189"/>
      <c r="Q376" s="179"/>
      <c r="S376" s="189"/>
      <c r="T376" s="189"/>
      <c r="V376" s="189"/>
      <c r="W376" s="189"/>
      <c r="Z376" s="179"/>
      <c r="AA376" s="189"/>
      <c r="AB376" s="189"/>
      <c r="AD376" s="189"/>
      <c r="AE376" s="189"/>
      <c r="AH376" s="179"/>
      <c r="AJ376" s="191"/>
      <c r="AK376" s="191"/>
      <c r="AM376" s="191"/>
      <c r="AN376" s="191"/>
      <c r="AQ376" s="179"/>
      <c r="AR376" s="192"/>
      <c r="AS376" s="192"/>
      <c r="AU376" s="192"/>
      <c r="AV376" s="192"/>
      <c r="AY376" s="179"/>
      <c r="BA376" s="192"/>
      <c r="BB376" s="192"/>
      <c r="BD376" s="192"/>
      <c r="BE376" s="192"/>
      <c r="BH376" s="179"/>
      <c r="BI376" s="192"/>
      <c r="BJ376" s="192"/>
      <c r="BL376" s="192"/>
      <c r="BM376" s="192"/>
      <c r="BP376" s="179"/>
    </row>
    <row r="377">
      <c r="B377" s="189"/>
      <c r="C377" s="189"/>
      <c r="E377" s="189"/>
      <c r="F377" s="189"/>
      <c r="I377" s="179"/>
      <c r="J377" s="189"/>
      <c r="K377" s="189"/>
      <c r="M377" s="189"/>
      <c r="N377" s="189"/>
      <c r="Q377" s="179"/>
      <c r="S377" s="189"/>
      <c r="T377" s="189"/>
      <c r="V377" s="189"/>
      <c r="W377" s="189"/>
      <c r="Z377" s="179"/>
      <c r="AA377" s="189"/>
      <c r="AB377" s="189"/>
      <c r="AD377" s="189"/>
      <c r="AE377" s="189"/>
      <c r="AH377" s="179"/>
      <c r="AJ377" s="191"/>
      <c r="AK377" s="191"/>
      <c r="AM377" s="191"/>
      <c r="AN377" s="191"/>
      <c r="AQ377" s="179"/>
      <c r="AR377" s="192"/>
      <c r="AS377" s="192"/>
      <c r="AU377" s="192"/>
      <c r="AV377" s="192"/>
      <c r="AY377" s="179"/>
      <c r="BA377" s="192"/>
      <c r="BB377" s="192"/>
      <c r="BD377" s="192"/>
      <c r="BE377" s="192"/>
      <c r="BH377" s="179"/>
      <c r="BI377" s="192"/>
      <c r="BJ377" s="192"/>
      <c r="BL377" s="192"/>
      <c r="BM377" s="192"/>
      <c r="BP377" s="179"/>
    </row>
    <row r="378">
      <c r="B378" s="189"/>
      <c r="C378" s="189"/>
      <c r="E378" s="189"/>
      <c r="F378" s="189"/>
      <c r="I378" s="179"/>
      <c r="J378" s="189"/>
      <c r="K378" s="189"/>
      <c r="M378" s="189"/>
      <c r="N378" s="189"/>
      <c r="Q378" s="179"/>
      <c r="S378" s="189"/>
      <c r="T378" s="189"/>
      <c r="V378" s="189"/>
      <c r="W378" s="189"/>
      <c r="Z378" s="179"/>
      <c r="AA378" s="189"/>
      <c r="AB378" s="189"/>
      <c r="AD378" s="189"/>
      <c r="AE378" s="189"/>
      <c r="AH378" s="179"/>
      <c r="AJ378" s="191"/>
      <c r="AK378" s="191"/>
      <c r="AM378" s="191"/>
      <c r="AN378" s="191"/>
      <c r="AQ378" s="179"/>
      <c r="AR378" s="192"/>
      <c r="AS378" s="192"/>
      <c r="AU378" s="192"/>
      <c r="AV378" s="192"/>
      <c r="AY378" s="179"/>
      <c r="BA378" s="192"/>
      <c r="BB378" s="192"/>
      <c r="BD378" s="192"/>
      <c r="BE378" s="192"/>
      <c r="BH378" s="179"/>
      <c r="BI378" s="192"/>
      <c r="BJ378" s="192"/>
      <c r="BL378" s="192"/>
      <c r="BM378" s="192"/>
      <c r="BP378" s="179"/>
    </row>
    <row r="379">
      <c r="B379" s="189"/>
      <c r="C379" s="189"/>
      <c r="E379" s="189"/>
      <c r="F379" s="189"/>
      <c r="I379" s="179"/>
      <c r="J379" s="189"/>
      <c r="K379" s="189"/>
      <c r="M379" s="189"/>
      <c r="N379" s="189"/>
      <c r="Q379" s="179"/>
      <c r="S379" s="189"/>
      <c r="T379" s="189"/>
      <c r="V379" s="189"/>
      <c r="W379" s="189"/>
      <c r="Z379" s="179"/>
      <c r="AA379" s="189"/>
      <c r="AB379" s="189"/>
      <c r="AD379" s="189"/>
      <c r="AE379" s="189"/>
      <c r="AH379" s="179"/>
      <c r="AJ379" s="191"/>
      <c r="AK379" s="191"/>
      <c r="AM379" s="191"/>
      <c r="AN379" s="191"/>
      <c r="AQ379" s="179"/>
      <c r="AR379" s="192"/>
      <c r="AS379" s="192"/>
      <c r="AU379" s="192"/>
      <c r="AV379" s="192"/>
      <c r="AY379" s="179"/>
      <c r="BA379" s="192"/>
      <c r="BB379" s="192"/>
      <c r="BD379" s="192"/>
      <c r="BE379" s="192"/>
      <c r="BH379" s="179"/>
      <c r="BI379" s="192"/>
      <c r="BJ379" s="192"/>
      <c r="BL379" s="192"/>
      <c r="BM379" s="192"/>
      <c r="BP379" s="179"/>
    </row>
    <row r="380">
      <c r="B380" s="189"/>
      <c r="C380" s="189"/>
      <c r="E380" s="189"/>
      <c r="F380" s="189"/>
      <c r="I380" s="179"/>
      <c r="J380" s="189"/>
      <c r="K380" s="189"/>
      <c r="M380" s="189"/>
      <c r="N380" s="189"/>
      <c r="Q380" s="179"/>
      <c r="S380" s="189"/>
      <c r="T380" s="189"/>
      <c r="V380" s="189"/>
      <c r="W380" s="189"/>
      <c r="Z380" s="179"/>
      <c r="AA380" s="189"/>
      <c r="AB380" s="189"/>
      <c r="AD380" s="189"/>
      <c r="AE380" s="189"/>
      <c r="AH380" s="179"/>
      <c r="AJ380" s="191"/>
      <c r="AK380" s="191"/>
      <c r="AM380" s="191"/>
      <c r="AN380" s="191"/>
      <c r="AQ380" s="179"/>
      <c r="AR380" s="192"/>
      <c r="AS380" s="192"/>
      <c r="AU380" s="192"/>
      <c r="AV380" s="192"/>
      <c r="AY380" s="179"/>
      <c r="BA380" s="192"/>
      <c r="BB380" s="192"/>
      <c r="BD380" s="192"/>
      <c r="BE380" s="192"/>
      <c r="BH380" s="179"/>
      <c r="BI380" s="192"/>
      <c r="BJ380" s="192"/>
      <c r="BL380" s="192"/>
      <c r="BM380" s="192"/>
      <c r="BP380" s="179"/>
    </row>
    <row r="381">
      <c r="B381" s="189"/>
      <c r="C381" s="189"/>
      <c r="E381" s="189"/>
      <c r="F381" s="189"/>
      <c r="I381" s="179"/>
      <c r="J381" s="189"/>
      <c r="K381" s="189"/>
      <c r="M381" s="189"/>
      <c r="N381" s="189"/>
      <c r="Q381" s="179"/>
      <c r="S381" s="189"/>
      <c r="T381" s="189"/>
      <c r="V381" s="189"/>
      <c r="W381" s="189"/>
      <c r="Z381" s="179"/>
      <c r="AA381" s="189"/>
      <c r="AB381" s="189"/>
      <c r="AD381" s="189"/>
      <c r="AE381" s="189"/>
      <c r="AH381" s="179"/>
      <c r="AJ381" s="191"/>
      <c r="AK381" s="191"/>
      <c r="AM381" s="191"/>
      <c r="AN381" s="191"/>
      <c r="AQ381" s="179"/>
      <c r="AR381" s="192"/>
      <c r="AS381" s="192"/>
      <c r="AU381" s="192"/>
      <c r="AV381" s="192"/>
      <c r="AY381" s="179"/>
      <c r="BA381" s="192"/>
      <c r="BB381" s="192"/>
      <c r="BD381" s="192"/>
      <c r="BE381" s="192"/>
      <c r="BH381" s="179"/>
      <c r="BI381" s="192"/>
      <c r="BJ381" s="192"/>
      <c r="BL381" s="192"/>
      <c r="BM381" s="192"/>
      <c r="BP381" s="179"/>
    </row>
    <row r="382">
      <c r="B382" s="189"/>
      <c r="C382" s="189"/>
      <c r="E382" s="189"/>
      <c r="F382" s="189"/>
      <c r="I382" s="179"/>
      <c r="J382" s="189"/>
      <c r="K382" s="189"/>
      <c r="M382" s="189"/>
      <c r="N382" s="189"/>
      <c r="Q382" s="179"/>
      <c r="S382" s="189"/>
      <c r="T382" s="189"/>
      <c r="V382" s="189"/>
      <c r="W382" s="189"/>
      <c r="Z382" s="179"/>
      <c r="AA382" s="189"/>
      <c r="AB382" s="189"/>
      <c r="AD382" s="189"/>
      <c r="AE382" s="189"/>
      <c r="AH382" s="179"/>
      <c r="AJ382" s="191"/>
      <c r="AK382" s="191"/>
      <c r="AM382" s="191"/>
      <c r="AN382" s="191"/>
      <c r="AQ382" s="179"/>
      <c r="AR382" s="192"/>
      <c r="AS382" s="192"/>
      <c r="AU382" s="192"/>
      <c r="AV382" s="192"/>
      <c r="AY382" s="179"/>
      <c r="BA382" s="192"/>
      <c r="BB382" s="192"/>
      <c r="BD382" s="192"/>
      <c r="BE382" s="192"/>
      <c r="BH382" s="179"/>
      <c r="BI382" s="192"/>
      <c r="BJ382" s="192"/>
      <c r="BL382" s="192"/>
      <c r="BM382" s="192"/>
      <c r="BP382" s="179"/>
    </row>
    <row r="383">
      <c r="B383" s="189"/>
      <c r="C383" s="189"/>
      <c r="E383" s="189"/>
      <c r="F383" s="189"/>
      <c r="I383" s="179"/>
      <c r="J383" s="189"/>
      <c r="K383" s="189"/>
      <c r="M383" s="189"/>
      <c r="N383" s="189"/>
      <c r="Q383" s="179"/>
      <c r="S383" s="189"/>
      <c r="T383" s="189"/>
      <c r="V383" s="189"/>
      <c r="W383" s="189"/>
      <c r="Z383" s="179"/>
      <c r="AA383" s="189"/>
      <c r="AB383" s="189"/>
      <c r="AD383" s="189"/>
      <c r="AE383" s="189"/>
      <c r="AH383" s="179"/>
      <c r="AJ383" s="191"/>
      <c r="AK383" s="191"/>
      <c r="AM383" s="191"/>
      <c r="AN383" s="191"/>
      <c r="AQ383" s="179"/>
      <c r="AR383" s="192"/>
      <c r="AS383" s="192"/>
      <c r="AU383" s="192"/>
      <c r="AV383" s="192"/>
      <c r="AY383" s="179"/>
      <c r="BA383" s="192"/>
      <c r="BB383" s="192"/>
      <c r="BD383" s="192"/>
      <c r="BE383" s="192"/>
      <c r="BH383" s="179"/>
      <c r="BI383" s="192"/>
      <c r="BJ383" s="192"/>
      <c r="BL383" s="192"/>
      <c r="BM383" s="192"/>
      <c r="BP383" s="179"/>
    </row>
    <row r="384">
      <c r="B384" s="189"/>
      <c r="C384" s="189"/>
      <c r="E384" s="189"/>
      <c r="F384" s="189"/>
      <c r="I384" s="179"/>
      <c r="J384" s="189"/>
      <c r="K384" s="189"/>
      <c r="M384" s="189"/>
      <c r="N384" s="189"/>
      <c r="Q384" s="179"/>
      <c r="S384" s="189"/>
      <c r="T384" s="189"/>
      <c r="V384" s="189"/>
      <c r="W384" s="189"/>
      <c r="Z384" s="179"/>
      <c r="AA384" s="189"/>
      <c r="AB384" s="189"/>
      <c r="AD384" s="189"/>
      <c r="AE384" s="189"/>
      <c r="AH384" s="179"/>
      <c r="AJ384" s="191"/>
      <c r="AK384" s="191"/>
      <c r="AM384" s="191"/>
      <c r="AN384" s="191"/>
      <c r="AQ384" s="179"/>
      <c r="AR384" s="192"/>
      <c r="AS384" s="192"/>
      <c r="AU384" s="192"/>
      <c r="AV384" s="192"/>
      <c r="AY384" s="179"/>
      <c r="BA384" s="192"/>
      <c r="BB384" s="192"/>
      <c r="BD384" s="192"/>
      <c r="BE384" s="192"/>
      <c r="BH384" s="179"/>
      <c r="BI384" s="192"/>
      <c r="BJ384" s="192"/>
      <c r="BL384" s="192"/>
      <c r="BM384" s="192"/>
      <c r="BP384" s="179"/>
    </row>
    <row r="385">
      <c r="B385" s="189"/>
      <c r="C385" s="189"/>
      <c r="E385" s="189"/>
      <c r="F385" s="189"/>
      <c r="I385" s="179"/>
      <c r="J385" s="189"/>
      <c r="K385" s="189"/>
      <c r="M385" s="189"/>
      <c r="N385" s="189"/>
      <c r="Q385" s="179"/>
      <c r="S385" s="189"/>
      <c r="T385" s="189"/>
      <c r="V385" s="189"/>
      <c r="W385" s="189"/>
      <c r="Z385" s="179"/>
      <c r="AA385" s="189"/>
      <c r="AB385" s="189"/>
      <c r="AD385" s="189"/>
      <c r="AE385" s="189"/>
      <c r="AH385" s="179"/>
      <c r="AJ385" s="191"/>
      <c r="AK385" s="191"/>
      <c r="AM385" s="191"/>
      <c r="AN385" s="191"/>
      <c r="AQ385" s="179"/>
      <c r="AR385" s="192"/>
      <c r="AS385" s="192"/>
      <c r="AU385" s="192"/>
      <c r="AV385" s="192"/>
      <c r="AY385" s="179"/>
      <c r="BA385" s="192"/>
      <c r="BB385" s="192"/>
      <c r="BD385" s="192"/>
      <c r="BE385" s="192"/>
      <c r="BH385" s="179"/>
      <c r="BI385" s="192"/>
      <c r="BJ385" s="192"/>
      <c r="BL385" s="192"/>
      <c r="BM385" s="192"/>
      <c r="BP385" s="179"/>
    </row>
    <row r="386">
      <c r="B386" s="189"/>
      <c r="C386" s="189"/>
      <c r="E386" s="189"/>
      <c r="F386" s="189"/>
      <c r="I386" s="179"/>
      <c r="J386" s="189"/>
      <c r="K386" s="189"/>
      <c r="M386" s="189"/>
      <c r="N386" s="189"/>
      <c r="Q386" s="179"/>
      <c r="S386" s="189"/>
      <c r="T386" s="189"/>
      <c r="V386" s="189"/>
      <c r="W386" s="189"/>
      <c r="Z386" s="179"/>
      <c r="AA386" s="189"/>
      <c r="AB386" s="189"/>
      <c r="AD386" s="189"/>
      <c r="AE386" s="189"/>
      <c r="AH386" s="179"/>
      <c r="AJ386" s="191"/>
      <c r="AK386" s="191"/>
      <c r="AM386" s="191"/>
      <c r="AN386" s="191"/>
      <c r="AQ386" s="179"/>
      <c r="AR386" s="192"/>
      <c r="AS386" s="192"/>
      <c r="AU386" s="192"/>
      <c r="AV386" s="192"/>
      <c r="AY386" s="179"/>
      <c r="BA386" s="192"/>
      <c r="BB386" s="192"/>
      <c r="BD386" s="192"/>
      <c r="BE386" s="192"/>
      <c r="BH386" s="179"/>
      <c r="BI386" s="192"/>
      <c r="BJ386" s="192"/>
      <c r="BL386" s="192"/>
      <c r="BM386" s="192"/>
      <c r="BP386" s="179"/>
    </row>
    <row r="387">
      <c r="B387" s="189"/>
      <c r="C387" s="189"/>
      <c r="E387" s="189"/>
      <c r="F387" s="189"/>
      <c r="I387" s="179"/>
      <c r="J387" s="189"/>
      <c r="K387" s="189"/>
      <c r="M387" s="189"/>
      <c r="N387" s="189"/>
      <c r="Q387" s="179"/>
      <c r="S387" s="189"/>
      <c r="T387" s="189"/>
      <c r="V387" s="189"/>
      <c r="W387" s="189"/>
      <c r="Z387" s="179"/>
      <c r="AA387" s="189"/>
      <c r="AB387" s="189"/>
      <c r="AD387" s="189"/>
      <c r="AE387" s="189"/>
      <c r="AH387" s="179"/>
      <c r="AJ387" s="191"/>
      <c r="AK387" s="191"/>
      <c r="AM387" s="191"/>
      <c r="AN387" s="191"/>
      <c r="AQ387" s="179"/>
      <c r="AR387" s="192"/>
      <c r="AS387" s="192"/>
      <c r="AU387" s="192"/>
      <c r="AV387" s="192"/>
      <c r="AY387" s="179"/>
      <c r="BA387" s="192"/>
      <c r="BB387" s="192"/>
      <c r="BD387" s="192"/>
      <c r="BE387" s="192"/>
      <c r="BH387" s="179"/>
      <c r="BI387" s="192"/>
      <c r="BJ387" s="192"/>
      <c r="BL387" s="192"/>
      <c r="BM387" s="192"/>
      <c r="BP387" s="179"/>
    </row>
    <row r="388">
      <c r="B388" s="189"/>
      <c r="C388" s="189"/>
      <c r="E388" s="189"/>
      <c r="F388" s="189"/>
      <c r="I388" s="179"/>
      <c r="J388" s="189"/>
      <c r="K388" s="189"/>
      <c r="M388" s="189"/>
      <c r="N388" s="189"/>
      <c r="Q388" s="179"/>
      <c r="S388" s="189"/>
      <c r="T388" s="189"/>
      <c r="V388" s="189"/>
      <c r="W388" s="189"/>
      <c r="Z388" s="179"/>
      <c r="AA388" s="189"/>
      <c r="AB388" s="189"/>
      <c r="AD388" s="189"/>
      <c r="AE388" s="189"/>
      <c r="AH388" s="179"/>
      <c r="AJ388" s="191"/>
      <c r="AK388" s="191"/>
      <c r="AM388" s="191"/>
      <c r="AN388" s="191"/>
      <c r="AQ388" s="179"/>
      <c r="AR388" s="192"/>
      <c r="AS388" s="192"/>
      <c r="AU388" s="192"/>
      <c r="AV388" s="192"/>
      <c r="AY388" s="179"/>
      <c r="BA388" s="192"/>
      <c r="BB388" s="192"/>
      <c r="BD388" s="192"/>
      <c r="BE388" s="192"/>
      <c r="BH388" s="179"/>
      <c r="BI388" s="192"/>
      <c r="BJ388" s="192"/>
      <c r="BL388" s="192"/>
      <c r="BM388" s="192"/>
      <c r="BP388" s="179"/>
    </row>
    <row r="389">
      <c r="B389" s="189"/>
      <c r="C389" s="189"/>
      <c r="E389" s="189"/>
      <c r="F389" s="189"/>
      <c r="I389" s="179"/>
      <c r="J389" s="189"/>
      <c r="K389" s="189"/>
      <c r="M389" s="189"/>
      <c r="N389" s="189"/>
      <c r="Q389" s="179"/>
      <c r="S389" s="189"/>
      <c r="T389" s="189"/>
      <c r="V389" s="189"/>
      <c r="W389" s="189"/>
      <c r="Z389" s="179"/>
      <c r="AA389" s="189"/>
      <c r="AB389" s="189"/>
      <c r="AD389" s="189"/>
      <c r="AE389" s="189"/>
      <c r="AH389" s="179"/>
      <c r="AJ389" s="191"/>
      <c r="AK389" s="191"/>
      <c r="AM389" s="191"/>
      <c r="AN389" s="191"/>
      <c r="AQ389" s="179"/>
      <c r="AR389" s="192"/>
      <c r="AS389" s="192"/>
      <c r="AU389" s="192"/>
      <c r="AV389" s="192"/>
      <c r="AY389" s="179"/>
      <c r="BA389" s="192"/>
      <c r="BB389" s="192"/>
      <c r="BD389" s="192"/>
      <c r="BE389" s="192"/>
      <c r="BH389" s="179"/>
      <c r="BI389" s="192"/>
      <c r="BJ389" s="192"/>
      <c r="BL389" s="192"/>
      <c r="BM389" s="192"/>
      <c r="BP389" s="179"/>
    </row>
    <row r="390">
      <c r="B390" s="189"/>
      <c r="C390" s="189"/>
      <c r="E390" s="189"/>
      <c r="F390" s="189"/>
      <c r="I390" s="179"/>
      <c r="J390" s="189"/>
      <c r="K390" s="189"/>
      <c r="M390" s="189"/>
      <c r="N390" s="189"/>
      <c r="Q390" s="179"/>
      <c r="S390" s="189"/>
      <c r="T390" s="189"/>
      <c r="V390" s="189"/>
      <c r="W390" s="189"/>
      <c r="Z390" s="179"/>
      <c r="AA390" s="189"/>
      <c r="AB390" s="189"/>
      <c r="AD390" s="189"/>
      <c r="AE390" s="189"/>
      <c r="AH390" s="179"/>
      <c r="AJ390" s="191"/>
      <c r="AK390" s="191"/>
      <c r="AM390" s="191"/>
      <c r="AN390" s="191"/>
      <c r="AQ390" s="179"/>
      <c r="AR390" s="192"/>
      <c r="AS390" s="192"/>
      <c r="AU390" s="192"/>
      <c r="AV390" s="192"/>
      <c r="AY390" s="179"/>
      <c r="BA390" s="192"/>
      <c r="BB390" s="192"/>
      <c r="BD390" s="192"/>
      <c r="BE390" s="192"/>
      <c r="BH390" s="179"/>
      <c r="BI390" s="192"/>
      <c r="BJ390" s="192"/>
      <c r="BL390" s="192"/>
      <c r="BM390" s="192"/>
      <c r="BP390" s="179"/>
    </row>
    <row r="391">
      <c r="B391" s="189"/>
      <c r="C391" s="189"/>
      <c r="E391" s="189"/>
      <c r="F391" s="189"/>
      <c r="I391" s="179"/>
      <c r="J391" s="189"/>
      <c r="K391" s="189"/>
      <c r="M391" s="189"/>
      <c r="N391" s="189"/>
      <c r="Q391" s="179"/>
      <c r="S391" s="189"/>
      <c r="T391" s="189"/>
      <c r="V391" s="189"/>
      <c r="W391" s="189"/>
      <c r="Z391" s="179"/>
      <c r="AA391" s="189"/>
      <c r="AB391" s="189"/>
      <c r="AD391" s="189"/>
      <c r="AE391" s="189"/>
      <c r="AH391" s="179"/>
      <c r="AJ391" s="191"/>
      <c r="AK391" s="191"/>
      <c r="AM391" s="191"/>
      <c r="AN391" s="191"/>
      <c r="AQ391" s="179"/>
      <c r="AR391" s="192"/>
      <c r="AS391" s="192"/>
      <c r="AU391" s="192"/>
      <c r="AV391" s="192"/>
      <c r="AY391" s="179"/>
      <c r="BA391" s="192"/>
      <c r="BB391" s="192"/>
      <c r="BD391" s="192"/>
      <c r="BE391" s="192"/>
      <c r="BH391" s="179"/>
      <c r="BI391" s="192"/>
      <c r="BJ391" s="192"/>
      <c r="BL391" s="192"/>
      <c r="BM391" s="192"/>
      <c r="BP391" s="179"/>
    </row>
    <row r="392">
      <c r="B392" s="189"/>
      <c r="C392" s="189"/>
      <c r="E392" s="189"/>
      <c r="F392" s="189"/>
      <c r="I392" s="179"/>
      <c r="J392" s="189"/>
      <c r="K392" s="189"/>
      <c r="M392" s="189"/>
      <c r="N392" s="189"/>
      <c r="Q392" s="179"/>
      <c r="S392" s="189"/>
      <c r="T392" s="189"/>
      <c r="V392" s="189"/>
      <c r="W392" s="189"/>
      <c r="Z392" s="179"/>
      <c r="AA392" s="189"/>
      <c r="AB392" s="189"/>
      <c r="AD392" s="189"/>
      <c r="AE392" s="189"/>
      <c r="AH392" s="179"/>
      <c r="AJ392" s="191"/>
      <c r="AK392" s="191"/>
      <c r="AM392" s="191"/>
      <c r="AN392" s="191"/>
      <c r="AQ392" s="179"/>
      <c r="AR392" s="192"/>
      <c r="AS392" s="192"/>
      <c r="AU392" s="192"/>
      <c r="AV392" s="192"/>
      <c r="AY392" s="179"/>
      <c r="BA392" s="192"/>
      <c r="BB392" s="192"/>
      <c r="BD392" s="192"/>
      <c r="BE392" s="192"/>
      <c r="BH392" s="179"/>
      <c r="BI392" s="192"/>
      <c r="BJ392" s="192"/>
      <c r="BL392" s="192"/>
      <c r="BM392" s="192"/>
      <c r="BP392" s="179"/>
    </row>
    <row r="393">
      <c r="B393" s="189"/>
      <c r="C393" s="189"/>
      <c r="E393" s="189"/>
      <c r="F393" s="189"/>
      <c r="I393" s="179"/>
      <c r="J393" s="189"/>
      <c r="K393" s="189"/>
      <c r="M393" s="189"/>
      <c r="N393" s="189"/>
      <c r="Q393" s="179"/>
      <c r="S393" s="189"/>
      <c r="T393" s="189"/>
      <c r="V393" s="189"/>
      <c r="W393" s="189"/>
      <c r="Z393" s="179"/>
      <c r="AA393" s="189"/>
      <c r="AB393" s="189"/>
      <c r="AD393" s="189"/>
      <c r="AE393" s="189"/>
      <c r="AH393" s="179"/>
      <c r="AJ393" s="191"/>
      <c r="AK393" s="191"/>
      <c r="AM393" s="191"/>
      <c r="AN393" s="191"/>
      <c r="AQ393" s="179"/>
      <c r="AR393" s="192"/>
      <c r="AS393" s="192"/>
      <c r="AU393" s="192"/>
      <c r="AV393" s="192"/>
      <c r="AY393" s="179"/>
      <c r="BA393" s="192"/>
      <c r="BB393" s="192"/>
      <c r="BD393" s="192"/>
      <c r="BE393" s="192"/>
      <c r="BH393" s="179"/>
      <c r="BI393" s="192"/>
      <c r="BJ393" s="192"/>
      <c r="BL393" s="192"/>
      <c r="BM393" s="192"/>
      <c r="BP393" s="179"/>
    </row>
    <row r="394">
      <c r="B394" s="189"/>
      <c r="C394" s="189"/>
      <c r="E394" s="189"/>
      <c r="F394" s="189"/>
      <c r="I394" s="179"/>
      <c r="J394" s="189"/>
      <c r="K394" s="189"/>
      <c r="M394" s="189"/>
      <c r="N394" s="189"/>
      <c r="Q394" s="179"/>
      <c r="S394" s="189"/>
      <c r="T394" s="189"/>
      <c r="V394" s="189"/>
      <c r="W394" s="189"/>
      <c r="Z394" s="179"/>
      <c r="AA394" s="189"/>
      <c r="AB394" s="189"/>
      <c r="AD394" s="189"/>
      <c r="AE394" s="189"/>
      <c r="AH394" s="179"/>
      <c r="AJ394" s="191"/>
      <c r="AK394" s="191"/>
      <c r="AM394" s="191"/>
      <c r="AN394" s="191"/>
      <c r="AQ394" s="179"/>
      <c r="AR394" s="192"/>
      <c r="AS394" s="192"/>
      <c r="AU394" s="192"/>
      <c r="AV394" s="192"/>
      <c r="AY394" s="179"/>
      <c r="BA394" s="192"/>
      <c r="BB394" s="192"/>
      <c r="BD394" s="192"/>
      <c r="BE394" s="192"/>
      <c r="BH394" s="179"/>
      <c r="BI394" s="192"/>
      <c r="BJ394" s="192"/>
      <c r="BL394" s="192"/>
      <c r="BM394" s="192"/>
      <c r="BP394" s="179"/>
    </row>
    <row r="395">
      <c r="B395" s="189"/>
      <c r="C395" s="189"/>
      <c r="E395" s="189"/>
      <c r="F395" s="189"/>
      <c r="I395" s="179"/>
      <c r="J395" s="189"/>
      <c r="K395" s="189"/>
      <c r="M395" s="189"/>
      <c r="N395" s="189"/>
      <c r="Q395" s="179"/>
      <c r="S395" s="189"/>
      <c r="T395" s="189"/>
      <c r="V395" s="189"/>
      <c r="W395" s="189"/>
      <c r="Z395" s="179"/>
      <c r="AA395" s="189"/>
      <c r="AB395" s="189"/>
      <c r="AD395" s="189"/>
      <c r="AE395" s="189"/>
      <c r="AH395" s="179"/>
      <c r="AJ395" s="191"/>
      <c r="AK395" s="191"/>
      <c r="AM395" s="191"/>
      <c r="AN395" s="191"/>
      <c r="AQ395" s="179"/>
      <c r="AR395" s="192"/>
      <c r="AS395" s="192"/>
      <c r="AU395" s="192"/>
      <c r="AV395" s="192"/>
      <c r="AY395" s="179"/>
      <c r="BA395" s="192"/>
      <c r="BB395" s="192"/>
      <c r="BD395" s="192"/>
      <c r="BE395" s="192"/>
      <c r="BH395" s="179"/>
      <c r="BI395" s="192"/>
      <c r="BJ395" s="192"/>
      <c r="BL395" s="192"/>
      <c r="BM395" s="192"/>
      <c r="BP395" s="179"/>
    </row>
    <row r="396">
      <c r="B396" s="189"/>
      <c r="C396" s="189"/>
      <c r="E396" s="189"/>
      <c r="F396" s="189"/>
      <c r="I396" s="179"/>
      <c r="J396" s="189"/>
      <c r="K396" s="189"/>
      <c r="M396" s="189"/>
      <c r="N396" s="189"/>
      <c r="Q396" s="179"/>
      <c r="S396" s="189"/>
      <c r="T396" s="189"/>
      <c r="V396" s="189"/>
      <c r="W396" s="189"/>
      <c r="Z396" s="179"/>
      <c r="AA396" s="189"/>
      <c r="AB396" s="189"/>
      <c r="AD396" s="189"/>
      <c r="AE396" s="189"/>
      <c r="AH396" s="179"/>
      <c r="AJ396" s="191"/>
      <c r="AK396" s="191"/>
      <c r="AM396" s="191"/>
      <c r="AN396" s="191"/>
      <c r="AQ396" s="179"/>
      <c r="AR396" s="192"/>
      <c r="AS396" s="192"/>
      <c r="AU396" s="192"/>
      <c r="AV396" s="192"/>
      <c r="AY396" s="179"/>
      <c r="BA396" s="192"/>
      <c r="BB396" s="192"/>
      <c r="BD396" s="192"/>
      <c r="BE396" s="192"/>
      <c r="BH396" s="179"/>
      <c r="BI396" s="192"/>
      <c r="BJ396" s="192"/>
      <c r="BL396" s="192"/>
      <c r="BM396" s="192"/>
      <c r="BP396" s="179"/>
    </row>
    <row r="397">
      <c r="B397" s="189"/>
      <c r="C397" s="189"/>
      <c r="E397" s="189"/>
      <c r="F397" s="189"/>
      <c r="I397" s="179"/>
      <c r="J397" s="189"/>
      <c r="K397" s="189"/>
      <c r="M397" s="189"/>
      <c r="N397" s="189"/>
      <c r="Q397" s="179"/>
      <c r="S397" s="189"/>
      <c r="T397" s="189"/>
      <c r="V397" s="189"/>
      <c r="W397" s="189"/>
      <c r="Z397" s="179"/>
      <c r="AA397" s="189"/>
      <c r="AB397" s="189"/>
      <c r="AD397" s="189"/>
      <c r="AE397" s="189"/>
      <c r="AH397" s="179"/>
      <c r="AJ397" s="191"/>
      <c r="AK397" s="191"/>
      <c r="AM397" s="191"/>
      <c r="AN397" s="191"/>
      <c r="AQ397" s="179"/>
      <c r="AR397" s="192"/>
      <c r="AS397" s="192"/>
      <c r="AU397" s="192"/>
      <c r="AV397" s="192"/>
      <c r="AY397" s="179"/>
      <c r="BA397" s="192"/>
      <c r="BB397" s="192"/>
      <c r="BD397" s="192"/>
      <c r="BE397" s="192"/>
      <c r="BH397" s="179"/>
      <c r="BI397" s="192"/>
      <c r="BJ397" s="192"/>
      <c r="BL397" s="192"/>
      <c r="BM397" s="192"/>
      <c r="BP397" s="179"/>
    </row>
    <row r="398">
      <c r="B398" s="189"/>
      <c r="C398" s="189"/>
      <c r="E398" s="189"/>
      <c r="F398" s="189"/>
      <c r="I398" s="179"/>
      <c r="J398" s="189"/>
      <c r="K398" s="189"/>
      <c r="M398" s="189"/>
      <c r="N398" s="189"/>
      <c r="Q398" s="179"/>
      <c r="S398" s="189"/>
      <c r="T398" s="189"/>
      <c r="V398" s="189"/>
      <c r="W398" s="189"/>
      <c r="Z398" s="179"/>
      <c r="AA398" s="189"/>
      <c r="AB398" s="189"/>
      <c r="AD398" s="189"/>
      <c r="AE398" s="189"/>
      <c r="AH398" s="179"/>
      <c r="AJ398" s="191"/>
      <c r="AK398" s="191"/>
      <c r="AM398" s="191"/>
      <c r="AN398" s="191"/>
      <c r="AQ398" s="179"/>
      <c r="AR398" s="192"/>
      <c r="AS398" s="192"/>
      <c r="AU398" s="192"/>
      <c r="AV398" s="192"/>
      <c r="AY398" s="179"/>
      <c r="BA398" s="192"/>
      <c r="BB398" s="192"/>
      <c r="BD398" s="192"/>
      <c r="BE398" s="192"/>
      <c r="BH398" s="179"/>
      <c r="BI398" s="192"/>
      <c r="BJ398" s="192"/>
      <c r="BL398" s="192"/>
      <c r="BM398" s="192"/>
      <c r="BP398" s="179"/>
    </row>
    <row r="399">
      <c r="B399" s="189"/>
      <c r="C399" s="189"/>
      <c r="E399" s="189"/>
      <c r="F399" s="189"/>
      <c r="I399" s="179"/>
      <c r="J399" s="189"/>
      <c r="K399" s="189"/>
      <c r="M399" s="189"/>
      <c r="N399" s="189"/>
      <c r="Q399" s="179"/>
      <c r="S399" s="189"/>
      <c r="T399" s="189"/>
      <c r="V399" s="189"/>
      <c r="W399" s="189"/>
      <c r="Z399" s="179"/>
      <c r="AA399" s="189"/>
      <c r="AB399" s="189"/>
      <c r="AD399" s="189"/>
      <c r="AE399" s="189"/>
      <c r="AH399" s="179"/>
      <c r="AJ399" s="191"/>
      <c r="AK399" s="191"/>
      <c r="AM399" s="191"/>
      <c r="AN399" s="191"/>
      <c r="AQ399" s="179"/>
      <c r="AR399" s="192"/>
      <c r="AS399" s="192"/>
      <c r="AU399" s="192"/>
      <c r="AV399" s="192"/>
      <c r="AY399" s="179"/>
      <c r="BA399" s="192"/>
      <c r="BB399" s="192"/>
      <c r="BD399" s="192"/>
      <c r="BE399" s="192"/>
      <c r="BH399" s="179"/>
      <c r="BI399" s="192"/>
      <c r="BJ399" s="192"/>
      <c r="BL399" s="192"/>
      <c r="BM399" s="192"/>
      <c r="BP399" s="179"/>
    </row>
    <row r="400">
      <c r="B400" s="189"/>
      <c r="C400" s="189"/>
      <c r="E400" s="189"/>
      <c r="F400" s="189"/>
      <c r="I400" s="179"/>
      <c r="J400" s="189"/>
      <c r="K400" s="189"/>
      <c r="M400" s="189"/>
      <c r="N400" s="189"/>
      <c r="Q400" s="179"/>
      <c r="S400" s="189"/>
      <c r="T400" s="189"/>
      <c r="V400" s="189"/>
      <c r="W400" s="189"/>
      <c r="Z400" s="179"/>
      <c r="AA400" s="189"/>
      <c r="AB400" s="189"/>
      <c r="AD400" s="189"/>
      <c r="AE400" s="189"/>
      <c r="AH400" s="179"/>
      <c r="AJ400" s="191"/>
      <c r="AK400" s="191"/>
      <c r="AM400" s="191"/>
      <c r="AN400" s="191"/>
      <c r="AQ400" s="179"/>
      <c r="AR400" s="192"/>
      <c r="AS400" s="192"/>
      <c r="AU400" s="192"/>
      <c r="AV400" s="192"/>
      <c r="AY400" s="179"/>
      <c r="BA400" s="192"/>
      <c r="BB400" s="192"/>
      <c r="BD400" s="192"/>
      <c r="BE400" s="192"/>
      <c r="BH400" s="179"/>
      <c r="BI400" s="192"/>
      <c r="BJ400" s="192"/>
      <c r="BL400" s="192"/>
      <c r="BM400" s="192"/>
      <c r="BP400" s="179"/>
    </row>
    <row r="401">
      <c r="B401" s="189"/>
      <c r="C401" s="189"/>
      <c r="E401" s="189"/>
      <c r="F401" s="189"/>
      <c r="I401" s="179"/>
      <c r="J401" s="189"/>
      <c r="K401" s="189"/>
      <c r="M401" s="189"/>
      <c r="N401" s="189"/>
      <c r="Q401" s="179"/>
      <c r="S401" s="189"/>
      <c r="T401" s="189"/>
      <c r="V401" s="189"/>
      <c r="W401" s="189"/>
      <c r="Z401" s="179"/>
      <c r="AA401" s="189"/>
      <c r="AB401" s="189"/>
      <c r="AD401" s="189"/>
      <c r="AE401" s="189"/>
      <c r="AH401" s="179"/>
      <c r="AJ401" s="191"/>
      <c r="AK401" s="191"/>
      <c r="AM401" s="191"/>
      <c r="AN401" s="191"/>
      <c r="AQ401" s="179"/>
      <c r="AR401" s="192"/>
      <c r="AS401" s="192"/>
      <c r="AU401" s="192"/>
      <c r="AV401" s="192"/>
      <c r="AY401" s="179"/>
      <c r="BA401" s="192"/>
      <c r="BB401" s="192"/>
      <c r="BD401" s="192"/>
      <c r="BE401" s="192"/>
      <c r="BH401" s="179"/>
      <c r="BI401" s="192"/>
      <c r="BJ401" s="192"/>
      <c r="BL401" s="192"/>
      <c r="BM401" s="192"/>
      <c r="BP401" s="179"/>
    </row>
    <row r="402">
      <c r="B402" s="189"/>
      <c r="C402" s="189"/>
      <c r="E402" s="189"/>
      <c r="F402" s="189"/>
      <c r="I402" s="179"/>
      <c r="J402" s="189"/>
      <c r="K402" s="189"/>
      <c r="M402" s="189"/>
      <c r="N402" s="189"/>
      <c r="Q402" s="179"/>
      <c r="S402" s="189"/>
      <c r="T402" s="189"/>
      <c r="V402" s="189"/>
      <c r="W402" s="189"/>
      <c r="Z402" s="179"/>
      <c r="AA402" s="189"/>
      <c r="AB402" s="189"/>
      <c r="AD402" s="189"/>
      <c r="AE402" s="189"/>
      <c r="AH402" s="179"/>
      <c r="AJ402" s="191"/>
      <c r="AK402" s="191"/>
      <c r="AM402" s="191"/>
      <c r="AN402" s="191"/>
      <c r="AQ402" s="179"/>
      <c r="AR402" s="192"/>
      <c r="AS402" s="192"/>
      <c r="AU402" s="192"/>
      <c r="AV402" s="192"/>
      <c r="AY402" s="179"/>
      <c r="BA402" s="192"/>
      <c r="BB402" s="192"/>
      <c r="BD402" s="192"/>
      <c r="BE402" s="192"/>
      <c r="BH402" s="179"/>
      <c r="BI402" s="192"/>
      <c r="BJ402" s="192"/>
      <c r="BL402" s="192"/>
      <c r="BM402" s="192"/>
      <c r="BP402" s="179"/>
    </row>
    <row r="403">
      <c r="B403" s="189"/>
      <c r="C403" s="189"/>
      <c r="E403" s="189"/>
      <c r="F403" s="189"/>
      <c r="I403" s="179"/>
      <c r="J403" s="189"/>
      <c r="K403" s="189"/>
      <c r="M403" s="189"/>
      <c r="N403" s="189"/>
      <c r="Q403" s="179"/>
      <c r="S403" s="189"/>
      <c r="T403" s="189"/>
      <c r="V403" s="189"/>
      <c r="W403" s="189"/>
      <c r="Z403" s="179"/>
      <c r="AA403" s="189"/>
      <c r="AB403" s="189"/>
      <c r="AD403" s="189"/>
      <c r="AE403" s="189"/>
      <c r="AH403" s="179"/>
      <c r="AJ403" s="191"/>
      <c r="AK403" s="191"/>
      <c r="AM403" s="191"/>
      <c r="AN403" s="191"/>
      <c r="AQ403" s="179"/>
      <c r="AR403" s="192"/>
      <c r="AS403" s="192"/>
      <c r="AU403" s="192"/>
      <c r="AV403" s="192"/>
      <c r="AY403" s="179"/>
      <c r="BA403" s="192"/>
      <c r="BB403" s="192"/>
      <c r="BD403" s="192"/>
      <c r="BE403" s="192"/>
      <c r="BH403" s="179"/>
      <c r="BI403" s="192"/>
      <c r="BJ403" s="192"/>
      <c r="BL403" s="192"/>
      <c r="BM403" s="192"/>
      <c r="BP403" s="179"/>
    </row>
    <row r="404">
      <c r="B404" s="189"/>
      <c r="C404" s="189"/>
      <c r="E404" s="189"/>
      <c r="F404" s="189"/>
      <c r="I404" s="179"/>
      <c r="J404" s="189"/>
      <c r="K404" s="189"/>
      <c r="M404" s="189"/>
      <c r="N404" s="189"/>
      <c r="Q404" s="179"/>
      <c r="S404" s="189"/>
      <c r="T404" s="189"/>
      <c r="V404" s="189"/>
      <c r="W404" s="189"/>
      <c r="Z404" s="179"/>
      <c r="AA404" s="189"/>
      <c r="AB404" s="189"/>
      <c r="AD404" s="189"/>
      <c r="AE404" s="189"/>
      <c r="AH404" s="179"/>
      <c r="AJ404" s="191"/>
      <c r="AK404" s="191"/>
      <c r="AM404" s="191"/>
      <c r="AN404" s="191"/>
      <c r="AQ404" s="179"/>
      <c r="AR404" s="192"/>
      <c r="AS404" s="192"/>
      <c r="AU404" s="192"/>
      <c r="AV404" s="192"/>
      <c r="AY404" s="179"/>
      <c r="BA404" s="192"/>
      <c r="BB404" s="192"/>
      <c r="BD404" s="192"/>
      <c r="BE404" s="192"/>
      <c r="BH404" s="179"/>
      <c r="BI404" s="192"/>
      <c r="BJ404" s="192"/>
      <c r="BL404" s="192"/>
      <c r="BM404" s="192"/>
      <c r="BP404" s="179"/>
    </row>
    <row r="405">
      <c r="B405" s="189"/>
      <c r="C405" s="189"/>
      <c r="E405" s="189"/>
      <c r="F405" s="189"/>
      <c r="I405" s="179"/>
      <c r="J405" s="189"/>
      <c r="K405" s="189"/>
      <c r="M405" s="189"/>
      <c r="N405" s="189"/>
      <c r="Q405" s="179"/>
      <c r="S405" s="189"/>
      <c r="T405" s="189"/>
      <c r="V405" s="189"/>
      <c r="W405" s="189"/>
      <c r="Z405" s="179"/>
      <c r="AA405" s="189"/>
      <c r="AB405" s="189"/>
      <c r="AD405" s="189"/>
      <c r="AE405" s="189"/>
      <c r="AH405" s="179"/>
      <c r="AJ405" s="191"/>
      <c r="AK405" s="191"/>
      <c r="AM405" s="191"/>
      <c r="AN405" s="191"/>
      <c r="AQ405" s="179"/>
      <c r="AR405" s="192"/>
      <c r="AS405" s="192"/>
      <c r="AU405" s="192"/>
      <c r="AV405" s="192"/>
      <c r="AY405" s="179"/>
      <c r="BA405" s="192"/>
      <c r="BB405" s="192"/>
      <c r="BD405" s="192"/>
      <c r="BE405" s="192"/>
      <c r="BH405" s="179"/>
      <c r="BI405" s="192"/>
      <c r="BJ405" s="192"/>
      <c r="BL405" s="192"/>
      <c r="BM405" s="192"/>
      <c r="BP405" s="179"/>
    </row>
    <row r="406">
      <c r="B406" s="189"/>
      <c r="C406" s="189"/>
      <c r="E406" s="189"/>
      <c r="F406" s="189"/>
      <c r="I406" s="179"/>
      <c r="J406" s="189"/>
      <c r="K406" s="189"/>
      <c r="M406" s="189"/>
      <c r="N406" s="189"/>
      <c r="Q406" s="179"/>
      <c r="S406" s="189"/>
      <c r="T406" s="189"/>
      <c r="V406" s="189"/>
      <c r="W406" s="189"/>
      <c r="Z406" s="179"/>
      <c r="AA406" s="189"/>
      <c r="AB406" s="189"/>
      <c r="AD406" s="189"/>
      <c r="AE406" s="189"/>
      <c r="AH406" s="179"/>
      <c r="AJ406" s="191"/>
      <c r="AK406" s="191"/>
      <c r="AM406" s="191"/>
      <c r="AN406" s="191"/>
      <c r="AQ406" s="179"/>
      <c r="AR406" s="192"/>
      <c r="AS406" s="192"/>
      <c r="AU406" s="192"/>
      <c r="AV406" s="192"/>
      <c r="AY406" s="179"/>
      <c r="BA406" s="192"/>
      <c r="BB406" s="192"/>
      <c r="BD406" s="192"/>
      <c r="BE406" s="192"/>
      <c r="BH406" s="179"/>
      <c r="BI406" s="192"/>
      <c r="BJ406" s="192"/>
      <c r="BL406" s="192"/>
      <c r="BM406" s="192"/>
      <c r="BP406" s="179"/>
    </row>
    <row r="407">
      <c r="B407" s="189"/>
      <c r="C407" s="189"/>
      <c r="E407" s="189"/>
      <c r="F407" s="189"/>
      <c r="I407" s="179"/>
      <c r="J407" s="189"/>
      <c r="K407" s="189"/>
      <c r="M407" s="189"/>
      <c r="N407" s="189"/>
      <c r="Q407" s="179"/>
      <c r="S407" s="189"/>
      <c r="T407" s="189"/>
      <c r="V407" s="189"/>
      <c r="W407" s="189"/>
      <c r="Z407" s="179"/>
      <c r="AA407" s="189"/>
      <c r="AB407" s="189"/>
      <c r="AD407" s="189"/>
      <c r="AE407" s="189"/>
      <c r="AH407" s="179"/>
      <c r="AJ407" s="191"/>
      <c r="AK407" s="191"/>
      <c r="AM407" s="191"/>
      <c r="AN407" s="191"/>
      <c r="AQ407" s="179"/>
      <c r="AR407" s="192"/>
      <c r="AS407" s="192"/>
      <c r="AU407" s="192"/>
      <c r="AV407" s="192"/>
      <c r="AY407" s="179"/>
      <c r="BA407" s="192"/>
      <c r="BB407" s="192"/>
      <c r="BD407" s="192"/>
      <c r="BE407" s="192"/>
      <c r="BH407" s="179"/>
      <c r="BI407" s="192"/>
      <c r="BJ407" s="192"/>
      <c r="BL407" s="192"/>
      <c r="BM407" s="192"/>
      <c r="BP407" s="179"/>
    </row>
    <row r="408">
      <c r="B408" s="189"/>
      <c r="C408" s="189"/>
      <c r="E408" s="189"/>
      <c r="F408" s="189"/>
      <c r="I408" s="179"/>
      <c r="J408" s="189"/>
      <c r="K408" s="189"/>
      <c r="M408" s="189"/>
      <c r="N408" s="189"/>
      <c r="Q408" s="179"/>
      <c r="S408" s="189"/>
      <c r="T408" s="189"/>
      <c r="V408" s="189"/>
      <c r="W408" s="189"/>
      <c r="Z408" s="179"/>
      <c r="AA408" s="189"/>
      <c r="AB408" s="189"/>
      <c r="AD408" s="189"/>
      <c r="AE408" s="189"/>
      <c r="AH408" s="179"/>
      <c r="AJ408" s="191"/>
      <c r="AK408" s="191"/>
      <c r="AM408" s="191"/>
      <c r="AN408" s="191"/>
      <c r="AQ408" s="179"/>
      <c r="AR408" s="192"/>
      <c r="AS408" s="192"/>
      <c r="AU408" s="192"/>
      <c r="AV408" s="192"/>
      <c r="AY408" s="179"/>
      <c r="BA408" s="192"/>
      <c r="BB408" s="192"/>
      <c r="BD408" s="192"/>
      <c r="BE408" s="192"/>
      <c r="BH408" s="179"/>
      <c r="BI408" s="192"/>
      <c r="BJ408" s="192"/>
      <c r="BL408" s="192"/>
      <c r="BM408" s="192"/>
      <c r="BP408" s="179"/>
    </row>
    <row r="409">
      <c r="B409" s="189"/>
      <c r="C409" s="189"/>
      <c r="E409" s="189"/>
      <c r="F409" s="189"/>
      <c r="I409" s="179"/>
      <c r="J409" s="189"/>
      <c r="K409" s="189"/>
      <c r="M409" s="189"/>
      <c r="N409" s="189"/>
      <c r="Q409" s="179"/>
      <c r="S409" s="189"/>
      <c r="T409" s="189"/>
      <c r="V409" s="189"/>
      <c r="W409" s="189"/>
      <c r="Z409" s="179"/>
      <c r="AA409" s="189"/>
      <c r="AB409" s="189"/>
      <c r="AD409" s="189"/>
      <c r="AE409" s="189"/>
      <c r="AH409" s="179"/>
      <c r="AJ409" s="191"/>
      <c r="AK409" s="191"/>
      <c r="AM409" s="191"/>
      <c r="AN409" s="191"/>
      <c r="AQ409" s="179"/>
      <c r="AR409" s="192"/>
      <c r="AS409" s="192"/>
      <c r="AU409" s="192"/>
      <c r="AV409" s="192"/>
      <c r="AY409" s="179"/>
      <c r="BA409" s="192"/>
      <c r="BB409" s="192"/>
      <c r="BD409" s="192"/>
      <c r="BE409" s="192"/>
      <c r="BH409" s="179"/>
      <c r="BI409" s="192"/>
      <c r="BJ409" s="192"/>
      <c r="BL409" s="192"/>
      <c r="BM409" s="192"/>
      <c r="BP409" s="179"/>
    </row>
    <row r="410">
      <c r="B410" s="189"/>
      <c r="C410" s="189"/>
      <c r="E410" s="189"/>
      <c r="F410" s="189"/>
      <c r="I410" s="179"/>
      <c r="J410" s="189"/>
      <c r="K410" s="189"/>
      <c r="M410" s="189"/>
      <c r="N410" s="189"/>
      <c r="Q410" s="179"/>
      <c r="S410" s="189"/>
      <c r="T410" s="189"/>
      <c r="V410" s="189"/>
      <c r="W410" s="189"/>
      <c r="Z410" s="179"/>
      <c r="AA410" s="189"/>
      <c r="AB410" s="189"/>
      <c r="AD410" s="189"/>
      <c r="AE410" s="189"/>
      <c r="AH410" s="179"/>
      <c r="AJ410" s="191"/>
      <c r="AK410" s="191"/>
      <c r="AM410" s="191"/>
      <c r="AN410" s="191"/>
      <c r="AQ410" s="179"/>
      <c r="AR410" s="192"/>
      <c r="AS410" s="192"/>
      <c r="AU410" s="192"/>
      <c r="AV410" s="192"/>
      <c r="AY410" s="179"/>
      <c r="BA410" s="192"/>
      <c r="BB410" s="192"/>
      <c r="BD410" s="192"/>
      <c r="BE410" s="192"/>
      <c r="BH410" s="179"/>
      <c r="BI410" s="192"/>
      <c r="BJ410" s="192"/>
      <c r="BL410" s="192"/>
      <c r="BM410" s="192"/>
      <c r="BP410" s="179"/>
    </row>
    <row r="411">
      <c r="B411" s="189"/>
      <c r="C411" s="189"/>
      <c r="E411" s="189"/>
      <c r="F411" s="189"/>
      <c r="I411" s="179"/>
      <c r="J411" s="189"/>
      <c r="K411" s="189"/>
      <c r="M411" s="189"/>
      <c r="N411" s="189"/>
      <c r="Q411" s="179"/>
      <c r="S411" s="189"/>
      <c r="T411" s="189"/>
      <c r="V411" s="189"/>
      <c r="W411" s="189"/>
      <c r="Z411" s="179"/>
      <c r="AA411" s="189"/>
      <c r="AB411" s="189"/>
      <c r="AD411" s="189"/>
      <c r="AE411" s="189"/>
      <c r="AH411" s="179"/>
      <c r="AJ411" s="191"/>
      <c r="AK411" s="191"/>
      <c r="AM411" s="191"/>
      <c r="AN411" s="191"/>
      <c r="AQ411" s="179"/>
      <c r="AR411" s="192"/>
      <c r="AS411" s="192"/>
      <c r="AU411" s="192"/>
      <c r="AV411" s="192"/>
      <c r="AY411" s="179"/>
      <c r="BA411" s="192"/>
      <c r="BB411" s="192"/>
      <c r="BD411" s="192"/>
      <c r="BE411" s="192"/>
      <c r="BH411" s="179"/>
      <c r="BI411" s="192"/>
      <c r="BJ411" s="192"/>
      <c r="BL411" s="192"/>
      <c r="BM411" s="192"/>
      <c r="BP411" s="179"/>
    </row>
    <row r="412">
      <c r="B412" s="189"/>
      <c r="C412" s="189"/>
      <c r="E412" s="189"/>
      <c r="F412" s="189"/>
      <c r="I412" s="179"/>
      <c r="J412" s="189"/>
      <c r="K412" s="189"/>
      <c r="M412" s="189"/>
      <c r="N412" s="189"/>
      <c r="Q412" s="179"/>
      <c r="S412" s="189"/>
      <c r="T412" s="189"/>
      <c r="V412" s="189"/>
      <c r="W412" s="189"/>
      <c r="Z412" s="179"/>
      <c r="AA412" s="189"/>
      <c r="AB412" s="189"/>
      <c r="AD412" s="189"/>
      <c r="AE412" s="189"/>
      <c r="AH412" s="179"/>
      <c r="AJ412" s="191"/>
      <c r="AK412" s="191"/>
      <c r="AM412" s="191"/>
      <c r="AN412" s="191"/>
      <c r="AQ412" s="179"/>
      <c r="AR412" s="192"/>
      <c r="AS412" s="192"/>
      <c r="AU412" s="192"/>
      <c r="AV412" s="192"/>
      <c r="AY412" s="179"/>
      <c r="BA412" s="192"/>
      <c r="BB412" s="192"/>
      <c r="BD412" s="192"/>
      <c r="BE412" s="192"/>
      <c r="BH412" s="179"/>
      <c r="BI412" s="192"/>
      <c r="BJ412" s="192"/>
      <c r="BL412" s="192"/>
      <c r="BM412" s="192"/>
      <c r="BP412" s="179"/>
    </row>
    <row r="413">
      <c r="B413" s="189"/>
      <c r="C413" s="189"/>
      <c r="E413" s="189"/>
      <c r="F413" s="189"/>
      <c r="I413" s="179"/>
      <c r="J413" s="189"/>
      <c r="K413" s="189"/>
      <c r="M413" s="189"/>
      <c r="N413" s="189"/>
      <c r="Q413" s="179"/>
      <c r="S413" s="189"/>
      <c r="T413" s="189"/>
      <c r="V413" s="189"/>
      <c r="W413" s="189"/>
      <c r="Z413" s="179"/>
      <c r="AA413" s="189"/>
      <c r="AB413" s="189"/>
      <c r="AD413" s="189"/>
      <c r="AE413" s="189"/>
      <c r="AH413" s="179"/>
      <c r="AJ413" s="191"/>
      <c r="AK413" s="191"/>
      <c r="AM413" s="191"/>
      <c r="AN413" s="191"/>
      <c r="AQ413" s="179"/>
      <c r="AR413" s="192"/>
      <c r="AS413" s="192"/>
      <c r="AU413" s="192"/>
      <c r="AV413" s="192"/>
      <c r="AY413" s="179"/>
      <c r="BA413" s="192"/>
      <c r="BB413" s="192"/>
      <c r="BD413" s="192"/>
      <c r="BE413" s="192"/>
      <c r="BH413" s="179"/>
      <c r="BI413" s="192"/>
      <c r="BJ413" s="192"/>
      <c r="BL413" s="192"/>
      <c r="BM413" s="192"/>
      <c r="BP413" s="179"/>
    </row>
    <row r="414">
      <c r="B414" s="189"/>
      <c r="C414" s="189"/>
      <c r="E414" s="189"/>
      <c r="F414" s="189"/>
      <c r="I414" s="179"/>
      <c r="J414" s="189"/>
      <c r="K414" s="189"/>
      <c r="M414" s="189"/>
      <c r="N414" s="189"/>
      <c r="Q414" s="179"/>
      <c r="S414" s="189"/>
      <c r="T414" s="189"/>
      <c r="V414" s="189"/>
      <c r="W414" s="189"/>
      <c r="Z414" s="179"/>
      <c r="AA414" s="189"/>
      <c r="AB414" s="189"/>
      <c r="AD414" s="189"/>
      <c r="AE414" s="189"/>
      <c r="AH414" s="179"/>
      <c r="AJ414" s="191"/>
      <c r="AK414" s="191"/>
      <c r="AM414" s="191"/>
      <c r="AN414" s="191"/>
      <c r="AQ414" s="179"/>
      <c r="AR414" s="192"/>
      <c r="AS414" s="192"/>
      <c r="AU414" s="192"/>
      <c r="AV414" s="192"/>
      <c r="AY414" s="179"/>
      <c r="BA414" s="192"/>
      <c r="BB414" s="192"/>
      <c r="BD414" s="192"/>
      <c r="BE414" s="192"/>
      <c r="BH414" s="179"/>
      <c r="BI414" s="192"/>
      <c r="BJ414" s="192"/>
      <c r="BL414" s="192"/>
      <c r="BM414" s="192"/>
      <c r="BP414" s="179"/>
    </row>
    <row r="415">
      <c r="B415" s="189"/>
      <c r="C415" s="189"/>
      <c r="E415" s="189"/>
      <c r="F415" s="189"/>
      <c r="I415" s="179"/>
      <c r="J415" s="189"/>
      <c r="K415" s="189"/>
      <c r="M415" s="189"/>
      <c r="N415" s="189"/>
      <c r="Q415" s="179"/>
      <c r="S415" s="189"/>
      <c r="T415" s="189"/>
      <c r="V415" s="189"/>
      <c r="W415" s="189"/>
      <c r="Z415" s="179"/>
      <c r="AA415" s="189"/>
      <c r="AB415" s="189"/>
      <c r="AD415" s="189"/>
      <c r="AE415" s="189"/>
      <c r="AH415" s="179"/>
      <c r="AJ415" s="191"/>
      <c r="AK415" s="191"/>
      <c r="AM415" s="191"/>
      <c r="AN415" s="191"/>
      <c r="AQ415" s="179"/>
      <c r="AR415" s="192"/>
      <c r="AS415" s="192"/>
      <c r="AU415" s="192"/>
      <c r="AV415" s="192"/>
      <c r="AY415" s="179"/>
      <c r="BA415" s="192"/>
      <c r="BB415" s="192"/>
      <c r="BD415" s="192"/>
      <c r="BE415" s="192"/>
      <c r="BH415" s="179"/>
      <c r="BI415" s="192"/>
      <c r="BJ415" s="192"/>
      <c r="BL415" s="192"/>
      <c r="BM415" s="192"/>
      <c r="BP415" s="179"/>
    </row>
    <row r="416">
      <c r="B416" s="189"/>
      <c r="C416" s="189"/>
      <c r="E416" s="189"/>
      <c r="F416" s="189"/>
      <c r="I416" s="179"/>
      <c r="J416" s="189"/>
      <c r="K416" s="189"/>
      <c r="M416" s="189"/>
      <c r="N416" s="189"/>
      <c r="Q416" s="179"/>
      <c r="S416" s="189"/>
      <c r="T416" s="189"/>
      <c r="V416" s="189"/>
      <c r="W416" s="189"/>
      <c r="Z416" s="179"/>
      <c r="AA416" s="189"/>
      <c r="AB416" s="189"/>
      <c r="AD416" s="189"/>
      <c r="AE416" s="189"/>
      <c r="AH416" s="179"/>
      <c r="AJ416" s="191"/>
      <c r="AK416" s="191"/>
      <c r="AM416" s="191"/>
      <c r="AN416" s="191"/>
      <c r="AQ416" s="179"/>
      <c r="AR416" s="192"/>
      <c r="AS416" s="192"/>
      <c r="AU416" s="192"/>
      <c r="AV416" s="192"/>
      <c r="AY416" s="179"/>
      <c r="BA416" s="192"/>
      <c r="BB416" s="192"/>
      <c r="BD416" s="192"/>
      <c r="BE416" s="192"/>
      <c r="BH416" s="179"/>
      <c r="BI416" s="192"/>
      <c r="BJ416" s="192"/>
      <c r="BL416" s="192"/>
      <c r="BM416" s="192"/>
      <c r="BP416" s="179"/>
    </row>
    <row r="417">
      <c r="B417" s="189"/>
      <c r="C417" s="189"/>
      <c r="E417" s="189"/>
      <c r="F417" s="189"/>
      <c r="I417" s="179"/>
      <c r="J417" s="189"/>
      <c r="K417" s="189"/>
      <c r="M417" s="189"/>
      <c r="N417" s="189"/>
      <c r="Q417" s="179"/>
      <c r="S417" s="189"/>
      <c r="T417" s="189"/>
      <c r="V417" s="189"/>
      <c r="W417" s="189"/>
      <c r="Z417" s="179"/>
      <c r="AA417" s="189"/>
      <c r="AB417" s="189"/>
      <c r="AD417" s="189"/>
      <c r="AE417" s="189"/>
      <c r="AH417" s="179"/>
      <c r="AJ417" s="191"/>
      <c r="AK417" s="191"/>
      <c r="AM417" s="191"/>
      <c r="AN417" s="191"/>
      <c r="AQ417" s="179"/>
      <c r="AR417" s="192"/>
      <c r="AS417" s="192"/>
      <c r="AU417" s="192"/>
      <c r="AV417" s="192"/>
      <c r="AY417" s="179"/>
      <c r="BA417" s="192"/>
      <c r="BB417" s="192"/>
      <c r="BD417" s="192"/>
      <c r="BE417" s="192"/>
      <c r="BH417" s="179"/>
      <c r="BI417" s="192"/>
      <c r="BJ417" s="192"/>
      <c r="BL417" s="192"/>
      <c r="BM417" s="192"/>
      <c r="BP417" s="179"/>
    </row>
    <row r="418">
      <c r="B418" s="189"/>
      <c r="C418" s="189"/>
      <c r="E418" s="189"/>
      <c r="F418" s="189"/>
      <c r="I418" s="179"/>
      <c r="J418" s="189"/>
      <c r="K418" s="189"/>
      <c r="M418" s="189"/>
      <c r="N418" s="189"/>
      <c r="Q418" s="179"/>
      <c r="S418" s="189"/>
      <c r="T418" s="189"/>
      <c r="V418" s="189"/>
      <c r="W418" s="189"/>
      <c r="Z418" s="179"/>
      <c r="AA418" s="189"/>
      <c r="AB418" s="189"/>
      <c r="AD418" s="189"/>
      <c r="AE418" s="189"/>
      <c r="AH418" s="179"/>
      <c r="AJ418" s="191"/>
      <c r="AK418" s="191"/>
      <c r="AM418" s="191"/>
      <c r="AN418" s="191"/>
      <c r="AQ418" s="179"/>
      <c r="AR418" s="192"/>
      <c r="AS418" s="192"/>
      <c r="AU418" s="192"/>
      <c r="AV418" s="192"/>
      <c r="AY418" s="179"/>
      <c r="BA418" s="192"/>
      <c r="BB418" s="192"/>
      <c r="BD418" s="192"/>
      <c r="BE418" s="192"/>
      <c r="BH418" s="179"/>
      <c r="BI418" s="192"/>
      <c r="BJ418" s="192"/>
      <c r="BL418" s="192"/>
      <c r="BM418" s="192"/>
      <c r="BP418" s="179"/>
    </row>
    <row r="419">
      <c r="B419" s="189"/>
      <c r="C419" s="189"/>
      <c r="E419" s="189"/>
      <c r="F419" s="189"/>
      <c r="I419" s="179"/>
      <c r="J419" s="189"/>
      <c r="K419" s="189"/>
      <c r="M419" s="189"/>
      <c r="N419" s="189"/>
      <c r="Q419" s="179"/>
      <c r="S419" s="189"/>
      <c r="T419" s="189"/>
      <c r="V419" s="189"/>
      <c r="W419" s="189"/>
      <c r="Z419" s="179"/>
      <c r="AA419" s="189"/>
      <c r="AB419" s="189"/>
      <c r="AD419" s="189"/>
      <c r="AE419" s="189"/>
      <c r="AH419" s="179"/>
      <c r="AJ419" s="191"/>
      <c r="AK419" s="191"/>
      <c r="AM419" s="191"/>
      <c r="AN419" s="191"/>
      <c r="AQ419" s="179"/>
      <c r="AR419" s="192"/>
      <c r="AS419" s="192"/>
      <c r="AU419" s="192"/>
      <c r="AV419" s="192"/>
      <c r="AY419" s="179"/>
      <c r="BA419" s="192"/>
      <c r="BB419" s="192"/>
      <c r="BD419" s="192"/>
      <c r="BE419" s="192"/>
      <c r="BH419" s="179"/>
      <c r="BI419" s="192"/>
      <c r="BJ419" s="192"/>
      <c r="BL419" s="192"/>
      <c r="BM419" s="192"/>
      <c r="BP419" s="179"/>
    </row>
    <row r="420">
      <c r="B420" s="189"/>
      <c r="C420" s="189"/>
      <c r="E420" s="189"/>
      <c r="F420" s="189"/>
      <c r="I420" s="179"/>
      <c r="J420" s="189"/>
      <c r="K420" s="189"/>
      <c r="M420" s="189"/>
      <c r="N420" s="189"/>
      <c r="Q420" s="179"/>
      <c r="S420" s="189"/>
      <c r="T420" s="189"/>
      <c r="V420" s="189"/>
      <c r="W420" s="189"/>
      <c r="Z420" s="179"/>
      <c r="AA420" s="189"/>
      <c r="AB420" s="189"/>
      <c r="AD420" s="189"/>
      <c r="AE420" s="189"/>
      <c r="AH420" s="179"/>
      <c r="AJ420" s="191"/>
      <c r="AK420" s="191"/>
      <c r="AM420" s="191"/>
      <c r="AN420" s="191"/>
      <c r="AQ420" s="179"/>
      <c r="AR420" s="192"/>
      <c r="AS420" s="192"/>
      <c r="AU420" s="192"/>
      <c r="AV420" s="192"/>
      <c r="AY420" s="179"/>
      <c r="BA420" s="192"/>
      <c r="BB420" s="192"/>
      <c r="BD420" s="192"/>
      <c r="BE420" s="192"/>
      <c r="BH420" s="179"/>
      <c r="BI420" s="192"/>
      <c r="BJ420" s="192"/>
      <c r="BL420" s="192"/>
      <c r="BM420" s="192"/>
      <c r="BP420" s="179"/>
    </row>
    <row r="421">
      <c r="B421" s="189"/>
      <c r="C421" s="189"/>
      <c r="E421" s="189"/>
      <c r="F421" s="189"/>
      <c r="I421" s="179"/>
      <c r="J421" s="189"/>
      <c r="K421" s="189"/>
      <c r="M421" s="189"/>
      <c r="N421" s="189"/>
      <c r="Q421" s="179"/>
      <c r="S421" s="189"/>
      <c r="T421" s="189"/>
      <c r="V421" s="189"/>
      <c r="W421" s="189"/>
      <c r="Z421" s="179"/>
      <c r="AA421" s="189"/>
      <c r="AB421" s="189"/>
      <c r="AD421" s="189"/>
      <c r="AE421" s="189"/>
      <c r="AH421" s="179"/>
      <c r="AJ421" s="191"/>
      <c r="AK421" s="191"/>
      <c r="AM421" s="191"/>
      <c r="AN421" s="191"/>
      <c r="AQ421" s="179"/>
      <c r="AR421" s="192"/>
      <c r="AS421" s="192"/>
      <c r="AU421" s="192"/>
      <c r="AV421" s="192"/>
      <c r="AY421" s="179"/>
      <c r="BA421" s="192"/>
      <c r="BB421" s="192"/>
      <c r="BD421" s="192"/>
      <c r="BE421" s="192"/>
      <c r="BH421" s="179"/>
      <c r="BI421" s="192"/>
      <c r="BJ421" s="192"/>
      <c r="BL421" s="192"/>
      <c r="BM421" s="192"/>
      <c r="BP421" s="179"/>
    </row>
    <row r="422">
      <c r="B422" s="189"/>
      <c r="C422" s="189"/>
      <c r="E422" s="189"/>
      <c r="F422" s="189"/>
      <c r="I422" s="179"/>
      <c r="J422" s="189"/>
      <c r="K422" s="189"/>
      <c r="M422" s="189"/>
      <c r="N422" s="189"/>
      <c r="Q422" s="179"/>
      <c r="S422" s="189"/>
      <c r="T422" s="189"/>
      <c r="V422" s="189"/>
      <c r="W422" s="189"/>
      <c r="Z422" s="179"/>
      <c r="AA422" s="189"/>
      <c r="AB422" s="189"/>
      <c r="AD422" s="189"/>
      <c r="AE422" s="189"/>
      <c r="AH422" s="179"/>
      <c r="AJ422" s="191"/>
      <c r="AK422" s="191"/>
      <c r="AM422" s="191"/>
      <c r="AN422" s="191"/>
      <c r="AQ422" s="179"/>
      <c r="AR422" s="192"/>
      <c r="AS422" s="192"/>
      <c r="AU422" s="192"/>
      <c r="AV422" s="192"/>
      <c r="AY422" s="179"/>
      <c r="BA422" s="192"/>
      <c r="BB422" s="192"/>
      <c r="BD422" s="192"/>
      <c r="BE422" s="192"/>
      <c r="BH422" s="179"/>
      <c r="BI422" s="192"/>
      <c r="BJ422" s="192"/>
      <c r="BL422" s="192"/>
      <c r="BM422" s="192"/>
      <c r="BP422" s="179"/>
    </row>
    <row r="423">
      <c r="B423" s="189"/>
      <c r="C423" s="189"/>
      <c r="E423" s="189"/>
      <c r="F423" s="189"/>
      <c r="I423" s="179"/>
      <c r="J423" s="189"/>
      <c r="K423" s="189"/>
      <c r="M423" s="189"/>
      <c r="N423" s="189"/>
      <c r="Q423" s="179"/>
      <c r="S423" s="189"/>
      <c r="T423" s="189"/>
      <c r="V423" s="189"/>
      <c r="W423" s="189"/>
      <c r="Z423" s="179"/>
      <c r="AA423" s="189"/>
      <c r="AB423" s="189"/>
      <c r="AD423" s="189"/>
      <c r="AE423" s="189"/>
      <c r="AH423" s="179"/>
      <c r="AJ423" s="191"/>
      <c r="AK423" s="191"/>
      <c r="AM423" s="191"/>
      <c r="AN423" s="191"/>
      <c r="AQ423" s="179"/>
      <c r="AR423" s="192"/>
      <c r="AS423" s="192"/>
      <c r="AU423" s="192"/>
      <c r="AV423" s="192"/>
      <c r="AY423" s="179"/>
      <c r="BA423" s="192"/>
      <c r="BB423" s="192"/>
      <c r="BD423" s="192"/>
      <c r="BE423" s="192"/>
      <c r="BH423" s="179"/>
      <c r="BI423" s="192"/>
      <c r="BJ423" s="192"/>
      <c r="BL423" s="192"/>
      <c r="BM423" s="192"/>
      <c r="BP423" s="179"/>
    </row>
    <row r="424">
      <c r="B424" s="189"/>
      <c r="C424" s="189"/>
      <c r="E424" s="189"/>
      <c r="F424" s="189"/>
      <c r="I424" s="179"/>
      <c r="J424" s="189"/>
      <c r="K424" s="189"/>
      <c r="M424" s="189"/>
      <c r="N424" s="189"/>
      <c r="Q424" s="179"/>
      <c r="S424" s="189"/>
      <c r="T424" s="189"/>
      <c r="V424" s="189"/>
      <c r="W424" s="189"/>
      <c r="Z424" s="179"/>
      <c r="AA424" s="189"/>
      <c r="AB424" s="189"/>
      <c r="AD424" s="189"/>
      <c r="AE424" s="189"/>
      <c r="AH424" s="179"/>
      <c r="AJ424" s="191"/>
      <c r="AK424" s="191"/>
      <c r="AM424" s="191"/>
      <c r="AN424" s="191"/>
      <c r="AQ424" s="179"/>
      <c r="AR424" s="192"/>
      <c r="AS424" s="192"/>
      <c r="AU424" s="192"/>
      <c r="AV424" s="192"/>
      <c r="AY424" s="179"/>
      <c r="BA424" s="192"/>
      <c r="BB424" s="192"/>
      <c r="BD424" s="192"/>
      <c r="BE424" s="192"/>
      <c r="BH424" s="179"/>
      <c r="BI424" s="192"/>
      <c r="BJ424" s="192"/>
      <c r="BL424" s="192"/>
      <c r="BM424" s="192"/>
      <c r="BP424" s="179"/>
    </row>
    <row r="425">
      <c r="B425" s="189"/>
      <c r="C425" s="189"/>
      <c r="E425" s="189"/>
      <c r="F425" s="189"/>
      <c r="I425" s="179"/>
      <c r="J425" s="189"/>
      <c r="K425" s="189"/>
      <c r="M425" s="189"/>
      <c r="N425" s="189"/>
      <c r="Q425" s="179"/>
      <c r="S425" s="189"/>
      <c r="T425" s="189"/>
      <c r="V425" s="189"/>
      <c r="W425" s="189"/>
      <c r="Z425" s="179"/>
      <c r="AA425" s="189"/>
      <c r="AB425" s="189"/>
      <c r="AD425" s="189"/>
      <c r="AE425" s="189"/>
      <c r="AH425" s="179"/>
      <c r="AJ425" s="191"/>
      <c r="AK425" s="191"/>
      <c r="AM425" s="191"/>
      <c r="AN425" s="191"/>
      <c r="AQ425" s="179"/>
      <c r="AR425" s="192"/>
      <c r="AS425" s="192"/>
      <c r="AU425" s="192"/>
      <c r="AV425" s="192"/>
      <c r="AY425" s="179"/>
      <c r="BA425" s="192"/>
      <c r="BB425" s="192"/>
      <c r="BD425" s="192"/>
      <c r="BE425" s="192"/>
      <c r="BH425" s="179"/>
      <c r="BI425" s="192"/>
      <c r="BJ425" s="192"/>
      <c r="BL425" s="192"/>
      <c r="BM425" s="192"/>
      <c r="BP425" s="179"/>
    </row>
    <row r="426">
      <c r="B426" s="189"/>
      <c r="C426" s="189"/>
      <c r="E426" s="189"/>
      <c r="F426" s="189"/>
      <c r="I426" s="179"/>
      <c r="J426" s="189"/>
      <c r="K426" s="189"/>
      <c r="M426" s="189"/>
      <c r="N426" s="189"/>
      <c r="Q426" s="179"/>
      <c r="S426" s="189"/>
      <c r="T426" s="189"/>
      <c r="V426" s="189"/>
      <c r="W426" s="189"/>
      <c r="Z426" s="179"/>
      <c r="AA426" s="189"/>
      <c r="AB426" s="189"/>
      <c r="AD426" s="189"/>
      <c r="AE426" s="189"/>
      <c r="AH426" s="179"/>
      <c r="AJ426" s="191"/>
      <c r="AK426" s="191"/>
      <c r="AM426" s="191"/>
      <c r="AN426" s="191"/>
      <c r="AQ426" s="179"/>
      <c r="AR426" s="192"/>
      <c r="AS426" s="192"/>
      <c r="AU426" s="192"/>
      <c r="AV426" s="192"/>
      <c r="AY426" s="179"/>
      <c r="BA426" s="192"/>
      <c r="BB426" s="192"/>
      <c r="BD426" s="192"/>
      <c r="BE426" s="192"/>
      <c r="BH426" s="179"/>
      <c r="BI426" s="192"/>
      <c r="BJ426" s="192"/>
      <c r="BL426" s="192"/>
      <c r="BM426" s="192"/>
      <c r="BP426" s="179"/>
    </row>
    <row r="427">
      <c r="B427" s="189"/>
      <c r="C427" s="189"/>
      <c r="E427" s="189"/>
      <c r="F427" s="189"/>
      <c r="I427" s="179"/>
      <c r="J427" s="189"/>
      <c r="K427" s="189"/>
      <c r="M427" s="189"/>
      <c r="N427" s="189"/>
      <c r="Q427" s="179"/>
      <c r="S427" s="189"/>
      <c r="T427" s="189"/>
      <c r="V427" s="189"/>
      <c r="W427" s="189"/>
      <c r="Z427" s="179"/>
      <c r="AA427" s="189"/>
      <c r="AB427" s="189"/>
      <c r="AD427" s="189"/>
      <c r="AE427" s="189"/>
      <c r="AH427" s="179"/>
      <c r="AJ427" s="191"/>
      <c r="AK427" s="191"/>
      <c r="AM427" s="191"/>
      <c r="AN427" s="191"/>
      <c r="AQ427" s="179"/>
      <c r="AR427" s="192"/>
      <c r="AS427" s="192"/>
      <c r="AU427" s="192"/>
      <c r="AV427" s="192"/>
      <c r="AY427" s="179"/>
      <c r="BA427" s="192"/>
      <c r="BB427" s="192"/>
      <c r="BD427" s="192"/>
      <c r="BE427" s="192"/>
      <c r="BH427" s="179"/>
      <c r="BI427" s="192"/>
      <c r="BJ427" s="192"/>
      <c r="BL427" s="192"/>
      <c r="BM427" s="192"/>
      <c r="BP427" s="179"/>
    </row>
    <row r="428">
      <c r="B428" s="189"/>
      <c r="C428" s="189"/>
      <c r="E428" s="189"/>
      <c r="F428" s="189"/>
      <c r="I428" s="179"/>
      <c r="J428" s="189"/>
      <c r="K428" s="189"/>
      <c r="M428" s="189"/>
      <c r="N428" s="189"/>
      <c r="Q428" s="179"/>
      <c r="S428" s="189"/>
      <c r="T428" s="189"/>
      <c r="V428" s="189"/>
      <c r="W428" s="189"/>
      <c r="Z428" s="179"/>
      <c r="AA428" s="189"/>
      <c r="AB428" s="189"/>
      <c r="AD428" s="189"/>
      <c r="AE428" s="189"/>
      <c r="AH428" s="179"/>
      <c r="AJ428" s="191"/>
      <c r="AK428" s="191"/>
      <c r="AM428" s="191"/>
      <c r="AN428" s="191"/>
      <c r="AQ428" s="179"/>
      <c r="AR428" s="192"/>
      <c r="AS428" s="192"/>
      <c r="AU428" s="192"/>
      <c r="AV428" s="192"/>
      <c r="AY428" s="179"/>
      <c r="BA428" s="192"/>
      <c r="BB428" s="192"/>
      <c r="BD428" s="192"/>
      <c r="BE428" s="192"/>
      <c r="BH428" s="179"/>
      <c r="BI428" s="192"/>
      <c r="BJ428" s="192"/>
      <c r="BL428" s="192"/>
      <c r="BM428" s="192"/>
      <c r="BP428" s="179"/>
    </row>
    <row r="429">
      <c r="B429" s="189"/>
      <c r="C429" s="189"/>
      <c r="E429" s="189"/>
      <c r="F429" s="189"/>
      <c r="I429" s="179"/>
      <c r="J429" s="189"/>
      <c r="K429" s="189"/>
      <c r="M429" s="189"/>
      <c r="N429" s="189"/>
      <c r="Q429" s="179"/>
      <c r="S429" s="189"/>
      <c r="T429" s="189"/>
      <c r="V429" s="189"/>
      <c r="W429" s="189"/>
      <c r="Z429" s="179"/>
      <c r="AA429" s="189"/>
      <c r="AB429" s="189"/>
      <c r="AD429" s="189"/>
      <c r="AE429" s="189"/>
      <c r="AH429" s="179"/>
      <c r="AJ429" s="191"/>
      <c r="AK429" s="191"/>
      <c r="AM429" s="191"/>
      <c r="AN429" s="191"/>
      <c r="AQ429" s="179"/>
      <c r="AR429" s="192"/>
      <c r="AS429" s="192"/>
      <c r="AU429" s="192"/>
      <c r="AV429" s="192"/>
      <c r="AY429" s="179"/>
      <c r="BA429" s="192"/>
      <c r="BB429" s="192"/>
      <c r="BD429" s="192"/>
      <c r="BE429" s="192"/>
      <c r="BH429" s="179"/>
      <c r="BI429" s="192"/>
      <c r="BJ429" s="192"/>
      <c r="BL429" s="192"/>
      <c r="BM429" s="192"/>
      <c r="BP429" s="179"/>
    </row>
    <row r="430">
      <c r="B430" s="189"/>
      <c r="C430" s="189"/>
      <c r="E430" s="189"/>
      <c r="F430" s="189"/>
      <c r="I430" s="179"/>
      <c r="J430" s="189"/>
      <c r="K430" s="189"/>
      <c r="M430" s="189"/>
      <c r="N430" s="189"/>
      <c r="Q430" s="179"/>
      <c r="S430" s="189"/>
      <c r="T430" s="189"/>
      <c r="V430" s="189"/>
      <c r="W430" s="189"/>
      <c r="Z430" s="179"/>
      <c r="AA430" s="189"/>
      <c r="AB430" s="189"/>
      <c r="AD430" s="189"/>
      <c r="AE430" s="189"/>
      <c r="AH430" s="179"/>
      <c r="AJ430" s="191"/>
      <c r="AK430" s="191"/>
      <c r="AM430" s="191"/>
      <c r="AN430" s="191"/>
      <c r="AQ430" s="179"/>
      <c r="AR430" s="192"/>
      <c r="AS430" s="192"/>
      <c r="AU430" s="192"/>
      <c r="AV430" s="192"/>
      <c r="AY430" s="179"/>
      <c r="BA430" s="192"/>
      <c r="BB430" s="192"/>
      <c r="BD430" s="192"/>
      <c r="BE430" s="192"/>
      <c r="BH430" s="179"/>
      <c r="BI430" s="192"/>
      <c r="BJ430" s="192"/>
      <c r="BL430" s="192"/>
      <c r="BM430" s="192"/>
      <c r="BP430" s="179"/>
    </row>
    <row r="431">
      <c r="B431" s="189"/>
      <c r="C431" s="189"/>
      <c r="E431" s="189"/>
      <c r="F431" s="189"/>
      <c r="I431" s="179"/>
      <c r="J431" s="189"/>
      <c r="K431" s="189"/>
      <c r="M431" s="189"/>
      <c r="N431" s="189"/>
      <c r="Q431" s="179"/>
      <c r="S431" s="189"/>
      <c r="T431" s="189"/>
      <c r="V431" s="189"/>
      <c r="W431" s="189"/>
      <c r="Z431" s="179"/>
      <c r="AA431" s="189"/>
      <c r="AB431" s="189"/>
      <c r="AD431" s="189"/>
      <c r="AE431" s="189"/>
      <c r="AH431" s="179"/>
      <c r="AJ431" s="191"/>
      <c r="AK431" s="191"/>
      <c r="AM431" s="191"/>
      <c r="AN431" s="191"/>
      <c r="AQ431" s="179"/>
      <c r="AR431" s="192"/>
      <c r="AS431" s="192"/>
      <c r="AU431" s="192"/>
      <c r="AV431" s="192"/>
      <c r="AY431" s="179"/>
      <c r="BA431" s="192"/>
      <c r="BB431" s="192"/>
      <c r="BD431" s="192"/>
      <c r="BE431" s="192"/>
      <c r="BH431" s="179"/>
      <c r="BI431" s="192"/>
      <c r="BJ431" s="192"/>
      <c r="BL431" s="192"/>
      <c r="BM431" s="192"/>
      <c r="BP431" s="179"/>
    </row>
    <row r="432">
      <c r="B432" s="189"/>
      <c r="C432" s="189"/>
      <c r="E432" s="189"/>
      <c r="F432" s="189"/>
      <c r="I432" s="179"/>
      <c r="J432" s="189"/>
      <c r="K432" s="189"/>
      <c r="M432" s="189"/>
      <c r="N432" s="189"/>
      <c r="Q432" s="179"/>
      <c r="S432" s="189"/>
      <c r="T432" s="189"/>
      <c r="V432" s="189"/>
      <c r="W432" s="189"/>
      <c r="Z432" s="179"/>
      <c r="AA432" s="189"/>
      <c r="AB432" s="189"/>
      <c r="AD432" s="189"/>
      <c r="AE432" s="189"/>
      <c r="AH432" s="179"/>
      <c r="AJ432" s="191"/>
      <c r="AK432" s="191"/>
      <c r="AM432" s="191"/>
      <c r="AN432" s="191"/>
      <c r="AQ432" s="179"/>
      <c r="AR432" s="192"/>
      <c r="AS432" s="192"/>
      <c r="AU432" s="192"/>
      <c r="AV432" s="192"/>
      <c r="AY432" s="179"/>
      <c r="BA432" s="192"/>
      <c r="BB432" s="192"/>
      <c r="BD432" s="192"/>
      <c r="BE432" s="192"/>
      <c r="BH432" s="179"/>
      <c r="BI432" s="192"/>
      <c r="BJ432" s="192"/>
      <c r="BL432" s="192"/>
      <c r="BM432" s="192"/>
      <c r="BP432" s="179"/>
    </row>
    <row r="433">
      <c r="B433" s="189"/>
      <c r="C433" s="189"/>
      <c r="E433" s="189"/>
      <c r="F433" s="189"/>
      <c r="I433" s="179"/>
      <c r="J433" s="189"/>
      <c r="K433" s="189"/>
      <c r="M433" s="189"/>
      <c r="N433" s="189"/>
      <c r="Q433" s="179"/>
      <c r="S433" s="189"/>
      <c r="T433" s="189"/>
      <c r="V433" s="189"/>
      <c r="W433" s="189"/>
      <c r="Z433" s="179"/>
      <c r="AA433" s="189"/>
      <c r="AB433" s="189"/>
      <c r="AD433" s="189"/>
      <c r="AE433" s="189"/>
      <c r="AH433" s="179"/>
      <c r="AJ433" s="191"/>
      <c r="AK433" s="191"/>
      <c r="AM433" s="191"/>
      <c r="AN433" s="191"/>
      <c r="AQ433" s="179"/>
      <c r="AR433" s="192"/>
      <c r="AS433" s="192"/>
      <c r="AU433" s="192"/>
      <c r="AV433" s="192"/>
      <c r="AY433" s="179"/>
      <c r="BA433" s="192"/>
      <c r="BB433" s="192"/>
      <c r="BD433" s="192"/>
      <c r="BE433" s="192"/>
      <c r="BH433" s="179"/>
      <c r="BI433" s="192"/>
      <c r="BJ433" s="192"/>
      <c r="BL433" s="192"/>
      <c r="BM433" s="192"/>
      <c r="BP433" s="179"/>
    </row>
    <row r="434">
      <c r="B434" s="189"/>
      <c r="C434" s="189"/>
      <c r="E434" s="189"/>
      <c r="F434" s="189"/>
      <c r="I434" s="179"/>
      <c r="J434" s="189"/>
      <c r="K434" s="189"/>
      <c r="M434" s="189"/>
      <c r="N434" s="189"/>
      <c r="Q434" s="179"/>
      <c r="S434" s="189"/>
      <c r="T434" s="189"/>
      <c r="V434" s="189"/>
      <c r="W434" s="189"/>
      <c r="Z434" s="179"/>
      <c r="AA434" s="189"/>
      <c r="AB434" s="189"/>
      <c r="AD434" s="189"/>
      <c r="AE434" s="189"/>
      <c r="AH434" s="179"/>
      <c r="AJ434" s="191"/>
      <c r="AK434" s="191"/>
      <c r="AM434" s="191"/>
      <c r="AN434" s="191"/>
      <c r="AQ434" s="179"/>
      <c r="AR434" s="192"/>
      <c r="AS434" s="192"/>
      <c r="AU434" s="192"/>
      <c r="AV434" s="192"/>
      <c r="AY434" s="179"/>
      <c r="BA434" s="192"/>
      <c r="BB434" s="192"/>
      <c r="BD434" s="192"/>
      <c r="BE434" s="192"/>
      <c r="BH434" s="179"/>
      <c r="BI434" s="192"/>
      <c r="BJ434" s="192"/>
      <c r="BL434" s="192"/>
      <c r="BM434" s="192"/>
      <c r="BP434" s="179"/>
    </row>
    <row r="435">
      <c r="B435" s="189"/>
      <c r="C435" s="189"/>
      <c r="E435" s="189"/>
      <c r="F435" s="189"/>
      <c r="I435" s="179"/>
      <c r="J435" s="189"/>
      <c r="K435" s="189"/>
      <c r="M435" s="189"/>
      <c r="N435" s="189"/>
      <c r="Q435" s="179"/>
      <c r="S435" s="189"/>
      <c r="T435" s="189"/>
      <c r="V435" s="189"/>
      <c r="W435" s="189"/>
      <c r="Z435" s="179"/>
      <c r="AA435" s="189"/>
      <c r="AB435" s="189"/>
      <c r="AD435" s="189"/>
      <c r="AE435" s="189"/>
      <c r="AH435" s="179"/>
      <c r="AJ435" s="191"/>
      <c r="AK435" s="191"/>
      <c r="AM435" s="191"/>
      <c r="AN435" s="191"/>
      <c r="AQ435" s="179"/>
      <c r="AR435" s="192"/>
      <c r="AS435" s="192"/>
      <c r="AU435" s="192"/>
      <c r="AV435" s="192"/>
      <c r="AY435" s="179"/>
      <c r="BA435" s="192"/>
      <c r="BB435" s="192"/>
      <c r="BD435" s="192"/>
      <c r="BE435" s="192"/>
      <c r="BH435" s="179"/>
      <c r="BI435" s="192"/>
      <c r="BJ435" s="192"/>
      <c r="BL435" s="192"/>
      <c r="BM435" s="192"/>
      <c r="BP435" s="179"/>
    </row>
    <row r="436">
      <c r="B436" s="189"/>
      <c r="C436" s="189"/>
      <c r="E436" s="189"/>
      <c r="F436" s="189"/>
      <c r="I436" s="179"/>
      <c r="J436" s="189"/>
      <c r="K436" s="189"/>
      <c r="M436" s="189"/>
      <c r="N436" s="189"/>
      <c r="Q436" s="179"/>
      <c r="S436" s="189"/>
      <c r="T436" s="189"/>
      <c r="V436" s="189"/>
      <c r="W436" s="189"/>
      <c r="Z436" s="179"/>
      <c r="AA436" s="189"/>
      <c r="AB436" s="189"/>
      <c r="AD436" s="189"/>
      <c r="AE436" s="189"/>
      <c r="AH436" s="179"/>
      <c r="AJ436" s="191"/>
      <c r="AK436" s="191"/>
      <c r="AM436" s="191"/>
      <c r="AN436" s="191"/>
      <c r="AQ436" s="179"/>
      <c r="AR436" s="192"/>
      <c r="AS436" s="192"/>
      <c r="AU436" s="192"/>
      <c r="AV436" s="192"/>
      <c r="AY436" s="179"/>
      <c r="BA436" s="192"/>
      <c r="BB436" s="192"/>
      <c r="BD436" s="192"/>
      <c r="BE436" s="192"/>
      <c r="BH436" s="179"/>
      <c r="BI436" s="192"/>
      <c r="BJ436" s="192"/>
      <c r="BL436" s="192"/>
      <c r="BM436" s="192"/>
      <c r="BP436" s="179"/>
    </row>
    <row r="437">
      <c r="B437" s="189"/>
      <c r="C437" s="189"/>
      <c r="E437" s="189"/>
      <c r="F437" s="189"/>
      <c r="I437" s="179"/>
      <c r="J437" s="189"/>
      <c r="K437" s="189"/>
      <c r="M437" s="189"/>
      <c r="N437" s="189"/>
      <c r="Q437" s="179"/>
      <c r="S437" s="189"/>
      <c r="T437" s="189"/>
      <c r="V437" s="189"/>
      <c r="W437" s="189"/>
      <c r="Z437" s="179"/>
      <c r="AA437" s="189"/>
      <c r="AB437" s="189"/>
      <c r="AD437" s="189"/>
      <c r="AE437" s="189"/>
      <c r="AH437" s="179"/>
      <c r="AJ437" s="191"/>
      <c r="AK437" s="191"/>
      <c r="AM437" s="191"/>
      <c r="AN437" s="191"/>
      <c r="AQ437" s="179"/>
      <c r="AR437" s="192"/>
      <c r="AS437" s="192"/>
      <c r="AU437" s="192"/>
      <c r="AV437" s="192"/>
      <c r="AY437" s="179"/>
      <c r="BA437" s="192"/>
      <c r="BB437" s="192"/>
      <c r="BD437" s="192"/>
      <c r="BE437" s="192"/>
      <c r="BH437" s="179"/>
      <c r="BI437" s="192"/>
      <c r="BJ437" s="192"/>
      <c r="BL437" s="192"/>
      <c r="BM437" s="192"/>
      <c r="BP437" s="179"/>
    </row>
    <row r="438">
      <c r="B438" s="189"/>
      <c r="C438" s="189"/>
      <c r="E438" s="189"/>
      <c r="F438" s="189"/>
      <c r="I438" s="179"/>
      <c r="J438" s="189"/>
      <c r="K438" s="189"/>
      <c r="M438" s="189"/>
      <c r="N438" s="189"/>
      <c r="Q438" s="179"/>
      <c r="S438" s="189"/>
      <c r="T438" s="189"/>
      <c r="V438" s="189"/>
      <c r="W438" s="189"/>
      <c r="Z438" s="179"/>
      <c r="AA438" s="189"/>
      <c r="AB438" s="189"/>
      <c r="AD438" s="189"/>
      <c r="AE438" s="189"/>
      <c r="AH438" s="179"/>
      <c r="AJ438" s="191"/>
      <c r="AK438" s="191"/>
      <c r="AM438" s="191"/>
      <c r="AN438" s="191"/>
      <c r="AQ438" s="179"/>
      <c r="AR438" s="192"/>
      <c r="AS438" s="192"/>
      <c r="AU438" s="192"/>
      <c r="AV438" s="192"/>
      <c r="AY438" s="179"/>
      <c r="BA438" s="192"/>
      <c r="BB438" s="192"/>
      <c r="BD438" s="192"/>
      <c r="BE438" s="192"/>
      <c r="BH438" s="179"/>
      <c r="BI438" s="192"/>
      <c r="BJ438" s="192"/>
      <c r="BL438" s="192"/>
      <c r="BM438" s="192"/>
      <c r="BP438" s="179"/>
    </row>
    <row r="439">
      <c r="B439" s="189"/>
      <c r="C439" s="189"/>
      <c r="E439" s="189"/>
      <c r="F439" s="189"/>
      <c r="I439" s="179"/>
      <c r="J439" s="189"/>
      <c r="K439" s="189"/>
      <c r="M439" s="189"/>
      <c r="N439" s="189"/>
      <c r="Q439" s="179"/>
      <c r="S439" s="189"/>
      <c r="T439" s="189"/>
      <c r="V439" s="189"/>
      <c r="W439" s="189"/>
      <c r="Z439" s="179"/>
      <c r="AA439" s="189"/>
      <c r="AB439" s="189"/>
      <c r="AD439" s="189"/>
      <c r="AE439" s="189"/>
      <c r="AH439" s="179"/>
      <c r="AJ439" s="191"/>
      <c r="AK439" s="191"/>
      <c r="AM439" s="191"/>
      <c r="AN439" s="191"/>
      <c r="AQ439" s="179"/>
      <c r="AR439" s="192"/>
      <c r="AS439" s="192"/>
      <c r="AU439" s="192"/>
      <c r="AV439" s="192"/>
      <c r="AY439" s="179"/>
      <c r="BA439" s="192"/>
      <c r="BB439" s="192"/>
      <c r="BD439" s="192"/>
      <c r="BE439" s="192"/>
      <c r="BH439" s="179"/>
      <c r="BI439" s="192"/>
      <c r="BJ439" s="192"/>
      <c r="BL439" s="192"/>
      <c r="BM439" s="192"/>
      <c r="BP439" s="179"/>
    </row>
    <row r="440">
      <c r="B440" s="189"/>
      <c r="C440" s="189"/>
      <c r="E440" s="189"/>
      <c r="F440" s="189"/>
      <c r="I440" s="179"/>
      <c r="J440" s="189"/>
      <c r="K440" s="189"/>
      <c r="M440" s="189"/>
      <c r="N440" s="189"/>
      <c r="Q440" s="179"/>
      <c r="S440" s="189"/>
      <c r="T440" s="189"/>
      <c r="V440" s="189"/>
      <c r="W440" s="189"/>
      <c r="Z440" s="179"/>
      <c r="AA440" s="189"/>
      <c r="AB440" s="189"/>
      <c r="AD440" s="189"/>
      <c r="AE440" s="189"/>
      <c r="AH440" s="179"/>
      <c r="AJ440" s="191"/>
      <c r="AK440" s="191"/>
      <c r="AM440" s="191"/>
      <c r="AN440" s="191"/>
      <c r="AQ440" s="179"/>
      <c r="AR440" s="192"/>
      <c r="AS440" s="192"/>
      <c r="AU440" s="192"/>
      <c r="AV440" s="192"/>
      <c r="AY440" s="179"/>
      <c r="BA440" s="192"/>
      <c r="BB440" s="192"/>
      <c r="BD440" s="192"/>
      <c r="BE440" s="192"/>
      <c r="BH440" s="179"/>
      <c r="BI440" s="192"/>
      <c r="BJ440" s="192"/>
      <c r="BL440" s="192"/>
      <c r="BM440" s="192"/>
      <c r="BP440" s="179"/>
    </row>
    <row r="441">
      <c r="B441" s="189"/>
      <c r="C441" s="189"/>
      <c r="E441" s="189"/>
      <c r="F441" s="189"/>
      <c r="I441" s="179"/>
      <c r="J441" s="189"/>
      <c r="K441" s="189"/>
      <c r="M441" s="189"/>
      <c r="N441" s="189"/>
      <c r="Q441" s="179"/>
      <c r="S441" s="189"/>
      <c r="T441" s="189"/>
      <c r="V441" s="189"/>
      <c r="W441" s="189"/>
      <c r="Z441" s="179"/>
      <c r="AA441" s="189"/>
      <c r="AB441" s="189"/>
      <c r="AD441" s="189"/>
      <c r="AE441" s="189"/>
      <c r="AH441" s="179"/>
      <c r="AJ441" s="191"/>
      <c r="AK441" s="191"/>
      <c r="AM441" s="191"/>
      <c r="AN441" s="191"/>
      <c r="AQ441" s="179"/>
      <c r="AR441" s="192"/>
      <c r="AS441" s="192"/>
      <c r="AU441" s="192"/>
      <c r="AV441" s="192"/>
      <c r="AY441" s="179"/>
      <c r="BA441" s="192"/>
      <c r="BB441" s="192"/>
      <c r="BD441" s="192"/>
      <c r="BE441" s="192"/>
      <c r="BH441" s="179"/>
      <c r="BI441" s="192"/>
      <c r="BJ441" s="192"/>
      <c r="BL441" s="192"/>
      <c r="BM441" s="192"/>
      <c r="BP441" s="179"/>
    </row>
    <row r="442">
      <c r="B442" s="189"/>
      <c r="C442" s="189"/>
      <c r="E442" s="189"/>
      <c r="F442" s="189"/>
      <c r="I442" s="179"/>
      <c r="J442" s="189"/>
      <c r="K442" s="189"/>
      <c r="M442" s="189"/>
      <c r="N442" s="189"/>
      <c r="Q442" s="179"/>
      <c r="S442" s="189"/>
      <c r="T442" s="189"/>
      <c r="V442" s="189"/>
      <c r="W442" s="189"/>
      <c r="Z442" s="179"/>
      <c r="AA442" s="189"/>
      <c r="AB442" s="189"/>
      <c r="AD442" s="189"/>
      <c r="AE442" s="189"/>
      <c r="AH442" s="179"/>
      <c r="AJ442" s="191"/>
      <c r="AK442" s="191"/>
      <c r="AM442" s="191"/>
      <c r="AN442" s="191"/>
      <c r="AQ442" s="179"/>
      <c r="AR442" s="192"/>
      <c r="AS442" s="192"/>
      <c r="AU442" s="192"/>
      <c r="AV442" s="192"/>
      <c r="AY442" s="179"/>
      <c r="BA442" s="192"/>
      <c r="BB442" s="192"/>
      <c r="BD442" s="192"/>
      <c r="BE442" s="192"/>
      <c r="BH442" s="179"/>
      <c r="BI442" s="192"/>
      <c r="BJ442" s="192"/>
      <c r="BL442" s="192"/>
      <c r="BM442" s="192"/>
      <c r="BP442" s="179"/>
    </row>
    <row r="443">
      <c r="B443" s="189"/>
      <c r="C443" s="189"/>
      <c r="E443" s="189"/>
      <c r="F443" s="189"/>
      <c r="I443" s="179"/>
      <c r="J443" s="189"/>
      <c r="K443" s="189"/>
      <c r="M443" s="189"/>
      <c r="N443" s="189"/>
      <c r="Q443" s="179"/>
      <c r="S443" s="189"/>
      <c r="T443" s="189"/>
      <c r="V443" s="189"/>
      <c r="W443" s="189"/>
      <c r="Z443" s="179"/>
      <c r="AA443" s="189"/>
      <c r="AB443" s="189"/>
      <c r="AD443" s="189"/>
      <c r="AE443" s="189"/>
      <c r="AH443" s="179"/>
      <c r="AJ443" s="191"/>
      <c r="AK443" s="191"/>
      <c r="AM443" s="191"/>
      <c r="AN443" s="191"/>
      <c r="AQ443" s="179"/>
      <c r="AR443" s="192"/>
      <c r="AS443" s="192"/>
      <c r="AU443" s="192"/>
      <c r="AV443" s="192"/>
      <c r="AY443" s="179"/>
      <c r="BA443" s="192"/>
      <c r="BB443" s="192"/>
      <c r="BD443" s="192"/>
      <c r="BE443" s="192"/>
      <c r="BH443" s="179"/>
      <c r="BI443" s="192"/>
      <c r="BJ443" s="192"/>
      <c r="BL443" s="192"/>
      <c r="BM443" s="192"/>
      <c r="BP443" s="179"/>
    </row>
    <row r="444">
      <c r="B444" s="189"/>
      <c r="C444" s="189"/>
      <c r="E444" s="189"/>
      <c r="F444" s="189"/>
      <c r="I444" s="179"/>
      <c r="J444" s="189"/>
      <c r="K444" s="189"/>
      <c r="M444" s="189"/>
      <c r="N444" s="189"/>
      <c r="Q444" s="179"/>
      <c r="S444" s="189"/>
      <c r="T444" s="189"/>
      <c r="V444" s="189"/>
      <c r="W444" s="189"/>
      <c r="Z444" s="179"/>
      <c r="AA444" s="189"/>
      <c r="AB444" s="189"/>
      <c r="AD444" s="189"/>
      <c r="AE444" s="189"/>
      <c r="AH444" s="179"/>
      <c r="AJ444" s="191"/>
      <c r="AK444" s="191"/>
      <c r="AM444" s="191"/>
      <c r="AN444" s="191"/>
      <c r="AQ444" s="179"/>
      <c r="AR444" s="192"/>
      <c r="AS444" s="192"/>
      <c r="AU444" s="192"/>
      <c r="AV444" s="192"/>
      <c r="AY444" s="179"/>
      <c r="BA444" s="192"/>
      <c r="BB444" s="192"/>
      <c r="BD444" s="192"/>
      <c r="BE444" s="192"/>
      <c r="BH444" s="179"/>
      <c r="BI444" s="192"/>
      <c r="BJ444" s="192"/>
      <c r="BL444" s="192"/>
      <c r="BM444" s="192"/>
      <c r="BP444" s="179"/>
    </row>
    <row r="445">
      <c r="B445" s="189"/>
      <c r="C445" s="189"/>
      <c r="E445" s="189"/>
      <c r="F445" s="189"/>
      <c r="I445" s="179"/>
      <c r="J445" s="189"/>
      <c r="K445" s="189"/>
      <c r="M445" s="189"/>
      <c r="N445" s="189"/>
      <c r="Q445" s="179"/>
      <c r="S445" s="189"/>
      <c r="T445" s="189"/>
      <c r="V445" s="189"/>
      <c r="W445" s="189"/>
      <c r="Z445" s="179"/>
      <c r="AA445" s="189"/>
      <c r="AB445" s="189"/>
      <c r="AD445" s="189"/>
      <c r="AE445" s="189"/>
      <c r="AH445" s="179"/>
      <c r="AJ445" s="191"/>
      <c r="AK445" s="191"/>
      <c r="AM445" s="191"/>
      <c r="AN445" s="191"/>
      <c r="AQ445" s="179"/>
      <c r="AR445" s="192"/>
      <c r="AS445" s="192"/>
      <c r="AU445" s="192"/>
      <c r="AV445" s="192"/>
      <c r="AY445" s="179"/>
      <c r="BA445" s="192"/>
      <c r="BB445" s="192"/>
      <c r="BD445" s="192"/>
      <c r="BE445" s="192"/>
      <c r="BH445" s="179"/>
      <c r="BI445" s="192"/>
      <c r="BJ445" s="192"/>
      <c r="BL445" s="192"/>
      <c r="BM445" s="192"/>
      <c r="BP445" s="179"/>
    </row>
    <row r="446">
      <c r="B446" s="189"/>
      <c r="C446" s="189"/>
      <c r="E446" s="189"/>
      <c r="F446" s="189"/>
      <c r="I446" s="179"/>
      <c r="J446" s="189"/>
      <c r="K446" s="189"/>
      <c r="M446" s="189"/>
      <c r="N446" s="189"/>
      <c r="Q446" s="179"/>
      <c r="S446" s="189"/>
      <c r="T446" s="189"/>
      <c r="V446" s="189"/>
      <c r="W446" s="189"/>
      <c r="Z446" s="179"/>
      <c r="AA446" s="189"/>
      <c r="AB446" s="189"/>
      <c r="AD446" s="189"/>
      <c r="AE446" s="189"/>
      <c r="AH446" s="179"/>
      <c r="AJ446" s="191"/>
      <c r="AK446" s="191"/>
      <c r="AM446" s="191"/>
      <c r="AN446" s="191"/>
      <c r="AQ446" s="179"/>
      <c r="AR446" s="192"/>
      <c r="AS446" s="192"/>
      <c r="AU446" s="192"/>
      <c r="AV446" s="192"/>
      <c r="AY446" s="179"/>
      <c r="BA446" s="192"/>
      <c r="BB446" s="192"/>
      <c r="BD446" s="192"/>
      <c r="BE446" s="192"/>
      <c r="BH446" s="179"/>
      <c r="BI446" s="192"/>
      <c r="BJ446" s="192"/>
      <c r="BL446" s="192"/>
      <c r="BM446" s="192"/>
      <c r="BP446" s="179"/>
    </row>
    <row r="447">
      <c r="B447" s="189"/>
      <c r="C447" s="189"/>
      <c r="E447" s="189"/>
      <c r="F447" s="189"/>
      <c r="I447" s="179"/>
      <c r="J447" s="189"/>
      <c r="K447" s="189"/>
      <c r="M447" s="189"/>
      <c r="N447" s="189"/>
      <c r="Q447" s="179"/>
      <c r="S447" s="189"/>
      <c r="T447" s="189"/>
      <c r="V447" s="189"/>
      <c r="W447" s="189"/>
      <c r="Z447" s="179"/>
      <c r="AA447" s="189"/>
      <c r="AB447" s="189"/>
      <c r="AD447" s="189"/>
      <c r="AE447" s="189"/>
      <c r="AH447" s="179"/>
      <c r="AJ447" s="191"/>
      <c r="AK447" s="191"/>
      <c r="AM447" s="191"/>
      <c r="AN447" s="191"/>
      <c r="AQ447" s="179"/>
      <c r="AR447" s="192"/>
      <c r="AS447" s="192"/>
      <c r="AU447" s="192"/>
      <c r="AV447" s="192"/>
      <c r="AY447" s="179"/>
      <c r="BA447" s="192"/>
      <c r="BB447" s="192"/>
      <c r="BD447" s="192"/>
      <c r="BE447" s="192"/>
      <c r="BH447" s="179"/>
      <c r="BI447" s="192"/>
      <c r="BJ447" s="192"/>
      <c r="BL447" s="192"/>
      <c r="BM447" s="192"/>
      <c r="BP447" s="179"/>
    </row>
    <row r="448">
      <c r="B448" s="189"/>
      <c r="C448" s="189"/>
      <c r="E448" s="189"/>
      <c r="F448" s="189"/>
      <c r="I448" s="179"/>
      <c r="J448" s="189"/>
      <c r="K448" s="189"/>
      <c r="M448" s="189"/>
      <c r="N448" s="189"/>
      <c r="Q448" s="179"/>
      <c r="S448" s="189"/>
      <c r="T448" s="189"/>
      <c r="V448" s="189"/>
      <c r="W448" s="189"/>
      <c r="Z448" s="179"/>
      <c r="AA448" s="189"/>
      <c r="AB448" s="189"/>
      <c r="AD448" s="189"/>
      <c r="AE448" s="189"/>
      <c r="AH448" s="179"/>
      <c r="AJ448" s="191"/>
      <c r="AK448" s="191"/>
      <c r="AM448" s="191"/>
      <c r="AN448" s="191"/>
      <c r="AQ448" s="179"/>
      <c r="AR448" s="192"/>
      <c r="AS448" s="192"/>
      <c r="AU448" s="192"/>
      <c r="AV448" s="192"/>
      <c r="AY448" s="179"/>
      <c r="BA448" s="192"/>
      <c r="BB448" s="192"/>
      <c r="BD448" s="192"/>
      <c r="BE448" s="192"/>
      <c r="BH448" s="179"/>
      <c r="BI448" s="192"/>
      <c r="BJ448" s="192"/>
      <c r="BL448" s="192"/>
      <c r="BM448" s="192"/>
      <c r="BP448" s="179"/>
    </row>
    <row r="449">
      <c r="B449" s="189"/>
      <c r="C449" s="189"/>
      <c r="E449" s="189"/>
      <c r="F449" s="189"/>
      <c r="I449" s="179"/>
      <c r="J449" s="189"/>
      <c r="K449" s="189"/>
      <c r="M449" s="189"/>
      <c r="N449" s="189"/>
      <c r="Q449" s="179"/>
      <c r="S449" s="189"/>
      <c r="T449" s="189"/>
      <c r="V449" s="189"/>
      <c r="W449" s="189"/>
      <c r="Z449" s="179"/>
      <c r="AA449" s="189"/>
      <c r="AB449" s="189"/>
      <c r="AD449" s="189"/>
      <c r="AE449" s="189"/>
      <c r="AH449" s="179"/>
      <c r="AJ449" s="191"/>
      <c r="AK449" s="191"/>
      <c r="AM449" s="191"/>
      <c r="AN449" s="191"/>
      <c r="AQ449" s="179"/>
      <c r="AR449" s="192"/>
      <c r="AS449" s="192"/>
      <c r="AU449" s="192"/>
      <c r="AV449" s="192"/>
      <c r="AY449" s="179"/>
      <c r="BA449" s="192"/>
      <c r="BB449" s="192"/>
      <c r="BD449" s="192"/>
      <c r="BE449" s="192"/>
      <c r="BH449" s="179"/>
      <c r="BI449" s="192"/>
      <c r="BJ449" s="192"/>
      <c r="BL449" s="192"/>
      <c r="BM449" s="192"/>
      <c r="BP449" s="179"/>
    </row>
    <row r="450">
      <c r="B450" s="189"/>
      <c r="C450" s="189"/>
      <c r="E450" s="189"/>
      <c r="F450" s="189"/>
      <c r="I450" s="179"/>
      <c r="J450" s="189"/>
      <c r="K450" s="189"/>
      <c r="M450" s="189"/>
      <c r="N450" s="189"/>
      <c r="Q450" s="179"/>
      <c r="S450" s="189"/>
      <c r="T450" s="189"/>
      <c r="V450" s="189"/>
      <c r="W450" s="189"/>
      <c r="Z450" s="179"/>
      <c r="AA450" s="189"/>
      <c r="AB450" s="189"/>
      <c r="AD450" s="189"/>
      <c r="AE450" s="189"/>
      <c r="AH450" s="179"/>
      <c r="AJ450" s="191"/>
      <c r="AK450" s="191"/>
      <c r="AM450" s="191"/>
      <c r="AN450" s="191"/>
      <c r="AQ450" s="179"/>
      <c r="AR450" s="192"/>
      <c r="AS450" s="192"/>
      <c r="AU450" s="192"/>
      <c r="AV450" s="192"/>
      <c r="AY450" s="179"/>
      <c r="BA450" s="192"/>
      <c r="BB450" s="192"/>
      <c r="BD450" s="192"/>
      <c r="BE450" s="192"/>
      <c r="BH450" s="179"/>
      <c r="BI450" s="192"/>
      <c r="BJ450" s="192"/>
      <c r="BL450" s="192"/>
      <c r="BM450" s="192"/>
      <c r="BP450" s="179"/>
    </row>
    <row r="451">
      <c r="B451" s="189"/>
      <c r="C451" s="189"/>
      <c r="E451" s="189"/>
      <c r="F451" s="189"/>
      <c r="I451" s="179"/>
      <c r="J451" s="189"/>
      <c r="K451" s="189"/>
      <c r="M451" s="189"/>
      <c r="N451" s="189"/>
      <c r="Q451" s="179"/>
      <c r="S451" s="189"/>
      <c r="T451" s="189"/>
      <c r="V451" s="189"/>
      <c r="W451" s="189"/>
      <c r="Z451" s="179"/>
      <c r="AA451" s="189"/>
      <c r="AB451" s="189"/>
      <c r="AD451" s="189"/>
      <c r="AE451" s="189"/>
      <c r="AH451" s="179"/>
      <c r="AJ451" s="191"/>
      <c r="AK451" s="191"/>
      <c r="AM451" s="191"/>
      <c r="AN451" s="191"/>
      <c r="AQ451" s="179"/>
      <c r="AR451" s="192"/>
      <c r="AS451" s="192"/>
      <c r="AU451" s="192"/>
      <c r="AV451" s="192"/>
      <c r="AY451" s="179"/>
      <c r="BA451" s="192"/>
      <c r="BB451" s="192"/>
      <c r="BD451" s="192"/>
      <c r="BE451" s="192"/>
      <c r="BH451" s="179"/>
      <c r="BI451" s="192"/>
      <c r="BJ451" s="192"/>
      <c r="BL451" s="192"/>
      <c r="BM451" s="192"/>
      <c r="BP451" s="179"/>
    </row>
    <row r="452">
      <c r="B452" s="189"/>
      <c r="C452" s="189"/>
      <c r="E452" s="189"/>
      <c r="F452" s="189"/>
      <c r="I452" s="179"/>
      <c r="J452" s="189"/>
      <c r="K452" s="189"/>
      <c r="M452" s="189"/>
      <c r="N452" s="189"/>
      <c r="Q452" s="179"/>
      <c r="S452" s="189"/>
      <c r="T452" s="189"/>
      <c r="V452" s="189"/>
      <c r="W452" s="189"/>
      <c r="Z452" s="179"/>
      <c r="AA452" s="189"/>
      <c r="AB452" s="189"/>
      <c r="AD452" s="189"/>
      <c r="AE452" s="189"/>
      <c r="AH452" s="179"/>
      <c r="AJ452" s="191"/>
      <c r="AK452" s="191"/>
      <c r="AM452" s="191"/>
      <c r="AN452" s="191"/>
      <c r="AQ452" s="179"/>
      <c r="AR452" s="192"/>
      <c r="AS452" s="192"/>
      <c r="AU452" s="192"/>
      <c r="AV452" s="192"/>
      <c r="AY452" s="179"/>
      <c r="BA452" s="192"/>
      <c r="BB452" s="192"/>
      <c r="BD452" s="192"/>
      <c r="BE452" s="192"/>
      <c r="BH452" s="179"/>
      <c r="BI452" s="192"/>
      <c r="BJ452" s="192"/>
      <c r="BL452" s="192"/>
      <c r="BM452" s="192"/>
      <c r="BP452" s="179"/>
    </row>
    <row r="453">
      <c r="B453" s="189"/>
      <c r="C453" s="189"/>
      <c r="E453" s="189"/>
      <c r="F453" s="189"/>
      <c r="I453" s="179"/>
      <c r="J453" s="189"/>
      <c r="K453" s="189"/>
      <c r="M453" s="189"/>
      <c r="N453" s="189"/>
      <c r="Q453" s="179"/>
      <c r="S453" s="189"/>
      <c r="T453" s="189"/>
      <c r="V453" s="189"/>
      <c r="W453" s="189"/>
      <c r="Z453" s="179"/>
      <c r="AA453" s="189"/>
      <c r="AB453" s="189"/>
      <c r="AD453" s="189"/>
      <c r="AE453" s="189"/>
      <c r="AH453" s="179"/>
      <c r="AJ453" s="191"/>
      <c r="AK453" s="191"/>
      <c r="AM453" s="191"/>
      <c r="AN453" s="191"/>
      <c r="AQ453" s="179"/>
      <c r="AR453" s="192"/>
      <c r="AS453" s="192"/>
      <c r="AU453" s="192"/>
      <c r="AV453" s="192"/>
      <c r="AY453" s="179"/>
      <c r="BA453" s="192"/>
      <c r="BB453" s="192"/>
      <c r="BD453" s="192"/>
      <c r="BE453" s="192"/>
      <c r="BH453" s="179"/>
      <c r="BI453" s="192"/>
      <c r="BJ453" s="192"/>
      <c r="BL453" s="192"/>
      <c r="BM453" s="192"/>
      <c r="BP453" s="179"/>
    </row>
    <row r="454">
      <c r="B454" s="189"/>
      <c r="C454" s="189"/>
      <c r="E454" s="189"/>
      <c r="F454" s="189"/>
      <c r="I454" s="179"/>
      <c r="J454" s="189"/>
      <c r="K454" s="189"/>
      <c r="M454" s="189"/>
      <c r="N454" s="189"/>
      <c r="Q454" s="179"/>
      <c r="S454" s="189"/>
      <c r="T454" s="189"/>
      <c r="V454" s="189"/>
      <c r="W454" s="189"/>
      <c r="Z454" s="179"/>
      <c r="AA454" s="189"/>
      <c r="AB454" s="189"/>
      <c r="AD454" s="189"/>
      <c r="AE454" s="189"/>
      <c r="AH454" s="179"/>
      <c r="AJ454" s="191"/>
      <c r="AK454" s="191"/>
      <c r="AM454" s="191"/>
      <c r="AN454" s="191"/>
      <c r="AQ454" s="179"/>
      <c r="AR454" s="192"/>
      <c r="AS454" s="192"/>
      <c r="AU454" s="192"/>
      <c r="AV454" s="192"/>
      <c r="AY454" s="179"/>
      <c r="BA454" s="192"/>
      <c r="BB454" s="192"/>
      <c r="BD454" s="192"/>
      <c r="BE454" s="192"/>
      <c r="BH454" s="179"/>
      <c r="BI454" s="192"/>
      <c r="BJ454" s="192"/>
      <c r="BL454" s="192"/>
      <c r="BM454" s="192"/>
      <c r="BP454" s="179"/>
    </row>
    <row r="455">
      <c r="B455" s="189"/>
      <c r="C455" s="189"/>
      <c r="E455" s="189"/>
      <c r="F455" s="189"/>
      <c r="I455" s="179"/>
      <c r="J455" s="189"/>
      <c r="K455" s="189"/>
      <c r="M455" s="189"/>
      <c r="N455" s="189"/>
      <c r="Q455" s="179"/>
      <c r="S455" s="189"/>
      <c r="T455" s="189"/>
      <c r="V455" s="189"/>
      <c r="W455" s="189"/>
      <c r="Z455" s="179"/>
      <c r="AA455" s="189"/>
      <c r="AB455" s="189"/>
      <c r="AD455" s="189"/>
      <c r="AE455" s="189"/>
      <c r="AH455" s="179"/>
      <c r="AJ455" s="191"/>
      <c r="AK455" s="191"/>
      <c r="AM455" s="191"/>
      <c r="AN455" s="191"/>
      <c r="AQ455" s="179"/>
      <c r="AR455" s="192"/>
      <c r="AS455" s="192"/>
      <c r="AU455" s="192"/>
      <c r="AV455" s="192"/>
      <c r="AY455" s="179"/>
      <c r="BA455" s="192"/>
      <c r="BB455" s="192"/>
      <c r="BD455" s="192"/>
      <c r="BE455" s="192"/>
      <c r="BH455" s="179"/>
      <c r="BI455" s="192"/>
      <c r="BJ455" s="192"/>
      <c r="BL455" s="192"/>
      <c r="BM455" s="192"/>
      <c r="BP455" s="179"/>
    </row>
    <row r="456">
      <c r="B456" s="189"/>
      <c r="C456" s="189"/>
      <c r="E456" s="189"/>
      <c r="F456" s="189"/>
      <c r="I456" s="179"/>
      <c r="J456" s="189"/>
      <c r="K456" s="189"/>
      <c r="M456" s="189"/>
      <c r="N456" s="189"/>
      <c r="Q456" s="179"/>
      <c r="S456" s="189"/>
      <c r="T456" s="189"/>
      <c r="V456" s="189"/>
      <c r="W456" s="189"/>
      <c r="Z456" s="179"/>
      <c r="AA456" s="189"/>
      <c r="AB456" s="189"/>
      <c r="AD456" s="189"/>
      <c r="AE456" s="189"/>
      <c r="AH456" s="179"/>
      <c r="AJ456" s="191"/>
      <c r="AK456" s="191"/>
      <c r="AM456" s="191"/>
      <c r="AN456" s="191"/>
      <c r="AQ456" s="179"/>
      <c r="AR456" s="192"/>
      <c r="AS456" s="192"/>
      <c r="AU456" s="192"/>
      <c r="AV456" s="192"/>
      <c r="AY456" s="179"/>
      <c r="BA456" s="192"/>
      <c r="BB456" s="192"/>
      <c r="BD456" s="192"/>
      <c r="BE456" s="192"/>
      <c r="BH456" s="179"/>
      <c r="BI456" s="192"/>
      <c r="BJ456" s="192"/>
      <c r="BL456" s="192"/>
      <c r="BM456" s="192"/>
      <c r="BP456" s="179"/>
    </row>
    <row r="457">
      <c r="B457" s="189"/>
      <c r="C457" s="189"/>
      <c r="E457" s="189"/>
      <c r="F457" s="189"/>
      <c r="I457" s="179"/>
      <c r="J457" s="189"/>
      <c r="K457" s="189"/>
      <c r="M457" s="189"/>
      <c r="N457" s="189"/>
      <c r="Q457" s="179"/>
      <c r="S457" s="189"/>
      <c r="T457" s="189"/>
      <c r="V457" s="189"/>
      <c r="W457" s="189"/>
      <c r="Z457" s="179"/>
      <c r="AA457" s="189"/>
      <c r="AB457" s="189"/>
      <c r="AD457" s="189"/>
      <c r="AE457" s="189"/>
      <c r="AH457" s="179"/>
      <c r="AJ457" s="191"/>
      <c r="AK457" s="191"/>
      <c r="AM457" s="191"/>
      <c r="AN457" s="191"/>
      <c r="AQ457" s="179"/>
      <c r="AR457" s="192"/>
      <c r="AS457" s="192"/>
      <c r="AU457" s="192"/>
      <c r="AV457" s="192"/>
      <c r="AY457" s="179"/>
      <c r="BA457" s="192"/>
      <c r="BB457" s="192"/>
      <c r="BD457" s="192"/>
      <c r="BE457" s="192"/>
      <c r="BH457" s="179"/>
      <c r="BI457" s="192"/>
      <c r="BJ457" s="192"/>
      <c r="BL457" s="192"/>
      <c r="BM457" s="192"/>
      <c r="BP457" s="179"/>
    </row>
    <row r="458">
      <c r="B458" s="189"/>
      <c r="C458" s="189"/>
      <c r="E458" s="189"/>
      <c r="F458" s="189"/>
      <c r="I458" s="179"/>
      <c r="J458" s="189"/>
      <c r="K458" s="189"/>
      <c r="M458" s="189"/>
      <c r="N458" s="189"/>
      <c r="Q458" s="179"/>
      <c r="S458" s="189"/>
      <c r="T458" s="189"/>
      <c r="V458" s="189"/>
      <c r="W458" s="189"/>
      <c r="Z458" s="179"/>
      <c r="AA458" s="189"/>
      <c r="AB458" s="189"/>
      <c r="AD458" s="189"/>
      <c r="AE458" s="189"/>
      <c r="AH458" s="179"/>
      <c r="AJ458" s="191"/>
      <c r="AK458" s="191"/>
      <c r="AM458" s="191"/>
      <c r="AN458" s="191"/>
      <c r="AQ458" s="179"/>
      <c r="AR458" s="192"/>
      <c r="AS458" s="192"/>
      <c r="AU458" s="192"/>
      <c r="AV458" s="192"/>
      <c r="AY458" s="179"/>
      <c r="BA458" s="192"/>
      <c r="BB458" s="192"/>
      <c r="BD458" s="192"/>
      <c r="BE458" s="192"/>
      <c r="BH458" s="179"/>
      <c r="BI458" s="192"/>
      <c r="BJ458" s="192"/>
      <c r="BL458" s="192"/>
      <c r="BM458" s="192"/>
      <c r="BP458" s="179"/>
    </row>
    <row r="459">
      <c r="B459" s="189"/>
      <c r="C459" s="189"/>
      <c r="E459" s="189"/>
      <c r="F459" s="189"/>
      <c r="I459" s="179"/>
      <c r="J459" s="189"/>
      <c r="K459" s="189"/>
      <c r="M459" s="189"/>
      <c r="N459" s="189"/>
      <c r="Q459" s="179"/>
      <c r="S459" s="189"/>
      <c r="T459" s="189"/>
      <c r="V459" s="189"/>
      <c r="W459" s="189"/>
      <c r="Z459" s="179"/>
      <c r="AA459" s="189"/>
      <c r="AB459" s="189"/>
      <c r="AD459" s="189"/>
      <c r="AE459" s="189"/>
      <c r="AH459" s="179"/>
      <c r="AJ459" s="191"/>
      <c r="AK459" s="191"/>
      <c r="AM459" s="191"/>
      <c r="AN459" s="191"/>
      <c r="AQ459" s="179"/>
      <c r="AR459" s="192"/>
      <c r="AS459" s="192"/>
      <c r="AU459" s="192"/>
      <c r="AV459" s="192"/>
      <c r="AY459" s="179"/>
      <c r="BA459" s="192"/>
      <c r="BB459" s="192"/>
      <c r="BD459" s="192"/>
      <c r="BE459" s="192"/>
      <c r="BH459" s="179"/>
      <c r="BI459" s="192"/>
      <c r="BJ459" s="192"/>
      <c r="BL459" s="192"/>
      <c r="BM459" s="192"/>
      <c r="BP459" s="179"/>
    </row>
    <row r="460">
      <c r="B460" s="189"/>
      <c r="C460" s="189"/>
      <c r="E460" s="189"/>
      <c r="F460" s="189"/>
      <c r="I460" s="179"/>
      <c r="J460" s="189"/>
      <c r="K460" s="189"/>
      <c r="M460" s="189"/>
      <c r="N460" s="189"/>
      <c r="Q460" s="179"/>
      <c r="S460" s="189"/>
      <c r="T460" s="189"/>
      <c r="V460" s="189"/>
      <c r="W460" s="189"/>
      <c r="Z460" s="179"/>
      <c r="AA460" s="189"/>
      <c r="AB460" s="189"/>
      <c r="AD460" s="189"/>
      <c r="AE460" s="189"/>
      <c r="AH460" s="179"/>
      <c r="AJ460" s="191"/>
      <c r="AK460" s="191"/>
      <c r="AM460" s="191"/>
      <c r="AN460" s="191"/>
      <c r="AQ460" s="179"/>
      <c r="AR460" s="192"/>
      <c r="AS460" s="192"/>
      <c r="AU460" s="192"/>
      <c r="AV460" s="192"/>
      <c r="AY460" s="179"/>
      <c r="BA460" s="192"/>
      <c r="BB460" s="192"/>
      <c r="BD460" s="192"/>
      <c r="BE460" s="192"/>
      <c r="BH460" s="179"/>
      <c r="BI460" s="192"/>
      <c r="BJ460" s="192"/>
      <c r="BL460" s="192"/>
      <c r="BM460" s="192"/>
      <c r="BP460" s="179"/>
    </row>
    <row r="461">
      <c r="B461" s="189"/>
      <c r="C461" s="189"/>
      <c r="E461" s="189"/>
      <c r="F461" s="189"/>
      <c r="I461" s="179"/>
      <c r="J461" s="189"/>
      <c r="K461" s="189"/>
      <c r="M461" s="189"/>
      <c r="N461" s="189"/>
      <c r="Q461" s="179"/>
      <c r="S461" s="189"/>
      <c r="T461" s="189"/>
      <c r="V461" s="189"/>
      <c r="W461" s="189"/>
      <c r="Z461" s="179"/>
      <c r="AA461" s="189"/>
      <c r="AB461" s="189"/>
      <c r="AD461" s="189"/>
      <c r="AE461" s="189"/>
      <c r="AH461" s="179"/>
      <c r="AJ461" s="191"/>
      <c r="AK461" s="191"/>
      <c r="AM461" s="191"/>
      <c r="AN461" s="191"/>
      <c r="AQ461" s="179"/>
      <c r="AR461" s="192"/>
      <c r="AS461" s="192"/>
      <c r="AU461" s="192"/>
      <c r="AV461" s="192"/>
      <c r="AY461" s="179"/>
      <c r="BA461" s="192"/>
      <c r="BB461" s="192"/>
      <c r="BD461" s="192"/>
      <c r="BE461" s="192"/>
      <c r="BH461" s="179"/>
      <c r="BI461" s="192"/>
      <c r="BJ461" s="192"/>
      <c r="BL461" s="192"/>
      <c r="BM461" s="192"/>
      <c r="BP461" s="179"/>
    </row>
    <row r="462">
      <c r="B462" s="189"/>
      <c r="C462" s="189"/>
      <c r="E462" s="189"/>
      <c r="F462" s="189"/>
      <c r="I462" s="179"/>
      <c r="J462" s="189"/>
      <c r="K462" s="189"/>
      <c r="M462" s="189"/>
      <c r="N462" s="189"/>
      <c r="Q462" s="179"/>
      <c r="S462" s="189"/>
      <c r="T462" s="189"/>
      <c r="V462" s="189"/>
      <c r="W462" s="189"/>
      <c r="Z462" s="179"/>
      <c r="AA462" s="189"/>
      <c r="AB462" s="189"/>
      <c r="AD462" s="189"/>
      <c r="AE462" s="189"/>
      <c r="AH462" s="179"/>
      <c r="AJ462" s="191"/>
      <c r="AK462" s="191"/>
      <c r="AM462" s="191"/>
      <c r="AN462" s="191"/>
      <c r="AQ462" s="179"/>
      <c r="AR462" s="192"/>
      <c r="AS462" s="192"/>
      <c r="AU462" s="192"/>
      <c r="AV462" s="192"/>
      <c r="AY462" s="179"/>
      <c r="BA462" s="192"/>
      <c r="BB462" s="192"/>
      <c r="BD462" s="192"/>
      <c r="BE462" s="192"/>
      <c r="BH462" s="179"/>
      <c r="BI462" s="192"/>
      <c r="BJ462" s="192"/>
      <c r="BL462" s="192"/>
      <c r="BM462" s="192"/>
      <c r="BP462" s="179"/>
    </row>
    <row r="463">
      <c r="B463" s="189"/>
      <c r="C463" s="189"/>
      <c r="E463" s="189"/>
      <c r="F463" s="189"/>
      <c r="I463" s="179"/>
      <c r="J463" s="189"/>
      <c r="K463" s="189"/>
      <c r="M463" s="189"/>
      <c r="N463" s="189"/>
      <c r="Q463" s="179"/>
      <c r="S463" s="189"/>
      <c r="T463" s="189"/>
      <c r="V463" s="189"/>
      <c r="W463" s="189"/>
      <c r="Z463" s="179"/>
      <c r="AA463" s="189"/>
      <c r="AB463" s="189"/>
      <c r="AD463" s="189"/>
      <c r="AE463" s="189"/>
      <c r="AH463" s="179"/>
      <c r="AJ463" s="191"/>
      <c r="AK463" s="191"/>
      <c r="AM463" s="191"/>
      <c r="AN463" s="191"/>
      <c r="AQ463" s="179"/>
      <c r="AR463" s="192"/>
      <c r="AS463" s="192"/>
      <c r="AU463" s="192"/>
      <c r="AV463" s="192"/>
      <c r="AY463" s="179"/>
      <c r="BA463" s="192"/>
      <c r="BB463" s="192"/>
      <c r="BD463" s="192"/>
      <c r="BE463" s="192"/>
      <c r="BH463" s="179"/>
      <c r="BI463" s="192"/>
      <c r="BJ463" s="192"/>
      <c r="BL463" s="192"/>
      <c r="BM463" s="192"/>
      <c r="BP463" s="179"/>
    </row>
    <row r="464">
      <c r="B464" s="189"/>
      <c r="C464" s="189"/>
      <c r="E464" s="189"/>
      <c r="F464" s="189"/>
      <c r="I464" s="179"/>
      <c r="J464" s="189"/>
      <c r="K464" s="189"/>
      <c r="M464" s="189"/>
      <c r="N464" s="189"/>
      <c r="Q464" s="179"/>
      <c r="S464" s="189"/>
      <c r="T464" s="189"/>
      <c r="V464" s="189"/>
      <c r="W464" s="189"/>
      <c r="Z464" s="179"/>
      <c r="AA464" s="189"/>
      <c r="AB464" s="189"/>
      <c r="AD464" s="189"/>
      <c r="AE464" s="189"/>
      <c r="AH464" s="179"/>
      <c r="AJ464" s="191"/>
      <c r="AK464" s="191"/>
      <c r="AM464" s="191"/>
      <c r="AN464" s="191"/>
      <c r="AQ464" s="179"/>
      <c r="AR464" s="192"/>
      <c r="AS464" s="192"/>
      <c r="AU464" s="192"/>
      <c r="AV464" s="192"/>
      <c r="AY464" s="179"/>
      <c r="BA464" s="192"/>
      <c r="BB464" s="192"/>
      <c r="BD464" s="192"/>
      <c r="BE464" s="192"/>
      <c r="BH464" s="179"/>
      <c r="BI464" s="192"/>
      <c r="BJ464" s="192"/>
      <c r="BL464" s="192"/>
      <c r="BM464" s="192"/>
      <c r="BP464" s="179"/>
    </row>
    <row r="465">
      <c r="B465" s="189"/>
      <c r="C465" s="189"/>
      <c r="E465" s="189"/>
      <c r="F465" s="189"/>
      <c r="I465" s="179"/>
      <c r="J465" s="189"/>
      <c r="K465" s="189"/>
      <c r="M465" s="189"/>
      <c r="N465" s="189"/>
      <c r="Q465" s="179"/>
      <c r="S465" s="189"/>
      <c r="T465" s="189"/>
      <c r="V465" s="189"/>
      <c r="W465" s="189"/>
      <c r="Z465" s="179"/>
      <c r="AA465" s="189"/>
      <c r="AB465" s="189"/>
      <c r="AD465" s="189"/>
      <c r="AE465" s="189"/>
      <c r="AH465" s="179"/>
      <c r="AJ465" s="191"/>
      <c r="AK465" s="191"/>
      <c r="AM465" s="191"/>
      <c r="AN465" s="191"/>
      <c r="AQ465" s="179"/>
      <c r="AR465" s="192"/>
      <c r="AS465" s="192"/>
      <c r="AU465" s="192"/>
      <c r="AV465" s="192"/>
      <c r="AY465" s="179"/>
      <c r="BA465" s="192"/>
      <c r="BB465" s="192"/>
      <c r="BD465" s="192"/>
      <c r="BE465" s="192"/>
      <c r="BH465" s="179"/>
      <c r="BI465" s="192"/>
      <c r="BJ465" s="192"/>
      <c r="BL465" s="192"/>
      <c r="BM465" s="192"/>
      <c r="BP465" s="179"/>
    </row>
    <row r="466">
      <c r="B466" s="189"/>
      <c r="C466" s="189"/>
      <c r="E466" s="189"/>
      <c r="F466" s="189"/>
      <c r="I466" s="179"/>
      <c r="J466" s="189"/>
      <c r="K466" s="189"/>
      <c r="M466" s="189"/>
      <c r="N466" s="189"/>
      <c r="Q466" s="179"/>
      <c r="S466" s="189"/>
      <c r="T466" s="189"/>
      <c r="V466" s="189"/>
      <c r="W466" s="189"/>
      <c r="Z466" s="179"/>
      <c r="AA466" s="189"/>
      <c r="AB466" s="189"/>
      <c r="AD466" s="189"/>
      <c r="AE466" s="189"/>
      <c r="AH466" s="179"/>
      <c r="AJ466" s="191"/>
      <c r="AK466" s="191"/>
      <c r="AM466" s="191"/>
      <c r="AN466" s="191"/>
      <c r="AQ466" s="179"/>
      <c r="AR466" s="192"/>
      <c r="AS466" s="192"/>
      <c r="AU466" s="192"/>
      <c r="AV466" s="192"/>
      <c r="AY466" s="179"/>
      <c r="BA466" s="192"/>
      <c r="BB466" s="192"/>
      <c r="BD466" s="192"/>
      <c r="BE466" s="192"/>
      <c r="BH466" s="179"/>
      <c r="BI466" s="192"/>
      <c r="BJ466" s="192"/>
      <c r="BL466" s="192"/>
      <c r="BM466" s="192"/>
      <c r="BP466" s="179"/>
    </row>
    <row r="467">
      <c r="B467" s="189"/>
      <c r="C467" s="189"/>
      <c r="E467" s="189"/>
      <c r="F467" s="189"/>
      <c r="I467" s="179"/>
      <c r="J467" s="189"/>
      <c r="K467" s="189"/>
      <c r="M467" s="189"/>
      <c r="N467" s="189"/>
      <c r="Q467" s="179"/>
      <c r="S467" s="189"/>
      <c r="T467" s="189"/>
      <c r="V467" s="189"/>
      <c r="W467" s="189"/>
      <c r="Z467" s="179"/>
      <c r="AA467" s="189"/>
      <c r="AB467" s="189"/>
      <c r="AD467" s="189"/>
      <c r="AE467" s="189"/>
      <c r="AH467" s="179"/>
      <c r="AJ467" s="191"/>
      <c r="AK467" s="191"/>
      <c r="AM467" s="191"/>
      <c r="AN467" s="191"/>
      <c r="AQ467" s="179"/>
      <c r="AR467" s="192"/>
      <c r="AS467" s="192"/>
      <c r="AU467" s="192"/>
      <c r="AV467" s="192"/>
      <c r="AY467" s="179"/>
      <c r="BA467" s="192"/>
      <c r="BB467" s="192"/>
      <c r="BD467" s="192"/>
      <c r="BE467" s="192"/>
      <c r="BH467" s="179"/>
      <c r="BI467" s="192"/>
      <c r="BJ467" s="192"/>
      <c r="BL467" s="192"/>
      <c r="BM467" s="192"/>
      <c r="BP467" s="179"/>
    </row>
    <row r="468">
      <c r="B468" s="189"/>
      <c r="C468" s="189"/>
      <c r="E468" s="189"/>
      <c r="F468" s="189"/>
      <c r="I468" s="179"/>
      <c r="J468" s="189"/>
      <c r="K468" s="189"/>
      <c r="M468" s="189"/>
      <c r="N468" s="189"/>
      <c r="Q468" s="179"/>
      <c r="S468" s="189"/>
      <c r="T468" s="189"/>
      <c r="V468" s="189"/>
      <c r="W468" s="189"/>
      <c r="Z468" s="179"/>
      <c r="AA468" s="189"/>
      <c r="AB468" s="189"/>
      <c r="AD468" s="189"/>
      <c r="AE468" s="189"/>
      <c r="AH468" s="179"/>
      <c r="AJ468" s="191"/>
      <c r="AK468" s="191"/>
      <c r="AM468" s="191"/>
      <c r="AN468" s="191"/>
      <c r="AQ468" s="179"/>
      <c r="AR468" s="192"/>
      <c r="AS468" s="192"/>
      <c r="AU468" s="192"/>
      <c r="AV468" s="192"/>
      <c r="AY468" s="179"/>
      <c r="BA468" s="192"/>
      <c r="BB468" s="192"/>
      <c r="BD468" s="192"/>
      <c r="BE468" s="192"/>
      <c r="BH468" s="179"/>
      <c r="BI468" s="192"/>
      <c r="BJ468" s="192"/>
      <c r="BL468" s="192"/>
      <c r="BM468" s="192"/>
      <c r="BP468" s="179"/>
    </row>
    <row r="469">
      <c r="B469" s="189"/>
      <c r="C469" s="189"/>
      <c r="E469" s="189"/>
      <c r="F469" s="189"/>
      <c r="I469" s="179"/>
      <c r="J469" s="189"/>
      <c r="K469" s="189"/>
      <c r="M469" s="189"/>
      <c r="N469" s="189"/>
      <c r="Q469" s="179"/>
      <c r="S469" s="189"/>
      <c r="T469" s="189"/>
      <c r="V469" s="189"/>
      <c r="W469" s="189"/>
      <c r="Z469" s="179"/>
      <c r="AA469" s="189"/>
      <c r="AB469" s="189"/>
      <c r="AD469" s="189"/>
      <c r="AE469" s="189"/>
      <c r="AH469" s="179"/>
      <c r="AJ469" s="191"/>
      <c r="AK469" s="191"/>
      <c r="AM469" s="191"/>
      <c r="AN469" s="191"/>
      <c r="AQ469" s="179"/>
      <c r="AR469" s="192"/>
      <c r="AS469" s="192"/>
      <c r="AU469" s="192"/>
      <c r="AV469" s="192"/>
      <c r="AY469" s="179"/>
      <c r="BA469" s="192"/>
      <c r="BB469" s="192"/>
      <c r="BD469" s="192"/>
      <c r="BE469" s="192"/>
      <c r="BH469" s="179"/>
      <c r="BI469" s="192"/>
      <c r="BJ469" s="192"/>
      <c r="BL469" s="192"/>
      <c r="BM469" s="192"/>
      <c r="BP469" s="179"/>
    </row>
    <row r="470">
      <c r="B470" s="189"/>
      <c r="C470" s="189"/>
      <c r="E470" s="189"/>
      <c r="F470" s="189"/>
      <c r="I470" s="179"/>
      <c r="J470" s="189"/>
      <c r="K470" s="189"/>
      <c r="M470" s="189"/>
      <c r="N470" s="189"/>
      <c r="Q470" s="179"/>
      <c r="S470" s="189"/>
      <c r="T470" s="189"/>
      <c r="V470" s="189"/>
      <c r="W470" s="189"/>
      <c r="Z470" s="179"/>
      <c r="AA470" s="189"/>
      <c r="AB470" s="189"/>
      <c r="AD470" s="189"/>
      <c r="AE470" s="189"/>
      <c r="AH470" s="179"/>
      <c r="AJ470" s="191"/>
      <c r="AK470" s="191"/>
      <c r="AM470" s="191"/>
      <c r="AN470" s="191"/>
      <c r="AQ470" s="179"/>
      <c r="AR470" s="192"/>
      <c r="AS470" s="192"/>
      <c r="AU470" s="192"/>
      <c r="AV470" s="192"/>
      <c r="AY470" s="179"/>
      <c r="BA470" s="192"/>
      <c r="BB470" s="192"/>
      <c r="BD470" s="192"/>
      <c r="BE470" s="192"/>
      <c r="BH470" s="179"/>
      <c r="BI470" s="192"/>
      <c r="BJ470" s="192"/>
      <c r="BL470" s="192"/>
      <c r="BM470" s="192"/>
      <c r="BP470" s="179"/>
    </row>
    <row r="471">
      <c r="B471" s="189"/>
      <c r="C471" s="189"/>
      <c r="E471" s="189"/>
      <c r="F471" s="189"/>
      <c r="I471" s="179"/>
      <c r="J471" s="189"/>
      <c r="K471" s="189"/>
      <c r="M471" s="189"/>
      <c r="N471" s="189"/>
      <c r="Q471" s="179"/>
      <c r="S471" s="189"/>
      <c r="T471" s="189"/>
      <c r="V471" s="189"/>
      <c r="W471" s="189"/>
      <c r="Z471" s="179"/>
      <c r="AA471" s="189"/>
      <c r="AB471" s="189"/>
      <c r="AD471" s="189"/>
      <c r="AE471" s="189"/>
      <c r="AH471" s="179"/>
      <c r="AJ471" s="191"/>
      <c r="AK471" s="191"/>
      <c r="AM471" s="191"/>
      <c r="AN471" s="191"/>
      <c r="AQ471" s="179"/>
      <c r="AR471" s="192"/>
      <c r="AS471" s="192"/>
      <c r="AU471" s="192"/>
      <c r="AV471" s="192"/>
      <c r="AY471" s="179"/>
      <c r="BA471" s="192"/>
      <c r="BB471" s="192"/>
      <c r="BD471" s="192"/>
      <c r="BE471" s="192"/>
      <c r="BH471" s="179"/>
      <c r="BI471" s="192"/>
      <c r="BJ471" s="192"/>
      <c r="BL471" s="192"/>
      <c r="BM471" s="192"/>
      <c r="BP471" s="179"/>
    </row>
    <row r="472">
      <c r="B472" s="189"/>
      <c r="C472" s="189"/>
      <c r="E472" s="189"/>
      <c r="F472" s="189"/>
      <c r="I472" s="179"/>
      <c r="J472" s="189"/>
      <c r="K472" s="189"/>
      <c r="M472" s="189"/>
      <c r="N472" s="189"/>
      <c r="Q472" s="179"/>
      <c r="S472" s="189"/>
      <c r="T472" s="189"/>
      <c r="V472" s="189"/>
      <c r="W472" s="189"/>
      <c r="Z472" s="179"/>
      <c r="AA472" s="189"/>
      <c r="AB472" s="189"/>
      <c r="AD472" s="189"/>
      <c r="AE472" s="189"/>
      <c r="AH472" s="179"/>
      <c r="AJ472" s="191"/>
      <c r="AK472" s="191"/>
      <c r="AM472" s="191"/>
      <c r="AN472" s="191"/>
      <c r="AQ472" s="179"/>
      <c r="AR472" s="192"/>
      <c r="AS472" s="192"/>
      <c r="AU472" s="192"/>
      <c r="AV472" s="192"/>
      <c r="AY472" s="179"/>
      <c r="BA472" s="192"/>
      <c r="BB472" s="192"/>
      <c r="BD472" s="192"/>
      <c r="BE472" s="192"/>
      <c r="BH472" s="179"/>
      <c r="BI472" s="192"/>
      <c r="BJ472" s="192"/>
      <c r="BL472" s="192"/>
      <c r="BM472" s="192"/>
      <c r="BP472" s="179"/>
    </row>
    <row r="473">
      <c r="B473" s="189"/>
      <c r="C473" s="189"/>
      <c r="E473" s="189"/>
      <c r="F473" s="189"/>
      <c r="I473" s="179"/>
      <c r="J473" s="189"/>
      <c r="K473" s="189"/>
      <c r="M473" s="189"/>
      <c r="N473" s="189"/>
      <c r="Q473" s="179"/>
      <c r="S473" s="189"/>
      <c r="T473" s="189"/>
      <c r="V473" s="189"/>
      <c r="W473" s="189"/>
      <c r="Z473" s="179"/>
      <c r="AA473" s="189"/>
      <c r="AB473" s="189"/>
      <c r="AD473" s="189"/>
      <c r="AE473" s="189"/>
      <c r="AH473" s="179"/>
      <c r="AJ473" s="191"/>
      <c r="AK473" s="191"/>
      <c r="AM473" s="191"/>
      <c r="AN473" s="191"/>
      <c r="AQ473" s="179"/>
      <c r="AR473" s="192"/>
      <c r="AS473" s="192"/>
      <c r="AU473" s="192"/>
      <c r="AV473" s="192"/>
      <c r="AY473" s="179"/>
      <c r="BA473" s="192"/>
      <c r="BB473" s="192"/>
      <c r="BD473" s="192"/>
      <c r="BE473" s="192"/>
      <c r="BH473" s="179"/>
      <c r="BI473" s="192"/>
      <c r="BJ473" s="192"/>
      <c r="BL473" s="192"/>
      <c r="BM473" s="192"/>
      <c r="BP473" s="179"/>
    </row>
    <row r="474">
      <c r="B474" s="189"/>
      <c r="C474" s="189"/>
      <c r="E474" s="189"/>
      <c r="F474" s="189"/>
      <c r="I474" s="179"/>
      <c r="J474" s="189"/>
      <c r="K474" s="189"/>
      <c r="M474" s="189"/>
      <c r="N474" s="189"/>
      <c r="Q474" s="179"/>
      <c r="S474" s="189"/>
      <c r="T474" s="189"/>
      <c r="V474" s="189"/>
      <c r="W474" s="189"/>
      <c r="Z474" s="179"/>
      <c r="AA474" s="189"/>
      <c r="AB474" s="189"/>
      <c r="AD474" s="189"/>
      <c r="AE474" s="189"/>
      <c r="AH474" s="179"/>
      <c r="AJ474" s="191"/>
      <c r="AK474" s="191"/>
      <c r="AM474" s="191"/>
      <c r="AN474" s="191"/>
      <c r="AQ474" s="179"/>
      <c r="AR474" s="192"/>
      <c r="AS474" s="192"/>
      <c r="AU474" s="192"/>
      <c r="AV474" s="192"/>
      <c r="AY474" s="179"/>
      <c r="BA474" s="192"/>
      <c r="BB474" s="192"/>
      <c r="BD474" s="192"/>
      <c r="BE474" s="192"/>
      <c r="BH474" s="179"/>
      <c r="BI474" s="192"/>
      <c r="BJ474" s="192"/>
      <c r="BL474" s="192"/>
      <c r="BM474" s="192"/>
      <c r="BP474" s="179"/>
    </row>
    <row r="475">
      <c r="B475" s="189"/>
      <c r="C475" s="189"/>
      <c r="E475" s="189"/>
      <c r="F475" s="189"/>
      <c r="I475" s="179"/>
      <c r="J475" s="189"/>
      <c r="K475" s="189"/>
      <c r="M475" s="189"/>
      <c r="N475" s="189"/>
      <c r="Q475" s="179"/>
      <c r="S475" s="189"/>
      <c r="T475" s="189"/>
      <c r="V475" s="189"/>
      <c r="W475" s="189"/>
      <c r="Z475" s="179"/>
      <c r="AA475" s="189"/>
      <c r="AB475" s="189"/>
      <c r="AD475" s="189"/>
      <c r="AE475" s="189"/>
      <c r="AH475" s="179"/>
      <c r="AJ475" s="191"/>
      <c r="AK475" s="191"/>
      <c r="AM475" s="191"/>
      <c r="AN475" s="191"/>
      <c r="AQ475" s="179"/>
      <c r="AR475" s="192"/>
      <c r="AS475" s="192"/>
      <c r="AU475" s="192"/>
      <c r="AV475" s="192"/>
      <c r="AY475" s="179"/>
      <c r="BA475" s="192"/>
      <c r="BB475" s="192"/>
      <c r="BD475" s="192"/>
      <c r="BE475" s="192"/>
      <c r="BH475" s="179"/>
      <c r="BI475" s="192"/>
      <c r="BJ475" s="192"/>
      <c r="BL475" s="192"/>
      <c r="BM475" s="192"/>
      <c r="BP475" s="179"/>
    </row>
    <row r="476">
      <c r="B476" s="189"/>
      <c r="C476" s="189"/>
      <c r="E476" s="189"/>
      <c r="F476" s="189"/>
      <c r="I476" s="179"/>
      <c r="J476" s="189"/>
      <c r="K476" s="189"/>
      <c r="M476" s="189"/>
      <c r="N476" s="189"/>
      <c r="Q476" s="179"/>
      <c r="S476" s="189"/>
      <c r="T476" s="189"/>
      <c r="V476" s="189"/>
      <c r="W476" s="189"/>
      <c r="Z476" s="179"/>
      <c r="AA476" s="189"/>
      <c r="AB476" s="189"/>
      <c r="AD476" s="189"/>
      <c r="AE476" s="189"/>
      <c r="AH476" s="179"/>
      <c r="AJ476" s="191"/>
      <c r="AK476" s="191"/>
      <c r="AM476" s="191"/>
      <c r="AN476" s="191"/>
      <c r="AQ476" s="179"/>
      <c r="AR476" s="192"/>
      <c r="AS476" s="192"/>
      <c r="AU476" s="192"/>
      <c r="AV476" s="192"/>
      <c r="AY476" s="179"/>
      <c r="BA476" s="192"/>
      <c r="BB476" s="192"/>
      <c r="BD476" s="192"/>
      <c r="BE476" s="192"/>
      <c r="BH476" s="179"/>
      <c r="BI476" s="192"/>
      <c r="BJ476" s="192"/>
      <c r="BL476" s="192"/>
      <c r="BM476" s="192"/>
      <c r="BP476" s="179"/>
    </row>
    <row r="477">
      <c r="B477" s="189"/>
      <c r="C477" s="189"/>
      <c r="E477" s="189"/>
      <c r="F477" s="189"/>
      <c r="I477" s="179"/>
      <c r="J477" s="189"/>
      <c r="K477" s="189"/>
      <c r="M477" s="189"/>
      <c r="N477" s="189"/>
      <c r="Q477" s="179"/>
      <c r="S477" s="189"/>
      <c r="T477" s="189"/>
      <c r="V477" s="189"/>
      <c r="W477" s="189"/>
      <c r="Z477" s="179"/>
      <c r="AA477" s="189"/>
      <c r="AB477" s="189"/>
      <c r="AD477" s="189"/>
      <c r="AE477" s="189"/>
      <c r="AH477" s="179"/>
      <c r="AJ477" s="191"/>
      <c r="AK477" s="191"/>
      <c r="AM477" s="191"/>
      <c r="AN477" s="191"/>
      <c r="AQ477" s="179"/>
      <c r="AR477" s="192"/>
      <c r="AS477" s="192"/>
      <c r="AU477" s="192"/>
      <c r="AV477" s="192"/>
      <c r="AY477" s="179"/>
      <c r="BA477" s="192"/>
      <c r="BB477" s="192"/>
      <c r="BD477" s="192"/>
      <c r="BE477" s="192"/>
      <c r="BH477" s="179"/>
      <c r="BI477" s="192"/>
      <c r="BJ477" s="192"/>
      <c r="BL477" s="192"/>
      <c r="BM477" s="192"/>
      <c r="BP477" s="179"/>
    </row>
    <row r="478">
      <c r="B478" s="189"/>
      <c r="C478" s="189"/>
      <c r="E478" s="189"/>
      <c r="F478" s="189"/>
      <c r="I478" s="179"/>
      <c r="J478" s="189"/>
      <c r="K478" s="189"/>
      <c r="M478" s="189"/>
      <c r="N478" s="189"/>
      <c r="Q478" s="179"/>
      <c r="S478" s="189"/>
      <c r="T478" s="189"/>
      <c r="V478" s="189"/>
      <c r="W478" s="189"/>
      <c r="Z478" s="179"/>
      <c r="AA478" s="189"/>
      <c r="AB478" s="189"/>
      <c r="AD478" s="189"/>
      <c r="AE478" s="189"/>
      <c r="AH478" s="179"/>
      <c r="AJ478" s="191"/>
      <c r="AK478" s="191"/>
      <c r="AM478" s="191"/>
      <c r="AN478" s="191"/>
      <c r="AQ478" s="179"/>
      <c r="AR478" s="192"/>
      <c r="AS478" s="192"/>
      <c r="AU478" s="192"/>
      <c r="AV478" s="192"/>
      <c r="AY478" s="179"/>
      <c r="BA478" s="192"/>
      <c r="BB478" s="192"/>
      <c r="BD478" s="192"/>
      <c r="BE478" s="192"/>
      <c r="BH478" s="179"/>
      <c r="BI478" s="192"/>
      <c r="BJ478" s="192"/>
      <c r="BL478" s="192"/>
      <c r="BM478" s="192"/>
      <c r="BP478" s="179"/>
    </row>
    <row r="479">
      <c r="B479" s="189"/>
      <c r="C479" s="189"/>
      <c r="E479" s="189"/>
      <c r="F479" s="189"/>
      <c r="I479" s="179"/>
      <c r="J479" s="189"/>
      <c r="K479" s="189"/>
      <c r="M479" s="189"/>
      <c r="N479" s="189"/>
      <c r="Q479" s="179"/>
      <c r="S479" s="189"/>
      <c r="T479" s="189"/>
      <c r="V479" s="189"/>
      <c r="W479" s="189"/>
      <c r="Z479" s="179"/>
      <c r="AA479" s="189"/>
      <c r="AB479" s="189"/>
      <c r="AD479" s="189"/>
      <c r="AE479" s="189"/>
      <c r="AH479" s="179"/>
      <c r="AJ479" s="191"/>
      <c r="AK479" s="191"/>
      <c r="AM479" s="191"/>
      <c r="AN479" s="191"/>
      <c r="AQ479" s="179"/>
      <c r="AR479" s="192"/>
      <c r="AS479" s="192"/>
      <c r="AU479" s="192"/>
      <c r="AV479" s="192"/>
      <c r="AY479" s="179"/>
      <c r="BA479" s="192"/>
      <c r="BB479" s="192"/>
      <c r="BD479" s="192"/>
      <c r="BE479" s="192"/>
      <c r="BH479" s="179"/>
      <c r="BI479" s="192"/>
      <c r="BJ479" s="192"/>
      <c r="BL479" s="192"/>
      <c r="BM479" s="192"/>
      <c r="BP479" s="179"/>
    </row>
    <row r="480">
      <c r="B480" s="189"/>
      <c r="C480" s="189"/>
      <c r="E480" s="189"/>
      <c r="F480" s="189"/>
      <c r="I480" s="179"/>
      <c r="J480" s="189"/>
      <c r="K480" s="189"/>
      <c r="M480" s="189"/>
      <c r="N480" s="189"/>
      <c r="Q480" s="179"/>
      <c r="S480" s="189"/>
      <c r="T480" s="189"/>
      <c r="V480" s="189"/>
      <c r="W480" s="189"/>
      <c r="Z480" s="179"/>
      <c r="AA480" s="189"/>
      <c r="AB480" s="189"/>
      <c r="AD480" s="189"/>
      <c r="AE480" s="189"/>
      <c r="AH480" s="179"/>
      <c r="AJ480" s="191"/>
      <c r="AK480" s="191"/>
      <c r="AM480" s="191"/>
      <c r="AN480" s="191"/>
      <c r="AQ480" s="179"/>
      <c r="AR480" s="192"/>
      <c r="AS480" s="192"/>
      <c r="AU480" s="192"/>
      <c r="AV480" s="192"/>
      <c r="AY480" s="179"/>
      <c r="BA480" s="192"/>
      <c r="BB480" s="192"/>
      <c r="BD480" s="192"/>
      <c r="BE480" s="192"/>
      <c r="BH480" s="179"/>
      <c r="BI480" s="192"/>
      <c r="BJ480" s="192"/>
      <c r="BL480" s="192"/>
      <c r="BM480" s="192"/>
      <c r="BP480" s="179"/>
    </row>
    <row r="481">
      <c r="B481" s="189"/>
      <c r="C481" s="189"/>
      <c r="E481" s="189"/>
      <c r="F481" s="189"/>
      <c r="I481" s="179"/>
      <c r="J481" s="189"/>
      <c r="K481" s="189"/>
      <c r="M481" s="189"/>
      <c r="N481" s="189"/>
      <c r="Q481" s="179"/>
      <c r="S481" s="189"/>
      <c r="T481" s="189"/>
      <c r="V481" s="189"/>
      <c r="W481" s="189"/>
      <c r="Z481" s="179"/>
      <c r="AA481" s="189"/>
      <c r="AB481" s="189"/>
      <c r="AD481" s="189"/>
      <c r="AE481" s="189"/>
      <c r="AH481" s="179"/>
      <c r="AJ481" s="191"/>
      <c r="AK481" s="191"/>
      <c r="AM481" s="191"/>
      <c r="AN481" s="191"/>
      <c r="AQ481" s="179"/>
      <c r="AR481" s="192"/>
      <c r="AS481" s="192"/>
      <c r="AU481" s="192"/>
      <c r="AV481" s="192"/>
      <c r="AY481" s="179"/>
      <c r="BA481" s="192"/>
      <c r="BB481" s="192"/>
      <c r="BD481" s="192"/>
      <c r="BE481" s="192"/>
      <c r="BH481" s="179"/>
      <c r="BI481" s="192"/>
      <c r="BJ481" s="192"/>
      <c r="BL481" s="192"/>
      <c r="BM481" s="192"/>
      <c r="BP481" s="179"/>
    </row>
    <row r="482">
      <c r="B482" s="189"/>
      <c r="C482" s="189"/>
      <c r="E482" s="189"/>
      <c r="F482" s="189"/>
      <c r="I482" s="179"/>
      <c r="J482" s="189"/>
      <c r="K482" s="189"/>
      <c r="M482" s="189"/>
      <c r="N482" s="189"/>
      <c r="Q482" s="179"/>
      <c r="S482" s="189"/>
      <c r="T482" s="189"/>
      <c r="V482" s="189"/>
      <c r="W482" s="189"/>
      <c r="Z482" s="179"/>
      <c r="AA482" s="189"/>
      <c r="AB482" s="189"/>
      <c r="AD482" s="189"/>
      <c r="AE482" s="189"/>
      <c r="AH482" s="179"/>
      <c r="AJ482" s="191"/>
      <c r="AK482" s="191"/>
      <c r="AM482" s="191"/>
      <c r="AN482" s="191"/>
      <c r="AQ482" s="179"/>
      <c r="AR482" s="192"/>
      <c r="AS482" s="192"/>
      <c r="AU482" s="192"/>
      <c r="AV482" s="192"/>
      <c r="AY482" s="179"/>
      <c r="BA482" s="192"/>
      <c r="BB482" s="192"/>
      <c r="BD482" s="192"/>
      <c r="BE482" s="192"/>
      <c r="BH482" s="179"/>
      <c r="BI482" s="192"/>
      <c r="BJ482" s="192"/>
      <c r="BL482" s="192"/>
      <c r="BM482" s="192"/>
      <c r="BP482" s="179"/>
    </row>
    <row r="483">
      <c r="B483" s="189"/>
      <c r="C483" s="189"/>
      <c r="E483" s="189"/>
      <c r="F483" s="189"/>
      <c r="I483" s="179"/>
      <c r="J483" s="189"/>
      <c r="K483" s="189"/>
      <c r="M483" s="189"/>
      <c r="N483" s="189"/>
      <c r="Q483" s="179"/>
      <c r="S483" s="189"/>
      <c r="T483" s="189"/>
      <c r="V483" s="189"/>
      <c r="W483" s="189"/>
      <c r="Z483" s="179"/>
      <c r="AA483" s="189"/>
      <c r="AB483" s="189"/>
      <c r="AD483" s="189"/>
      <c r="AE483" s="189"/>
      <c r="AH483" s="179"/>
      <c r="AJ483" s="191"/>
      <c r="AK483" s="191"/>
      <c r="AM483" s="191"/>
      <c r="AN483" s="191"/>
      <c r="AQ483" s="179"/>
      <c r="AR483" s="192"/>
      <c r="AS483" s="192"/>
      <c r="AU483" s="192"/>
      <c r="AV483" s="192"/>
      <c r="AY483" s="179"/>
      <c r="BA483" s="192"/>
      <c r="BB483" s="192"/>
      <c r="BD483" s="192"/>
      <c r="BE483" s="192"/>
      <c r="BH483" s="179"/>
      <c r="BI483" s="192"/>
      <c r="BJ483" s="192"/>
      <c r="BL483" s="192"/>
      <c r="BM483" s="192"/>
      <c r="BP483" s="179"/>
    </row>
    <row r="484">
      <c r="B484" s="189"/>
      <c r="C484" s="189"/>
      <c r="E484" s="189"/>
      <c r="F484" s="189"/>
      <c r="I484" s="179"/>
      <c r="J484" s="189"/>
      <c r="K484" s="189"/>
      <c r="M484" s="189"/>
      <c r="N484" s="189"/>
      <c r="Q484" s="179"/>
      <c r="S484" s="189"/>
      <c r="T484" s="189"/>
      <c r="V484" s="189"/>
      <c r="W484" s="189"/>
      <c r="Z484" s="179"/>
      <c r="AA484" s="189"/>
      <c r="AB484" s="189"/>
      <c r="AD484" s="189"/>
      <c r="AE484" s="189"/>
      <c r="AH484" s="179"/>
      <c r="AJ484" s="191"/>
      <c r="AK484" s="191"/>
      <c r="AM484" s="191"/>
      <c r="AN484" s="191"/>
      <c r="AQ484" s="179"/>
      <c r="AR484" s="192"/>
      <c r="AS484" s="192"/>
      <c r="AU484" s="192"/>
      <c r="AV484" s="192"/>
      <c r="AY484" s="179"/>
      <c r="BA484" s="192"/>
      <c r="BB484" s="192"/>
      <c r="BD484" s="192"/>
      <c r="BE484" s="192"/>
      <c r="BH484" s="179"/>
      <c r="BI484" s="192"/>
      <c r="BJ484" s="192"/>
      <c r="BL484" s="192"/>
      <c r="BM484" s="192"/>
      <c r="BP484" s="179"/>
    </row>
    <row r="485">
      <c r="B485" s="189"/>
      <c r="C485" s="189"/>
      <c r="E485" s="189"/>
      <c r="F485" s="189"/>
      <c r="I485" s="179"/>
      <c r="J485" s="189"/>
      <c r="K485" s="189"/>
      <c r="M485" s="189"/>
      <c r="N485" s="189"/>
      <c r="Q485" s="179"/>
      <c r="S485" s="189"/>
      <c r="T485" s="189"/>
      <c r="V485" s="189"/>
      <c r="W485" s="189"/>
      <c r="Z485" s="179"/>
      <c r="AA485" s="189"/>
      <c r="AB485" s="189"/>
      <c r="AD485" s="189"/>
      <c r="AE485" s="189"/>
      <c r="AH485" s="179"/>
      <c r="AJ485" s="191"/>
      <c r="AK485" s="191"/>
      <c r="AM485" s="191"/>
      <c r="AN485" s="191"/>
      <c r="AQ485" s="179"/>
      <c r="AR485" s="192"/>
      <c r="AS485" s="192"/>
      <c r="AU485" s="192"/>
      <c r="AV485" s="192"/>
      <c r="AY485" s="179"/>
      <c r="BA485" s="192"/>
      <c r="BB485" s="192"/>
      <c r="BD485" s="192"/>
      <c r="BE485" s="192"/>
      <c r="BH485" s="179"/>
      <c r="BI485" s="192"/>
      <c r="BJ485" s="192"/>
      <c r="BL485" s="192"/>
      <c r="BM485" s="192"/>
      <c r="BP485" s="179"/>
    </row>
    <row r="486">
      <c r="B486" s="189"/>
      <c r="C486" s="189"/>
      <c r="E486" s="189"/>
      <c r="F486" s="189"/>
      <c r="I486" s="179"/>
      <c r="J486" s="189"/>
      <c r="K486" s="189"/>
      <c r="M486" s="189"/>
      <c r="N486" s="189"/>
      <c r="Q486" s="179"/>
      <c r="S486" s="189"/>
      <c r="T486" s="189"/>
      <c r="V486" s="189"/>
      <c r="W486" s="189"/>
      <c r="Z486" s="179"/>
      <c r="AA486" s="189"/>
      <c r="AB486" s="189"/>
      <c r="AD486" s="189"/>
      <c r="AE486" s="189"/>
      <c r="AH486" s="179"/>
      <c r="AJ486" s="191"/>
      <c r="AK486" s="191"/>
      <c r="AM486" s="191"/>
      <c r="AN486" s="191"/>
      <c r="AQ486" s="179"/>
      <c r="AR486" s="192"/>
      <c r="AS486" s="192"/>
      <c r="AU486" s="192"/>
      <c r="AV486" s="192"/>
      <c r="AY486" s="179"/>
      <c r="BA486" s="192"/>
      <c r="BB486" s="192"/>
      <c r="BD486" s="192"/>
      <c r="BE486" s="192"/>
      <c r="BH486" s="179"/>
      <c r="BI486" s="192"/>
      <c r="BJ486" s="192"/>
      <c r="BL486" s="192"/>
      <c r="BM486" s="192"/>
      <c r="BP486" s="179"/>
    </row>
    <row r="487">
      <c r="B487" s="189"/>
      <c r="C487" s="189"/>
      <c r="E487" s="189"/>
      <c r="F487" s="189"/>
      <c r="I487" s="179"/>
      <c r="J487" s="189"/>
      <c r="K487" s="189"/>
      <c r="M487" s="189"/>
      <c r="N487" s="189"/>
      <c r="Q487" s="179"/>
      <c r="S487" s="189"/>
      <c r="T487" s="189"/>
      <c r="V487" s="189"/>
      <c r="W487" s="189"/>
      <c r="Z487" s="179"/>
      <c r="AA487" s="189"/>
      <c r="AB487" s="189"/>
      <c r="AD487" s="189"/>
      <c r="AE487" s="189"/>
      <c r="AH487" s="179"/>
      <c r="AJ487" s="191"/>
      <c r="AK487" s="191"/>
      <c r="AM487" s="191"/>
      <c r="AN487" s="191"/>
      <c r="AQ487" s="179"/>
      <c r="AR487" s="192"/>
      <c r="AS487" s="192"/>
      <c r="AU487" s="192"/>
      <c r="AV487" s="192"/>
      <c r="AY487" s="179"/>
      <c r="BA487" s="192"/>
      <c r="BB487" s="192"/>
      <c r="BD487" s="192"/>
      <c r="BE487" s="192"/>
      <c r="BH487" s="179"/>
      <c r="BI487" s="192"/>
      <c r="BJ487" s="192"/>
      <c r="BL487" s="192"/>
      <c r="BM487" s="192"/>
      <c r="BP487" s="179"/>
    </row>
    <row r="488">
      <c r="B488" s="189"/>
      <c r="C488" s="189"/>
      <c r="E488" s="189"/>
      <c r="F488" s="189"/>
      <c r="I488" s="179"/>
      <c r="J488" s="189"/>
      <c r="K488" s="189"/>
      <c r="M488" s="189"/>
      <c r="N488" s="189"/>
      <c r="Q488" s="179"/>
      <c r="S488" s="189"/>
      <c r="T488" s="189"/>
      <c r="V488" s="189"/>
      <c r="W488" s="189"/>
      <c r="Z488" s="179"/>
      <c r="AA488" s="189"/>
      <c r="AB488" s="189"/>
      <c r="AD488" s="189"/>
      <c r="AE488" s="189"/>
      <c r="AH488" s="179"/>
      <c r="AJ488" s="191"/>
      <c r="AK488" s="191"/>
      <c r="AM488" s="191"/>
      <c r="AN488" s="191"/>
      <c r="AQ488" s="179"/>
      <c r="AR488" s="192"/>
      <c r="AS488" s="192"/>
      <c r="AU488" s="192"/>
      <c r="AV488" s="192"/>
      <c r="AY488" s="179"/>
      <c r="BA488" s="192"/>
      <c r="BB488" s="192"/>
      <c r="BD488" s="192"/>
      <c r="BE488" s="192"/>
      <c r="BH488" s="179"/>
      <c r="BI488" s="192"/>
      <c r="BJ488" s="192"/>
      <c r="BL488" s="192"/>
      <c r="BM488" s="192"/>
      <c r="BP488" s="179"/>
    </row>
    <row r="489">
      <c r="B489" s="189"/>
      <c r="C489" s="189"/>
      <c r="E489" s="189"/>
      <c r="F489" s="189"/>
      <c r="I489" s="179"/>
      <c r="J489" s="189"/>
      <c r="K489" s="189"/>
      <c r="M489" s="189"/>
      <c r="N489" s="189"/>
      <c r="Q489" s="179"/>
      <c r="S489" s="189"/>
      <c r="T489" s="189"/>
      <c r="V489" s="189"/>
      <c r="W489" s="189"/>
      <c r="Z489" s="179"/>
      <c r="AA489" s="189"/>
      <c r="AB489" s="189"/>
      <c r="AD489" s="189"/>
      <c r="AE489" s="189"/>
      <c r="AH489" s="179"/>
      <c r="AJ489" s="191"/>
      <c r="AK489" s="191"/>
      <c r="AM489" s="191"/>
      <c r="AN489" s="191"/>
      <c r="AQ489" s="179"/>
      <c r="AR489" s="192"/>
      <c r="AS489" s="192"/>
      <c r="AU489" s="192"/>
      <c r="AV489" s="192"/>
      <c r="AY489" s="179"/>
      <c r="BA489" s="192"/>
      <c r="BB489" s="192"/>
      <c r="BD489" s="192"/>
      <c r="BE489" s="192"/>
      <c r="BH489" s="179"/>
      <c r="BI489" s="192"/>
      <c r="BJ489" s="192"/>
      <c r="BL489" s="192"/>
      <c r="BM489" s="192"/>
      <c r="BP489" s="179"/>
    </row>
    <row r="490">
      <c r="B490" s="189"/>
      <c r="C490" s="189"/>
      <c r="E490" s="189"/>
      <c r="F490" s="189"/>
      <c r="I490" s="179"/>
      <c r="J490" s="189"/>
      <c r="K490" s="189"/>
      <c r="M490" s="189"/>
      <c r="N490" s="189"/>
      <c r="Q490" s="179"/>
      <c r="S490" s="189"/>
      <c r="T490" s="189"/>
      <c r="V490" s="189"/>
      <c r="W490" s="189"/>
      <c r="Z490" s="179"/>
      <c r="AA490" s="189"/>
      <c r="AB490" s="189"/>
      <c r="AD490" s="189"/>
      <c r="AE490" s="189"/>
      <c r="AH490" s="179"/>
      <c r="AJ490" s="191"/>
      <c r="AK490" s="191"/>
      <c r="AM490" s="191"/>
      <c r="AN490" s="191"/>
      <c r="AQ490" s="179"/>
      <c r="AR490" s="192"/>
      <c r="AS490" s="192"/>
      <c r="AU490" s="192"/>
      <c r="AV490" s="192"/>
      <c r="AY490" s="179"/>
      <c r="BA490" s="192"/>
      <c r="BB490" s="192"/>
      <c r="BD490" s="192"/>
      <c r="BE490" s="192"/>
      <c r="BH490" s="179"/>
      <c r="BI490" s="192"/>
      <c r="BJ490" s="192"/>
      <c r="BL490" s="192"/>
      <c r="BM490" s="192"/>
      <c r="BP490" s="179"/>
    </row>
    <row r="491">
      <c r="B491" s="189"/>
      <c r="C491" s="189"/>
      <c r="E491" s="189"/>
      <c r="F491" s="189"/>
      <c r="I491" s="179"/>
      <c r="J491" s="189"/>
      <c r="K491" s="189"/>
      <c r="M491" s="189"/>
      <c r="N491" s="189"/>
      <c r="Q491" s="179"/>
      <c r="S491" s="189"/>
      <c r="T491" s="189"/>
      <c r="V491" s="189"/>
      <c r="W491" s="189"/>
      <c r="Z491" s="179"/>
      <c r="AA491" s="189"/>
      <c r="AB491" s="189"/>
      <c r="AD491" s="189"/>
      <c r="AE491" s="189"/>
      <c r="AH491" s="179"/>
      <c r="AJ491" s="191"/>
      <c r="AK491" s="191"/>
      <c r="AM491" s="191"/>
      <c r="AN491" s="191"/>
      <c r="AQ491" s="179"/>
      <c r="AR491" s="192"/>
      <c r="AS491" s="192"/>
      <c r="AU491" s="192"/>
      <c r="AV491" s="192"/>
      <c r="AY491" s="179"/>
      <c r="BA491" s="192"/>
      <c r="BB491" s="192"/>
      <c r="BD491" s="192"/>
      <c r="BE491" s="192"/>
      <c r="BH491" s="179"/>
      <c r="BI491" s="192"/>
      <c r="BJ491" s="192"/>
      <c r="BL491" s="192"/>
      <c r="BM491" s="192"/>
      <c r="BP491" s="179"/>
    </row>
    <row r="492">
      <c r="B492" s="189"/>
      <c r="C492" s="189"/>
      <c r="E492" s="189"/>
      <c r="F492" s="189"/>
      <c r="I492" s="179"/>
      <c r="J492" s="189"/>
      <c r="K492" s="189"/>
      <c r="M492" s="189"/>
      <c r="N492" s="189"/>
      <c r="Q492" s="179"/>
      <c r="S492" s="189"/>
      <c r="T492" s="189"/>
      <c r="V492" s="189"/>
      <c r="W492" s="189"/>
      <c r="Z492" s="179"/>
      <c r="AA492" s="189"/>
      <c r="AB492" s="189"/>
      <c r="AD492" s="189"/>
      <c r="AE492" s="189"/>
      <c r="AH492" s="179"/>
      <c r="AJ492" s="191"/>
      <c r="AK492" s="191"/>
      <c r="AM492" s="191"/>
      <c r="AN492" s="191"/>
      <c r="AQ492" s="179"/>
      <c r="AR492" s="192"/>
      <c r="AS492" s="192"/>
      <c r="AU492" s="192"/>
      <c r="AV492" s="192"/>
      <c r="AY492" s="179"/>
      <c r="BA492" s="192"/>
      <c r="BB492" s="192"/>
      <c r="BD492" s="192"/>
      <c r="BE492" s="192"/>
      <c r="BH492" s="179"/>
      <c r="BI492" s="192"/>
      <c r="BJ492" s="192"/>
      <c r="BL492" s="192"/>
      <c r="BM492" s="192"/>
      <c r="BP492" s="179"/>
    </row>
    <row r="493">
      <c r="B493" s="189"/>
      <c r="C493" s="189"/>
      <c r="E493" s="189"/>
      <c r="F493" s="189"/>
      <c r="I493" s="179"/>
      <c r="J493" s="189"/>
      <c r="K493" s="189"/>
      <c r="M493" s="189"/>
      <c r="N493" s="189"/>
      <c r="Q493" s="179"/>
      <c r="S493" s="189"/>
      <c r="T493" s="189"/>
      <c r="V493" s="189"/>
      <c r="W493" s="189"/>
      <c r="Z493" s="179"/>
      <c r="AA493" s="189"/>
      <c r="AB493" s="189"/>
      <c r="AD493" s="189"/>
      <c r="AE493" s="189"/>
      <c r="AH493" s="179"/>
      <c r="AJ493" s="191"/>
      <c r="AK493" s="191"/>
      <c r="AM493" s="191"/>
      <c r="AN493" s="191"/>
      <c r="AQ493" s="179"/>
      <c r="AR493" s="192"/>
      <c r="AS493" s="192"/>
      <c r="AU493" s="192"/>
      <c r="AV493" s="192"/>
      <c r="AY493" s="179"/>
      <c r="BA493" s="192"/>
      <c r="BB493" s="192"/>
      <c r="BD493" s="192"/>
      <c r="BE493" s="192"/>
      <c r="BH493" s="179"/>
      <c r="BI493" s="192"/>
      <c r="BJ493" s="192"/>
      <c r="BL493" s="192"/>
      <c r="BM493" s="192"/>
      <c r="BP493" s="179"/>
    </row>
    <row r="494">
      <c r="B494" s="189"/>
      <c r="C494" s="189"/>
      <c r="E494" s="189"/>
      <c r="F494" s="189"/>
      <c r="I494" s="179"/>
      <c r="J494" s="189"/>
      <c r="K494" s="189"/>
      <c r="M494" s="189"/>
      <c r="N494" s="189"/>
      <c r="Q494" s="179"/>
      <c r="S494" s="189"/>
      <c r="T494" s="189"/>
      <c r="V494" s="189"/>
      <c r="W494" s="189"/>
      <c r="Z494" s="179"/>
      <c r="AA494" s="189"/>
      <c r="AB494" s="189"/>
      <c r="AD494" s="189"/>
      <c r="AE494" s="189"/>
      <c r="AH494" s="179"/>
      <c r="AJ494" s="191"/>
      <c r="AK494" s="191"/>
      <c r="AM494" s="191"/>
      <c r="AN494" s="191"/>
      <c r="AQ494" s="179"/>
      <c r="AR494" s="192"/>
      <c r="AS494" s="192"/>
      <c r="AU494" s="192"/>
      <c r="AV494" s="192"/>
      <c r="AY494" s="179"/>
      <c r="BA494" s="192"/>
      <c r="BB494" s="192"/>
      <c r="BD494" s="192"/>
      <c r="BE494" s="192"/>
      <c r="BH494" s="179"/>
      <c r="BI494" s="192"/>
      <c r="BJ494" s="192"/>
      <c r="BL494" s="192"/>
      <c r="BM494" s="192"/>
      <c r="BP494" s="179"/>
    </row>
    <row r="495">
      <c r="B495" s="189"/>
      <c r="C495" s="189"/>
      <c r="E495" s="189"/>
      <c r="F495" s="189"/>
      <c r="I495" s="179"/>
      <c r="J495" s="189"/>
      <c r="K495" s="189"/>
      <c r="M495" s="189"/>
      <c r="N495" s="189"/>
      <c r="Q495" s="179"/>
      <c r="S495" s="189"/>
      <c r="T495" s="189"/>
      <c r="V495" s="189"/>
      <c r="W495" s="189"/>
      <c r="Z495" s="179"/>
      <c r="AA495" s="189"/>
      <c r="AB495" s="189"/>
      <c r="AD495" s="189"/>
      <c r="AE495" s="189"/>
      <c r="AH495" s="179"/>
      <c r="AJ495" s="191"/>
      <c r="AK495" s="191"/>
      <c r="AM495" s="191"/>
      <c r="AN495" s="191"/>
      <c r="AQ495" s="179"/>
      <c r="AR495" s="192"/>
      <c r="AS495" s="192"/>
      <c r="AU495" s="192"/>
      <c r="AV495" s="192"/>
      <c r="AY495" s="179"/>
      <c r="BA495" s="192"/>
      <c r="BB495" s="192"/>
      <c r="BD495" s="192"/>
      <c r="BE495" s="192"/>
      <c r="BH495" s="179"/>
      <c r="BI495" s="192"/>
      <c r="BJ495" s="192"/>
      <c r="BL495" s="192"/>
      <c r="BM495" s="192"/>
      <c r="BP495" s="179"/>
    </row>
    <row r="496">
      <c r="B496" s="189"/>
      <c r="C496" s="189"/>
      <c r="E496" s="189"/>
      <c r="F496" s="189"/>
      <c r="I496" s="179"/>
      <c r="J496" s="189"/>
      <c r="K496" s="189"/>
      <c r="M496" s="189"/>
      <c r="N496" s="189"/>
      <c r="Q496" s="179"/>
      <c r="S496" s="189"/>
      <c r="T496" s="189"/>
      <c r="V496" s="189"/>
      <c r="W496" s="189"/>
      <c r="Z496" s="179"/>
      <c r="AA496" s="189"/>
      <c r="AB496" s="189"/>
      <c r="AD496" s="189"/>
      <c r="AE496" s="189"/>
      <c r="AH496" s="179"/>
      <c r="AJ496" s="191"/>
      <c r="AK496" s="191"/>
      <c r="AM496" s="191"/>
      <c r="AN496" s="191"/>
      <c r="AQ496" s="179"/>
      <c r="AR496" s="192"/>
      <c r="AS496" s="192"/>
      <c r="AU496" s="192"/>
      <c r="AV496" s="192"/>
      <c r="AY496" s="179"/>
      <c r="BA496" s="192"/>
      <c r="BB496" s="192"/>
      <c r="BD496" s="192"/>
      <c r="BE496" s="192"/>
      <c r="BH496" s="179"/>
      <c r="BI496" s="192"/>
      <c r="BJ496" s="192"/>
      <c r="BL496" s="192"/>
      <c r="BM496" s="192"/>
      <c r="BP496" s="179"/>
    </row>
    <row r="497">
      <c r="B497" s="189"/>
      <c r="C497" s="189"/>
      <c r="E497" s="189"/>
      <c r="F497" s="189"/>
      <c r="I497" s="179"/>
      <c r="J497" s="189"/>
      <c r="K497" s="189"/>
      <c r="M497" s="189"/>
      <c r="N497" s="189"/>
      <c r="Q497" s="179"/>
      <c r="S497" s="189"/>
      <c r="T497" s="189"/>
      <c r="V497" s="189"/>
      <c r="W497" s="189"/>
      <c r="Z497" s="179"/>
      <c r="AA497" s="189"/>
      <c r="AB497" s="189"/>
      <c r="AD497" s="189"/>
      <c r="AE497" s="189"/>
      <c r="AH497" s="179"/>
      <c r="AJ497" s="191"/>
      <c r="AK497" s="191"/>
      <c r="AM497" s="191"/>
      <c r="AN497" s="191"/>
      <c r="AQ497" s="179"/>
      <c r="AR497" s="192"/>
      <c r="AS497" s="192"/>
      <c r="AU497" s="192"/>
      <c r="AV497" s="192"/>
      <c r="AY497" s="179"/>
      <c r="BA497" s="192"/>
      <c r="BB497" s="192"/>
      <c r="BD497" s="192"/>
      <c r="BE497" s="192"/>
      <c r="BH497" s="179"/>
      <c r="BI497" s="192"/>
      <c r="BJ497" s="192"/>
      <c r="BL497" s="192"/>
      <c r="BM497" s="192"/>
      <c r="BP497" s="179"/>
    </row>
    <row r="498">
      <c r="B498" s="189"/>
      <c r="C498" s="189"/>
      <c r="E498" s="189"/>
      <c r="F498" s="189"/>
      <c r="I498" s="179"/>
      <c r="J498" s="189"/>
      <c r="K498" s="189"/>
      <c r="M498" s="189"/>
      <c r="N498" s="189"/>
      <c r="Q498" s="179"/>
      <c r="S498" s="189"/>
      <c r="T498" s="189"/>
      <c r="V498" s="189"/>
      <c r="W498" s="189"/>
      <c r="Z498" s="179"/>
      <c r="AA498" s="189"/>
      <c r="AB498" s="189"/>
      <c r="AD498" s="189"/>
      <c r="AE498" s="189"/>
      <c r="AH498" s="179"/>
      <c r="AJ498" s="191"/>
      <c r="AK498" s="191"/>
      <c r="AM498" s="191"/>
      <c r="AN498" s="191"/>
      <c r="AQ498" s="179"/>
      <c r="AR498" s="192"/>
      <c r="AS498" s="192"/>
      <c r="AU498" s="192"/>
      <c r="AV498" s="192"/>
      <c r="AY498" s="179"/>
      <c r="BA498" s="192"/>
      <c r="BB498" s="192"/>
      <c r="BD498" s="192"/>
      <c r="BE498" s="192"/>
      <c r="BH498" s="179"/>
      <c r="BI498" s="192"/>
      <c r="BJ498" s="192"/>
      <c r="BL498" s="192"/>
      <c r="BM498" s="192"/>
      <c r="BP498" s="179"/>
    </row>
    <row r="499">
      <c r="B499" s="189"/>
      <c r="C499" s="189"/>
      <c r="E499" s="189"/>
      <c r="F499" s="189"/>
      <c r="I499" s="179"/>
      <c r="J499" s="189"/>
      <c r="K499" s="189"/>
      <c r="M499" s="189"/>
      <c r="N499" s="189"/>
      <c r="Q499" s="179"/>
      <c r="S499" s="189"/>
      <c r="T499" s="189"/>
      <c r="V499" s="189"/>
      <c r="W499" s="189"/>
      <c r="Z499" s="179"/>
      <c r="AA499" s="189"/>
      <c r="AB499" s="189"/>
      <c r="AD499" s="189"/>
      <c r="AE499" s="189"/>
      <c r="AH499" s="179"/>
      <c r="AJ499" s="191"/>
      <c r="AK499" s="191"/>
      <c r="AM499" s="191"/>
      <c r="AN499" s="191"/>
      <c r="AQ499" s="179"/>
      <c r="AR499" s="192"/>
      <c r="AS499" s="192"/>
      <c r="AU499" s="192"/>
      <c r="AV499" s="192"/>
      <c r="AY499" s="179"/>
      <c r="BA499" s="192"/>
      <c r="BB499" s="192"/>
      <c r="BD499" s="192"/>
      <c r="BE499" s="192"/>
      <c r="BH499" s="179"/>
      <c r="BI499" s="192"/>
      <c r="BJ499" s="192"/>
      <c r="BL499" s="192"/>
      <c r="BM499" s="192"/>
      <c r="BP499" s="179"/>
    </row>
    <row r="500">
      <c r="B500" s="189"/>
      <c r="C500" s="189"/>
      <c r="E500" s="189"/>
      <c r="F500" s="189"/>
      <c r="I500" s="179"/>
      <c r="J500" s="189"/>
      <c r="K500" s="189"/>
      <c r="M500" s="189"/>
      <c r="N500" s="189"/>
      <c r="Q500" s="179"/>
      <c r="S500" s="189"/>
      <c r="T500" s="189"/>
      <c r="V500" s="189"/>
      <c r="W500" s="189"/>
      <c r="Z500" s="179"/>
      <c r="AA500" s="189"/>
      <c r="AB500" s="189"/>
      <c r="AD500" s="189"/>
      <c r="AE500" s="189"/>
      <c r="AH500" s="179"/>
      <c r="AJ500" s="191"/>
      <c r="AK500" s="191"/>
      <c r="AM500" s="191"/>
      <c r="AN500" s="191"/>
      <c r="AQ500" s="179"/>
      <c r="AR500" s="192"/>
      <c r="AS500" s="192"/>
      <c r="AU500" s="192"/>
      <c r="AV500" s="192"/>
      <c r="AY500" s="179"/>
      <c r="BA500" s="192"/>
      <c r="BB500" s="192"/>
      <c r="BD500" s="192"/>
      <c r="BE500" s="192"/>
      <c r="BH500" s="179"/>
      <c r="BI500" s="192"/>
      <c r="BJ500" s="192"/>
      <c r="BL500" s="192"/>
      <c r="BM500" s="192"/>
      <c r="BP500" s="179"/>
    </row>
    <row r="501">
      <c r="B501" s="189"/>
      <c r="C501" s="189"/>
      <c r="E501" s="189"/>
      <c r="F501" s="189"/>
      <c r="I501" s="179"/>
      <c r="J501" s="189"/>
      <c r="K501" s="189"/>
      <c r="M501" s="189"/>
      <c r="N501" s="189"/>
      <c r="Q501" s="179"/>
      <c r="S501" s="189"/>
      <c r="T501" s="189"/>
      <c r="V501" s="189"/>
      <c r="W501" s="189"/>
      <c r="Z501" s="179"/>
      <c r="AA501" s="189"/>
      <c r="AB501" s="189"/>
      <c r="AD501" s="189"/>
      <c r="AE501" s="189"/>
      <c r="AH501" s="179"/>
      <c r="AJ501" s="191"/>
      <c r="AK501" s="191"/>
      <c r="AM501" s="191"/>
      <c r="AN501" s="191"/>
      <c r="AQ501" s="179"/>
      <c r="AR501" s="192"/>
      <c r="AS501" s="192"/>
      <c r="AU501" s="192"/>
      <c r="AV501" s="192"/>
      <c r="AY501" s="179"/>
      <c r="BA501" s="192"/>
      <c r="BB501" s="192"/>
      <c r="BD501" s="192"/>
      <c r="BE501" s="192"/>
      <c r="BH501" s="179"/>
      <c r="BI501" s="192"/>
      <c r="BJ501" s="192"/>
      <c r="BL501" s="192"/>
      <c r="BM501" s="192"/>
      <c r="BP501" s="179"/>
    </row>
    <row r="502">
      <c r="B502" s="189"/>
      <c r="C502" s="189"/>
      <c r="E502" s="189"/>
      <c r="F502" s="189"/>
      <c r="I502" s="179"/>
      <c r="J502" s="189"/>
      <c r="K502" s="189"/>
      <c r="M502" s="189"/>
      <c r="N502" s="189"/>
      <c r="Q502" s="179"/>
      <c r="S502" s="189"/>
      <c r="T502" s="189"/>
      <c r="V502" s="189"/>
      <c r="W502" s="189"/>
      <c r="Z502" s="179"/>
      <c r="AA502" s="189"/>
      <c r="AB502" s="189"/>
      <c r="AD502" s="189"/>
      <c r="AE502" s="189"/>
      <c r="AH502" s="179"/>
      <c r="AJ502" s="191"/>
      <c r="AK502" s="191"/>
      <c r="AM502" s="191"/>
      <c r="AN502" s="191"/>
      <c r="AQ502" s="179"/>
      <c r="AR502" s="192"/>
      <c r="AS502" s="192"/>
      <c r="AU502" s="192"/>
      <c r="AV502" s="192"/>
      <c r="AY502" s="179"/>
      <c r="BA502" s="192"/>
      <c r="BB502" s="192"/>
      <c r="BD502" s="192"/>
      <c r="BE502" s="192"/>
      <c r="BH502" s="179"/>
      <c r="BI502" s="192"/>
      <c r="BJ502" s="192"/>
      <c r="BL502" s="192"/>
      <c r="BM502" s="192"/>
      <c r="BP502" s="179"/>
    </row>
    <row r="503">
      <c r="B503" s="189"/>
      <c r="C503" s="189"/>
      <c r="E503" s="189"/>
      <c r="F503" s="189"/>
      <c r="I503" s="179"/>
      <c r="J503" s="189"/>
      <c r="K503" s="189"/>
      <c r="M503" s="189"/>
      <c r="N503" s="189"/>
      <c r="Q503" s="179"/>
      <c r="S503" s="189"/>
      <c r="T503" s="189"/>
      <c r="V503" s="189"/>
      <c r="W503" s="189"/>
      <c r="Z503" s="179"/>
      <c r="AA503" s="189"/>
      <c r="AB503" s="189"/>
      <c r="AD503" s="189"/>
      <c r="AE503" s="189"/>
      <c r="AH503" s="179"/>
      <c r="AJ503" s="191"/>
      <c r="AK503" s="191"/>
      <c r="AM503" s="191"/>
      <c r="AN503" s="191"/>
      <c r="AQ503" s="179"/>
      <c r="AR503" s="192"/>
      <c r="AS503" s="192"/>
      <c r="AU503" s="192"/>
      <c r="AV503" s="192"/>
      <c r="AY503" s="179"/>
      <c r="BA503" s="192"/>
      <c r="BB503" s="192"/>
      <c r="BD503" s="192"/>
      <c r="BE503" s="192"/>
      <c r="BH503" s="179"/>
      <c r="BI503" s="192"/>
      <c r="BJ503" s="192"/>
      <c r="BL503" s="192"/>
      <c r="BM503" s="192"/>
      <c r="BP503" s="179"/>
    </row>
    <row r="504">
      <c r="B504" s="189"/>
      <c r="C504" s="189"/>
      <c r="E504" s="189"/>
      <c r="F504" s="189"/>
      <c r="I504" s="179"/>
      <c r="J504" s="189"/>
      <c r="K504" s="189"/>
      <c r="M504" s="189"/>
      <c r="N504" s="189"/>
      <c r="Q504" s="179"/>
      <c r="S504" s="189"/>
      <c r="T504" s="189"/>
      <c r="V504" s="189"/>
      <c r="W504" s="189"/>
      <c r="Z504" s="179"/>
      <c r="AA504" s="189"/>
      <c r="AB504" s="189"/>
      <c r="AD504" s="189"/>
      <c r="AE504" s="189"/>
      <c r="AH504" s="179"/>
      <c r="AJ504" s="191"/>
      <c r="AK504" s="191"/>
      <c r="AM504" s="191"/>
      <c r="AN504" s="191"/>
      <c r="AQ504" s="179"/>
      <c r="AR504" s="192"/>
      <c r="AS504" s="192"/>
      <c r="AU504" s="192"/>
      <c r="AV504" s="192"/>
      <c r="AY504" s="179"/>
      <c r="BA504" s="192"/>
      <c r="BB504" s="192"/>
      <c r="BD504" s="192"/>
      <c r="BE504" s="192"/>
      <c r="BH504" s="179"/>
      <c r="BI504" s="192"/>
      <c r="BJ504" s="192"/>
      <c r="BL504" s="192"/>
      <c r="BM504" s="192"/>
      <c r="BP504" s="179"/>
    </row>
    <row r="505">
      <c r="B505" s="189"/>
      <c r="C505" s="189"/>
      <c r="E505" s="189"/>
      <c r="F505" s="189"/>
      <c r="I505" s="179"/>
      <c r="J505" s="189"/>
      <c r="K505" s="189"/>
      <c r="M505" s="189"/>
      <c r="N505" s="189"/>
      <c r="Q505" s="179"/>
      <c r="S505" s="189"/>
      <c r="T505" s="189"/>
      <c r="V505" s="189"/>
      <c r="W505" s="189"/>
      <c r="Z505" s="179"/>
      <c r="AA505" s="189"/>
      <c r="AB505" s="189"/>
      <c r="AD505" s="189"/>
      <c r="AE505" s="189"/>
      <c r="AH505" s="179"/>
      <c r="AJ505" s="191"/>
      <c r="AK505" s="191"/>
      <c r="AM505" s="191"/>
      <c r="AN505" s="191"/>
      <c r="AQ505" s="179"/>
      <c r="AR505" s="192"/>
      <c r="AS505" s="192"/>
      <c r="AU505" s="192"/>
      <c r="AV505" s="192"/>
      <c r="AY505" s="179"/>
      <c r="BA505" s="192"/>
      <c r="BB505" s="192"/>
      <c r="BD505" s="192"/>
      <c r="BE505" s="192"/>
      <c r="BH505" s="179"/>
      <c r="BI505" s="192"/>
      <c r="BJ505" s="192"/>
      <c r="BL505" s="192"/>
      <c r="BM505" s="192"/>
      <c r="BP505" s="179"/>
    </row>
    <row r="506">
      <c r="B506" s="189"/>
      <c r="C506" s="189"/>
      <c r="E506" s="189"/>
      <c r="F506" s="189"/>
      <c r="I506" s="179"/>
      <c r="J506" s="189"/>
      <c r="K506" s="189"/>
      <c r="M506" s="189"/>
      <c r="N506" s="189"/>
      <c r="Q506" s="179"/>
      <c r="S506" s="189"/>
      <c r="T506" s="189"/>
      <c r="V506" s="189"/>
      <c r="W506" s="189"/>
      <c r="Z506" s="179"/>
      <c r="AA506" s="189"/>
      <c r="AB506" s="189"/>
      <c r="AD506" s="189"/>
      <c r="AE506" s="189"/>
      <c r="AH506" s="179"/>
      <c r="AJ506" s="191"/>
      <c r="AK506" s="191"/>
      <c r="AM506" s="191"/>
      <c r="AN506" s="191"/>
      <c r="AQ506" s="179"/>
      <c r="AR506" s="192"/>
      <c r="AS506" s="192"/>
      <c r="AU506" s="192"/>
      <c r="AV506" s="192"/>
      <c r="AY506" s="179"/>
      <c r="BA506" s="192"/>
      <c r="BB506" s="192"/>
      <c r="BD506" s="192"/>
      <c r="BE506" s="192"/>
      <c r="BH506" s="179"/>
      <c r="BI506" s="192"/>
      <c r="BJ506" s="192"/>
      <c r="BL506" s="192"/>
      <c r="BM506" s="192"/>
      <c r="BP506" s="179"/>
    </row>
    <row r="507">
      <c r="B507" s="189"/>
      <c r="C507" s="189"/>
      <c r="E507" s="189"/>
      <c r="F507" s="189"/>
      <c r="I507" s="179"/>
      <c r="J507" s="189"/>
      <c r="K507" s="189"/>
      <c r="M507" s="189"/>
      <c r="N507" s="189"/>
      <c r="Q507" s="179"/>
      <c r="S507" s="189"/>
      <c r="T507" s="189"/>
      <c r="V507" s="189"/>
      <c r="W507" s="189"/>
      <c r="Z507" s="179"/>
      <c r="AA507" s="189"/>
      <c r="AB507" s="189"/>
      <c r="AD507" s="189"/>
      <c r="AE507" s="189"/>
      <c r="AH507" s="179"/>
      <c r="AJ507" s="191"/>
      <c r="AK507" s="191"/>
      <c r="AM507" s="191"/>
      <c r="AN507" s="191"/>
      <c r="AQ507" s="179"/>
      <c r="AR507" s="192"/>
      <c r="AS507" s="192"/>
      <c r="AU507" s="192"/>
      <c r="AV507" s="192"/>
      <c r="AY507" s="179"/>
      <c r="BA507" s="192"/>
      <c r="BB507" s="192"/>
      <c r="BD507" s="192"/>
      <c r="BE507" s="192"/>
      <c r="BH507" s="179"/>
      <c r="BI507" s="192"/>
      <c r="BJ507" s="192"/>
      <c r="BL507" s="192"/>
      <c r="BM507" s="192"/>
      <c r="BP507" s="179"/>
    </row>
    <row r="508">
      <c r="B508" s="189"/>
      <c r="C508" s="189"/>
      <c r="E508" s="189"/>
      <c r="F508" s="189"/>
      <c r="I508" s="179"/>
      <c r="J508" s="189"/>
      <c r="K508" s="189"/>
      <c r="M508" s="189"/>
      <c r="N508" s="189"/>
      <c r="Q508" s="179"/>
      <c r="S508" s="189"/>
      <c r="T508" s="189"/>
      <c r="V508" s="189"/>
      <c r="W508" s="189"/>
      <c r="Z508" s="179"/>
      <c r="AA508" s="189"/>
      <c r="AB508" s="189"/>
      <c r="AD508" s="189"/>
      <c r="AE508" s="189"/>
      <c r="AH508" s="179"/>
      <c r="AJ508" s="191"/>
      <c r="AK508" s="191"/>
      <c r="AM508" s="191"/>
      <c r="AN508" s="191"/>
      <c r="AQ508" s="179"/>
      <c r="AR508" s="192"/>
      <c r="AS508" s="192"/>
      <c r="AU508" s="192"/>
      <c r="AV508" s="192"/>
      <c r="AY508" s="179"/>
      <c r="BA508" s="192"/>
      <c r="BB508" s="192"/>
      <c r="BD508" s="192"/>
      <c r="BE508" s="192"/>
      <c r="BH508" s="179"/>
      <c r="BI508" s="192"/>
      <c r="BJ508" s="192"/>
      <c r="BL508" s="192"/>
      <c r="BM508" s="192"/>
      <c r="BP508" s="179"/>
    </row>
    <row r="509">
      <c r="B509" s="189"/>
      <c r="C509" s="189"/>
      <c r="E509" s="189"/>
      <c r="F509" s="189"/>
      <c r="I509" s="179"/>
      <c r="J509" s="189"/>
      <c r="K509" s="189"/>
      <c r="M509" s="189"/>
      <c r="N509" s="189"/>
      <c r="Q509" s="179"/>
      <c r="S509" s="189"/>
      <c r="T509" s="189"/>
      <c r="V509" s="189"/>
      <c r="W509" s="189"/>
      <c r="Z509" s="179"/>
      <c r="AA509" s="189"/>
      <c r="AB509" s="189"/>
      <c r="AD509" s="189"/>
      <c r="AE509" s="189"/>
      <c r="AH509" s="179"/>
      <c r="AJ509" s="191"/>
      <c r="AK509" s="191"/>
      <c r="AM509" s="191"/>
      <c r="AN509" s="191"/>
      <c r="AQ509" s="179"/>
      <c r="AR509" s="192"/>
      <c r="AS509" s="192"/>
      <c r="AU509" s="192"/>
      <c r="AV509" s="192"/>
      <c r="AY509" s="179"/>
      <c r="BA509" s="192"/>
      <c r="BB509" s="192"/>
      <c r="BD509" s="192"/>
      <c r="BE509" s="192"/>
      <c r="BH509" s="179"/>
      <c r="BI509" s="192"/>
      <c r="BJ509" s="192"/>
      <c r="BL509" s="192"/>
      <c r="BM509" s="192"/>
      <c r="BP509" s="179"/>
    </row>
    <row r="510">
      <c r="B510" s="189"/>
      <c r="C510" s="189"/>
      <c r="E510" s="189"/>
      <c r="F510" s="189"/>
      <c r="I510" s="179"/>
      <c r="J510" s="189"/>
      <c r="K510" s="189"/>
      <c r="M510" s="189"/>
      <c r="N510" s="189"/>
      <c r="Q510" s="179"/>
      <c r="S510" s="189"/>
      <c r="T510" s="189"/>
      <c r="V510" s="189"/>
      <c r="W510" s="189"/>
      <c r="Z510" s="179"/>
      <c r="AA510" s="189"/>
      <c r="AB510" s="189"/>
      <c r="AD510" s="189"/>
      <c r="AE510" s="189"/>
      <c r="AH510" s="179"/>
      <c r="AJ510" s="191"/>
      <c r="AK510" s="191"/>
      <c r="AM510" s="191"/>
      <c r="AN510" s="191"/>
      <c r="AQ510" s="179"/>
      <c r="AR510" s="192"/>
      <c r="AS510" s="192"/>
      <c r="AU510" s="192"/>
      <c r="AV510" s="192"/>
      <c r="AY510" s="179"/>
      <c r="BA510" s="192"/>
      <c r="BB510" s="192"/>
      <c r="BD510" s="192"/>
      <c r="BE510" s="192"/>
      <c r="BH510" s="179"/>
      <c r="BI510" s="192"/>
      <c r="BJ510" s="192"/>
      <c r="BL510" s="192"/>
      <c r="BM510" s="192"/>
      <c r="BP510" s="179"/>
    </row>
    <row r="511">
      <c r="B511" s="189"/>
      <c r="C511" s="189"/>
      <c r="E511" s="189"/>
      <c r="F511" s="189"/>
      <c r="I511" s="179"/>
      <c r="J511" s="189"/>
      <c r="K511" s="189"/>
      <c r="M511" s="189"/>
      <c r="N511" s="189"/>
      <c r="Q511" s="179"/>
      <c r="S511" s="189"/>
      <c r="T511" s="189"/>
      <c r="V511" s="189"/>
      <c r="W511" s="189"/>
      <c r="Z511" s="179"/>
      <c r="AA511" s="189"/>
      <c r="AB511" s="189"/>
      <c r="AD511" s="189"/>
      <c r="AE511" s="189"/>
      <c r="AH511" s="179"/>
      <c r="AJ511" s="191"/>
      <c r="AK511" s="191"/>
      <c r="AM511" s="191"/>
      <c r="AN511" s="191"/>
      <c r="AQ511" s="179"/>
      <c r="AR511" s="192"/>
      <c r="AS511" s="192"/>
      <c r="AU511" s="192"/>
      <c r="AV511" s="192"/>
      <c r="AY511" s="179"/>
      <c r="BA511" s="192"/>
      <c r="BB511" s="192"/>
      <c r="BD511" s="192"/>
      <c r="BE511" s="192"/>
      <c r="BH511" s="179"/>
      <c r="BI511" s="192"/>
      <c r="BJ511" s="192"/>
      <c r="BL511" s="192"/>
      <c r="BM511" s="192"/>
      <c r="BP511" s="179"/>
    </row>
    <row r="512">
      <c r="B512" s="189"/>
      <c r="C512" s="189"/>
      <c r="E512" s="189"/>
      <c r="F512" s="189"/>
      <c r="I512" s="179"/>
      <c r="J512" s="189"/>
      <c r="K512" s="189"/>
      <c r="M512" s="189"/>
      <c r="N512" s="189"/>
      <c r="Q512" s="179"/>
      <c r="S512" s="189"/>
      <c r="T512" s="189"/>
      <c r="V512" s="189"/>
      <c r="W512" s="189"/>
      <c r="Z512" s="179"/>
      <c r="AA512" s="189"/>
      <c r="AB512" s="189"/>
      <c r="AD512" s="189"/>
      <c r="AE512" s="189"/>
      <c r="AH512" s="179"/>
      <c r="AJ512" s="191"/>
      <c r="AK512" s="191"/>
      <c r="AM512" s="191"/>
      <c r="AN512" s="191"/>
      <c r="AQ512" s="179"/>
      <c r="AR512" s="192"/>
      <c r="AS512" s="192"/>
      <c r="AU512" s="192"/>
      <c r="AV512" s="192"/>
      <c r="AY512" s="179"/>
      <c r="BA512" s="192"/>
      <c r="BB512" s="192"/>
      <c r="BD512" s="192"/>
      <c r="BE512" s="192"/>
      <c r="BH512" s="179"/>
      <c r="BI512" s="192"/>
      <c r="BJ512" s="192"/>
      <c r="BL512" s="192"/>
      <c r="BM512" s="192"/>
      <c r="BP512" s="179"/>
    </row>
    <row r="513">
      <c r="B513" s="189"/>
      <c r="C513" s="189"/>
      <c r="E513" s="189"/>
      <c r="F513" s="189"/>
      <c r="I513" s="179"/>
      <c r="J513" s="189"/>
      <c r="K513" s="189"/>
      <c r="M513" s="189"/>
      <c r="N513" s="189"/>
      <c r="Q513" s="179"/>
      <c r="S513" s="189"/>
      <c r="T513" s="189"/>
      <c r="V513" s="189"/>
      <c r="W513" s="189"/>
      <c r="Z513" s="179"/>
      <c r="AA513" s="189"/>
      <c r="AB513" s="189"/>
      <c r="AD513" s="189"/>
      <c r="AE513" s="189"/>
      <c r="AH513" s="179"/>
      <c r="AJ513" s="191"/>
      <c r="AK513" s="191"/>
      <c r="AM513" s="191"/>
      <c r="AN513" s="191"/>
      <c r="AQ513" s="179"/>
      <c r="AR513" s="192"/>
      <c r="AS513" s="192"/>
      <c r="AU513" s="192"/>
      <c r="AV513" s="192"/>
      <c r="AY513" s="179"/>
      <c r="BA513" s="192"/>
      <c r="BB513" s="192"/>
      <c r="BD513" s="192"/>
      <c r="BE513" s="192"/>
      <c r="BH513" s="179"/>
      <c r="BI513" s="192"/>
      <c r="BJ513" s="192"/>
      <c r="BL513" s="192"/>
      <c r="BM513" s="192"/>
      <c r="BP513" s="179"/>
    </row>
    <row r="514">
      <c r="B514" s="189"/>
      <c r="C514" s="189"/>
      <c r="E514" s="189"/>
      <c r="F514" s="189"/>
      <c r="I514" s="179"/>
      <c r="J514" s="189"/>
      <c r="K514" s="189"/>
      <c r="M514" s="189"/>
      <c r="N514" s="189"/>
      <c r="Q514" s="179"/>
      <c r="S514" s="189"/>
      <c r="T514" s="189"/>
      <c r="V514" s="189"/>
      <c r="W514" s="189"/>
      <c r="Z514" s="179"/>
      <c r="AA514" s="189"/>
      <c r="AB514" s="189"/>
      <c r="AD514" s="189"/>
      <c r="AE514" s="189"/>
      <c r="AH514" s="179"/>
      <c r="AJ514" s="191"/>
      <c r="AK514" s="191"/>
      <c r="AM514" s="191"/>
      <c r="AN514" s="191"/>
      <c r="AQ514" s="179"/>
      <c r="AR514" s="192"/>
      <c r="AS514" s="192"/>
      <c r="AU514" s="192"/>
      <c r="AV514" s="192"/>
      <c r="AY514" s="179"/>
      <c r="BA514" s="192"/>
      <c r="BB514" s="192"/>
      <c r="BD514" s="192"/>
      <c r="BE514" s="192"/>
      <c r="BH514" s="179"/>
      <c r="BI514" s="192"/>
      <c r="BJ514" s="192"/>
      <c r="BL514" s="192"/>
      <c r="BM514" s="192"/>
      <c r="BP514" s="179"/>
    </row>
    <row r="515">
      <c r="B515" s="189"/>
      <c r="C515" s="189"/>
      <c r="E515" s="189"/>
      <c r="F515" s="189"/>
      <c r="I515" s="179"/>
      <c r="J515" s="189"/>
      <c r="K515" s="189"/>
      <c r="M515" s="189"/>
      <c r="N515" s="189"/>
      <c r="Q515" s="179"/>
      <c r="S515" s="189"/>
      <c r="T515" s="189"/>
      <c r="V515" s="189"/>
      <c r="W515" s="189"/>
      <c r="Z515" s="179"/>
      <c r="AA515" s="189"/>
      <c r="AB515" s="189"/>
      <c r="AD515" s="189"/>
      <c r="AE515" s="189"/>
      <c r="AH515" s="179"/>
      <c r="AJ515" s="191"/>
      <c r="AK515" s="191"/>
      <c r="AM515" s="191"/>
      <c r="AN515" s="191"/>
      <c r="AQ515" s="179"/>
      <c r="AR515" s="192"/>
      <c r="AS515" s="192"/>
      <c r="AU515" s="192"/>
      <c r="AV515" s="192"/>
      <c r="AY515" s="179"/>
      <c r="BA515" s="192"/>
      <c r="BB515" s="192"/>
      <c r="BD515" s="192"/>
      <c r="BE515" s="192"/>
      <c r="BH515" s="179"/>
      <c r="BI515" s="192"/>
      <c r="BJ515" s="192"/>
      <c r="BL515" s="192"/>
      <c r="BM515" s="192"/>
      <c r="BP515" s="179"/>
    </row>
    <row r="516">
      <c r="B516" s="189"/>
      <c r="C516" s="189"/>
      <c r="E516" s="189"/>
      <c r="F516" s="189"/>
      <c r="I516" s="179"/>
      <c r="J516" s="189"/>
      <c r="K516" s="189"/>
      <c r="M516" s="189"/>
      <c r="N516" s="189"/>
      <c r="Q516" s="179"/>
      <c r="S516" s="189"/>
      <c r="T516" s="189"/>
      <c r="V516" s="189"/>
      <c r="W516" s="189"/>
      <c r="Z516" s="179"/>
      <c r="AA516" s="189"/>
      <c r="AB516" s="189"/>
      <c r="AD516" s="189"/>
      <c r="AE516" s="189"/>
      <c r="AH516" s="179"/>
      <c r="AJ516" s="191"/>
      <c r="AK516" s="191"/>
      <c r="AM516" s="191"/>
      <c r="AN516" s="191"/>
      <c r="AQ516" s="179"/>
      <c r="AR516" s="192"/>
      <c r="AS516" s="192"/>
      <c r="AU516" s="192"/>
      <c r="AV516" s="192"/>
      <c r="AY516" s="179"/>
      <c r="BA516" s="192"/>
      <c r="BB516" s="192"/>
      <c r="BD516" s="192"/>
      <c r="BE516" s="192"/>
      <c r="BH516" s="179"/>
      <c r="BI516" s="192"/>
      <c r="BJ516" s="192"/>
      <c r="BL516" s="192"/>
      <c r="BM516" s="192"/>
      <c r="BP516" s="179"/>
    </row>
    <row r="517">
      <c r="B517" s="189"/>
      <c r="C517" s="189"/>
      <c r="E517" s="189"/>
      <c r="F517" s="189"/>
      <c r="I517" s="179"/>
      <c r="J517" s="189"/>
      <c r="K517" s="189"/>
      <c r="M517" s="189"/>
      <c r="N517" s="189"/>
      <c r="Q517" s="179"/>
      <c r="S517" s="189"/>
      <c r="T517" s="189"/>
      <c r="V517" s="189"/>
      <c r="W517" s="189"/>
      <c r="Z517" s="179"/>
      <c r="AA517" s="189"/>
      <c r="AB517" s="189"/>
      <c r="AD517" s="189"/>
      <c r="AE517" s="189"/>
      <c r="AH517" s="179"/>
      <c r="AJ517" s="191"/>
      <c r="AK517" s="191"/>
      <c r="AM517" s="191"/>
      <c r="AN517" s="191"/>
      <c r="AQ517" s="179"/>
      <c r="AR517" s="192"/>
      <c r="AS517" s="192"/>
      <c r="AU517" s="192"/>
      <c r="AV517" s="192"/>
      <c r="AY517" s="179"/>
      <c r="BA517" s="192"/>
      <c r="BB517" s="192"/>
      <c r="BD517" s="192"/>
      <c r="BE517" s="192"/>
      <c r="BH517" s="179"/>
      <c r="BI517" s="192"/>
      <c r="BJ517" s="192"/>
      <c r="BL517" s="192"/>
      <c r="BM517" s="192"/>
      <c r="BP517" s="179"/>
    </row>
    <row r="518">
      <c r="B518" s="189"/>
      <c r="C518" s="189"/>
      <c r="E518" s="189"/>
      <c r="F518" s="189"/>
      <c r="I518" s="179"/>
      <c r="J518" s="189"/>
      <c r="K518" s="189"/>
      <c r="M518" s="189"/>
      <c r="N518" s="189"/>
      <c r="Q518" s="179"/>
      <c r="S518" s="189"/>
      <c r="T518" s="189"/>
      <c r="V518" s="189"/>
      <c r="W518" s="189"/>
      <c r="Z518" s="179"/>
      <c r="AA518" s="189"/>
      <c r="AB518" s="189"/>
      <c r="AD518" s="189"/>
      <c r="AE518" s="189"/>
      <c r="AH518" s="179"/>
      <c r="AJ518" s="191"/>
      <c r="AK518" s="191"/>
      <c r="AM518" s="191"/>
      <c r="AN518" s="191"/>
      <c r="AQ518" s="179"/>
      <c r="AR518" s="192"/>
      <c r="AS518" s="192"/>
      <c r="AU518" s="192"/>
      <c r="AV518" s="192"/>
      <c r="AY518" s="179"/>
      <c r="BA518" s="192"/>
      <c r="BB518" s="192"/>
      <c r="BD518" s="192"/>
      <c r="BE518" s="192"/>
      <c r="BH518" s="179"/>
      <c r="BI518" s="192"/>
      <c r="BJ518" s="192"/>
      <c r="BL518" s="192"/>
      <c r="BM518" s="192"/>
      <c r="BP518" s="179"/>
    </row>
    <row r="519">
      <c r="B519" s="189"/>
      <c r="C519" s="189"/>
      <c r="E519" s="189"/>
      <c r="F519" s="189"/>
      <c r="I519" s="179"/>
      <c r="J519" s="189"/>
      <c r="K519" s="189"/>
      <c r="M519" s="189"/>
      <c r="N519" s="189"/>
      <c r="Q519" s="179"/>
      <c r="S519" s="189"/>
      <c r="T519" s="189"/>
      <c r="V519" s="189"/>
      <c r="W519" s="189"/>
      <c r="Z519" s="179"/>
      <c r="AA519" s="189"/>
      <c r="AB519" s="189"/>
      <c r="AD519" s="189"/>
      <c r="AE519" s="189"/>
      <c r="AH519" s="179"/>
      <c r="AJ519" s="191"/>
      <c r="AK519" s="191"/>
      <c r="AM519" s="191"/>
      <c r="AN519" s="191"/>
      <c r="AQ519" s="179"/>
      <c r="AR519" s="192"/>
      <c r="AS519" s="192"/>
      <c r="AU519" s="192"/>
      <c r="AV519" s="192"/>
      <c r="AY519" s="179"/>
      <c r="BA519" s="192"/>
      <c r="BB519" s="192"/>
      <c r="BD519" s="192"/>
      <c r="BE519" s="192"/>
      <c r="BH519" s="179"/>
      <c r="BI519" s="192"/>
      <c r="BJ519" s="192"/>
      <c r="BL519" s="192"/>
      <c r="BM519" s="192"/>
      <c r="BP519" s="179"/>
    </row>
    <row r="520">
      <c r="B520" s="189"/>
      <c r="C520" s="189"/>
      <c r="E520" s="189"/>
      <c r="F520" s="189"/>
      <c r="I520" s="179"/>
      <c r="J520" s="189"/>
      <c r="K520" s="189"/>
      <c r="M520" s="189"/>
      <c r="N520" s="189"/>
      <c r="Q520" s="179"/>
      <c r="S520" s="189"/>
      <c r="T520" s="189"/>
      <c r="V520" s="189"/>
      <c r="W520" s="189"/>
      <c r="Z520" s="179"/>
      <c r="AA520" s="189"/>
      <c r="AB520" s="189"/>
      <c r="AD520" s="189"/>
      <c r="AE520" s="189"/>
      <c r="AH520" s="179"/>
      <c r="AJ520" s="191"/>
      <c r="AK520" s="191"/>
      <c r="AM520" s="191"/>
      <c r="AN520" s="191"/>
      <c r="AQ520" s="179"/>
      <c r="AR520" s="192"/>
      <c r="AS520" s="192"/>
      <c r="AU520" s="192"/>
      <c r="AV520" s="192"/>
      <c r="AY520" s="179"/>
      <c r="BA520" s="192"/>
      <c r="BB520" s="192"/>
      <c r="BD520" s="192"/>
      <c r="BE520" s="192"/>
      <c r="BH520" s="179"/>
      <c r="BI520" s="192"/>
      <c r="BJ520" s="192"/>
      <c r="BL520" s="192"/>
      <c r="BM520" s="192"/>
      <c r="BP520" s="179"/>
    </row>
    <row r="521">
      <c r="B521" s="189"/>
      <c r="C521" s="189"/>
      <c r="E521" s="189"/>
      <c r="F521" s="189"/>
      <c r="I521" s="179"/>
      <c r="J521" s="189"/>
      <c r="K521" s="189"/>
      <c r="M521" s="189"/>
      <c r="N521" s="189"/>
      <c r="Q521" s="179"/>
      <c r="S521" s="189"/>
      <c r="T521" s="189"/>
      <c r="V521" s="189"/>
      <c r="W521" s="189"/>
      <c r="Z521" s="179"/>
      <c r="AA521" s="189"/>
      <c r="AB521" s="189"/>
      <c r="AD521" s="189"/>
      <c r="AE521" s="189"/>
      <c r="AH521" s="179"/>
      <c r="AJ521" s="191"/>
      <c r="AK521" s="191"/>
      <c r="AM521" s="191"/>
      <c r="AN521" s="191"/>
      <c r="AQ521" s="179"/>
      <c r="AR521" s="192"/>
      <c r="AS521" s="192"/>
      <c r="AU521" s="192"/>
      <c r="AV521" s="192"/>
      <c r="AY521" s="179"/>
      <c r="BA521" s="192"/>
      <c r="BB521" s="192"/>
      <c r="BD521" s="192"/>
      <c r="BE521" s="192"/>
      <c r="BH521" s="179"/>
      <c r="BI521" s="192"/>
      <c r="BJ521" s="192"/>
      <c r="BL521" s="192"/>
      <c r="BM521" s="192"/>
      <c r="BP521" s="179"/>
    </row>
    <row r="522">
      <c r="B522" s="189"/>
      <c r="C522" s="189"/>
      <c r="E522" s="189"/>
      <c r="F522" s="189"/>
      <c r="I522" s="179"/>
      <c r="J522" s="189"/>
      <c r="K522" s="189"/>
      <c r="M522" s="189"/>
      <c r="N522" s="189"/>
      <c r="Q522" s="179"/>
      <c r="S522" s="189"/>
      <c r="T522" s="189"/>
      <c r="V522" s="189"/>
      <c r="W522" s="189"/>
      <c r="Z522" s="179"/>
      <c r="AA522" s="189"/>
      <c r="AB522" s="189"/>
      <c r="AD522" s="189"/>
      <c r="AE522" s="189"/>
      <c r="AH522" s="179"/>
      <c r="AJ522" s="191"/>
      <c r="AK522" s="191"/>
      <c r="AM522" s="191"/>
      <c r="AN522" s="191"/>
      <c r="AQ522" s="179"/>
      <c r="AR522" s="192"/>
      <c r="AS522" s="192"/>
      <c r="AU522" s="192"/>
      <c r="AV522" s="192"/>
      <c r="AY522" s="179"/>
      <c r="BA522" s="192"/>
      <c r="BB522" s="192"/>
      <c r="BD522" s="192"/>
      <c r="BE522" s="192"/>
      <c r="BH522" s="179"/>
      <c r="BI522" s="192"/>
      <c r="BJ522" s="192"/>
      <c r="BL522" s="192"/>
      <c r="BM522" s="192"/>
      <c r="BP522" s="179"/>
    </row>
    <row r="523">
      <c r="B523" s="189"/>
      <c r="C523" s="189"/>
      <c r="E523" s="189"/>
      <c r="F523" s="189"/>
      <c r="I523" s="179"/>
      <c r="J523" s="189"/>
      <c r="K523" s="189"/>
      <c r="M523" s="189"/>
      <c r="N523" s="189"/>
      <c r="Q523" s="179"/>
      <c r="S523" s="189"/>
      <c r="T523" s="189"/>
      <c r="V523" s="189"/>
      <c r="W523" s="189"/>
      <c r="Z523" s="179"/>
      <c r="AA523" s="189"/>
      <c r="AB523" s="189"/>
      <c r="AD523" s="189"/>
      <c r="AE523" s="189"/>
      <c r="AH523" s="179"/>
      <c r="AJ523" s="191"/>
      <c r="AK523" s="191"/>
      <c r="AM523" s="191"/>
      <c r="AN523" s="191"/>
      <c r="AQ523" s="179"/>
      <c r="AR523" s="192"/>
      <c r="AS523" s="192"/>
      <c r="AU523" s="192"/>
      <c r="AV523" s="192"/>
      <c r="AY523" s="179"/>
      <c r="BA523" s="192"/>
      <c r="BB523" s="192"/>
      <c r="BD523" s="192"/>
      <c r="BE523" s="192"/>
      <c r="BH523" s="179"/>
      <c r="BI523" s="192"/>
      <c r="BJ523" s="192"/>
      <c r="BL523" s="192"/>
      <c r="BM523" s="192"/>
      <c r="BP523" s="179"/>
    </row>
    <row r="524">
      <c r="B524" s="189"/>
      <c r="C524" s="189"/>
      <c r="E524" s="189"/>
      <c r="F524" s="189"/>
      <c r="I524" s="179"/>
      <c r="J524" s="189"/>
      <c r="K524" s="189"/>
      <c r="M524" s="189"/>
      <c r="N524" s="189"/>
      <c r="Q524" s="179"/>
      <c r="S524" s="189"/>
      <c r="T524" s="189"/>
      <c r="V524" s="189"/>
      <c r="W524" s="189"/>
      <c r="Z524" s="179"/>
      <c r="AA524" s="189"/>
      <c r="AB524" s="189"/>
      <c r="AD524" s="189"/>
      <c r="AE524" s="189"/>
      <c r="AH524" s="179"/>
      <c r="AJ524" s="191"/>
      <c r="AK524" s="191"/>
      <c r="AM524" s="191"/>
      <c r="AN524" s="191"/>
      <c r="AQ524" s="179"/>
      <c r="AR524" s="192"/>
      <c r="AS524" s="192"/>
      <c r="AU524" s="192"/>
      <c r="AV524" s="192"/>
      <c r="AY524" s="179"/>
      <c r="BA524" s="192"/>
      <c r="BB524" s="192"/>
      <c r="BD524" s="192"/>
      <c r="BE524" s="192"/>
      <c r="BH524" s="179"/>
      <c r="BI524" s="192"/>
      <c r="BJ524" s="192"/>
      <c r="BL524" s="192"/>
      <c r="BM524" s="192"/>
      <c r="BP524" s="179"/>
    </row>
    <row r="525">
      <c r="B525" s="189"/>
      <c r="C525" s="189"/>
      <c r="E525" s="189"/>
      <c r="F525" s="189"/>
      <c r="I525" s="179"/>
      <c r="J525" s="189"/>
      <c r="K525" s="189"/>
      <c r="M525" s="189"/>
      <c r="N525" s="189"/>
      <c r="Q525" s="179"/>
      <c r="S525" s="189"/>
      <c r="T525" s="189"/>
      <c r="V525" s="189"/>
      <c r="W525" s="189"/>
      <c r="Z525" s="179"/>
      <c r="AA525" s="189"/>
      <c r="AB525" s="189"/>
      <c r="AD525" s="189"/>
      <c r="AE525" s="189"/>
      <c r="AH525" s="179"/>
      <c r="AJ525" s="191"/>
      <c r="AK525" s="191"/>
      <c r="AM525" s="191"/>
      <c r="AN525" s="191"/>
      <c r="AQ525" s="179"/>
      <c r="AR525" s="192"/>
      <c r="AS525" s="192"/>
      <c r="AU525" s="192"/>
      <c r="AV525" s="192"/>
      <c r="AY525" s="179"/>
      <c r="BA525" s="192"/>
      <c r="BB525" s="192"/>
      <c r="BD525" s="192"/>
      <c r="BE525" s="192"/>
      <c r="BH525" s="179"/>
      <c r="BI525" s="192"/>
      <c r="BJ525" s="192"/>
      <c r="BL525" s="192"/>
      <c r="BM525" s="192"/>
      <c r="BP525" s="179"/>
    </row>
    <row r="526">
      <c r="B526" s="189"/>
      <c r="C526" s="189"/>
      <c r="E526" s="189"/>
      <c r="F526" s="189"/>
      <c r="I526" s="179"/>
      <c r="J526" s="189"/>
      <c r="K526" s="189"/>
      <c r="M526" s="189"/>
      <c r="N526" s="189"/>
      <c r="Q526" s="179"/>
      <c r="S526" s="189"/>
      <c r="T526" s="189"/>
      <c r="V526" s="189"/>
      <c r="W526" s="189"/>
      <c r="Z526" s="179"/>
      <c r="AA526" s="189"/>
      <c r="AB526" s="189"/>
      <c r="AD526" s="189"/>
      <c r="AE526" s="189"/>
      <c r="AH526" s="179"/>
      <c r="AJ526" s="191"/>
      <c r="AK526" s="191"/>
      <c r="AM526" s="191"/>
      <c r="AN526" s="191"/>
      <c r="AQ526" s="179"/>
      <c r="AR526" s="192"/>
      <c r="AS526" s="192"/>
      <c r="AU526" s="192"/>
      <c r="AV526" s="192"/>
      <c r="AY526" s="179"/>
      <c r="BA526" s="192"/>
      <c r="BB526" s="192"/>
      <c r="BD526" s="192"/>
      <c r="BE526" s="192"/>
      <c r="BH526" s="179"/>
      <c r="BI526" s="192"/>
      <c r="BJ526" s="192"/>
      <c r="BL526" s="192"/>
      <c r="BM526" s="192"/>
      <c r="BP526" s="179"/>
    </row>
    <row r="527">
      <c r="B527" s="189"/>
      <c r="C527" s="189"/>
      <c r="E527" s="189"/>
      <c r="F527" s="189"/>
      <c r="I527" s="179"/>
      <c r="J527" s="189"/>
      <c r="K527" s="189"/>
      <c r="M527" s="189"/>
      <c r="N527" s="189"/>
      <c r="Q527" s="179"/>
      <c r="S527" s="189"/>
      <c r="T527" s="189"/>
      <c r="V527" s="189"/>
      <c r="W527" s="189"/>
      <c r="Z527" s="179"/>
      <c r="AA527" s="189"/>
      <c r="AB527" s="189"/>
      <c r="AD527" s="189"/>
      <c r="AE527" s="189"/>
      <c r="AH527" s="179"/>
      <c r="AJ527" s="191"/>
      <c r="AK527" s="191"/>
      <c r="AM527" s="191"/>
      <c r="AN527" s="191"/>
      <c r="AQ527" s="179"/>
      <c r="AR527" s="192"/>
      <c r="AS527" s="192"/>
      <c r="AU527" s="192"/>
      <c r="AV527" s="192"/>
      <c r="AY527" s="179"/>
      <c r="BA527" s="192"/>
      <c r="BB527" s="192"/>
      <c r="BD527" s="192"/>
      <c r="BE527" s="192"/>
      <c r="BH527" s="179"/>
      <c r="BI527" s="192"/>
      <c r="BJ527" s="192"/>
      <c r="BL527" s="192"/>
      <c r="BM527" s="192"/>
      <c r="BP527" s="179"/>
    </row>
    <row r="528">
      <c r="B528" s="189"/>
      <c r="C528" s="189"/>
      <c r="E528" s="189"/>
      <c r="F528" s="189"/>
      <c r="I528" s="179"/>
      <c r="J528" s="189"/>
      <c r="K528" s="189"/>
      <c r="M528" s="189"/>
      <c r="N528" s="189"/>
      <c r="Q528" s="179"/>
      <c r="S528" s="189"/>
      <c r="T528" s="189"/>
      <c r="V528" s="189"/>
      <c r="W528" s="189"/>
      <c r="Z528" s="179"/>
      <c r="AA528" s="189"/>
      <c r="AB528" s="189"/>
      <c r="AD528" s="189"/>
      <c r="AE528" s="189"/>
      <c r="AH528" s="179"/>
      <c r="AJ528" s="191"/>
      <c r="AK528" s="191"/>
      <c r="AM528" s="191"/>
      <c r="AN528" s="191"/>
      <c r="AQ528" s="179"/>
      <c r="AR528" s="192"/>
      <c r="AS528" s="192"/>
      <c r="AU528" s="192"/>
      <c r="AV528" s="192"/>
      <c r="AY528" s="179"/>
      <c r="BA528" s="192"/>
      <c r="BB528" s="192"/>
      <c r="BD528" s="192"/>
      <c r="BE528" s="192"/>
      <c r="BH528" s="179"/>
      <c r="BI528" s="192"/>
      <c r="BJ528" s="192"/>
      <c r="BL528" s="192"/>
      <c r="BM528" s="192"/>
      <c r="BP528" s="179"/>
    </row>
    <row r="529">
      <c r="B529" s="189"/>
      <c r="C529" s="189"/>
      <c r="E529" s="189"/>
      <c r="F529" s="189"/>
      <c r="I529" s="179"/>
      <c r="J529" s="189"/>
      <c r="K529" s="189"/>
      <c r="M529" s="189"/>
      <c r="N529" s="189"/>
      <c r="Q529" s="179"/>
      <c r="S529" s="189"/>
      <c r="T529" s="189"/>
      <c r="V529" s="189"/>
      <c r="W529" s="189"/>
      <c r="Z529" s="179"/>
      <c r="AA529" s="189"/>
      <c r="AB529" s="189"/>
      <c r="AD529" s="189"/>
      <c r="AE529" s="189"/>
      <c r="AH529" s="179"/>
      <c r="AJ529" s="191"/>
      <c r="AK529" s="191"/>
      <c r="AM529" s="191"/>
      <c r="AN529" s="191"/>
      <c r="AQ529" s="179"/>
      <c r="AR529" s="192"/>
      <c r="AS529" s="192"/>
      <c r="AU529" s="192"/>
      <c r="AV529" s="192"/>
      <c r="AY529" s="179"/>
      <c r="BA529" s="192"/>
      <c r="BB529" s="192"/>
      <c r="BD529" s="192"/>
      <c r="BE529" s="192"/>
      <c r="BH529" s="179"/>
      <c r="BI529" s="192"/>
      <c r="BJ529" s="192"/>
      <c r="BL529" s="192"/>
      <c r="BM529" s="192"/>
      <c r="BP529" s="179"/>
    </row>
    <row r="530">
      <c r="B530" s="189"/>
      <c r="C530" s="189"/>
      <c r="E530" s="189"/>
      <c r="F530" s="189"/>
      <c r="I530" s="179"/>
      <c r="J530" s="189"/>
      <c r="K530" s="189"/>
      <c r="M530" s="189"/>
      <c r="N530" s="189"/>
      <c r="Q530" s="179"/>
      <c r="S530" s="189"/>
      <c r="T530" s="189"/>
      <c r="V530" s="189"/>
      <c r="W530" s="189"/>
      <c r="Z530" s="179"/>
      <c r="AA530" s="189"/>
      <c r="AB530" s="189"/>
      <c r="AD530" s="189"/>
      <c r="AE530" s="189"/>
      <c r="AH530" s="179"/>
      <c r="AJ530" s="191"/>
      <c r="AK530" s="191"/>
      <c r="AM530" s="191"/>
      <c r="AN530" s="191"/>
      <c r="AQ530" s="179"/>
      <c r="AR530" s="192"/>
      <c r="AS530" s="192"/>
      <c r="AU530" s="192"/>
      <c r="AV530" s="192"/>
      <c r="AY530" s="179"/>
      <c r="BA530" s="192"/>
      <c r="BB530" s="192"/>
      <c r="BD530" s="192"/>
      <c r="BE530" s="192"/>
      <c r="BH530" s="179"/>
      <c r="BI530" s="192"/>
      <c r="BJ530" s="192"/>
      <c r="BL530" s="192"/>
      <c r="BM530" s="192"/>
      <c r="BP530" s="179"/>
    </row>
    <row r="531">
      <c r="B531" s="189"/>
      <c r="C531" s="189"/>
      <c r="E531" s="189"/>
      <c r="F531" s="189"/>
      <c r="I531" s="179"/>
      <c r="J531" s="189"/>
      <c r="K531" s="189"/>
      <c r="M531" s="189"/>
      <c r="N531" s="189"/>
      <c r="Q531" s="179"/>
      <c r="S531" s="189"/>
      <c r="T531" s="189"/>
      <c r="V531" s="189"/>
      <c r="W531" s="189"/>
      <c r="Z531" s="179"/>
      <c r="AA531" s="189"/>
      <c r="AB531" s="189"/>
      <c r="AD531" s="189"/>
      <c r="AE531" s="189"/>
      <c r="AH531" s="179"/>
      <c r="AJ531" s="191"/>
      <c r="AK531" s="191"/>
      <c r="AM531" s="191"/>
      <c r="AN531" s="191"/>
      <c r="AQ531" s="179"/>
      <c r="AR531" s="192"/>
      <c r="AS531" s="192"/>
      <c r="AU531" s="192"/>
      <c r="AV531" s="192"/>
      <c r="AY531" s="179"/>
      <c r="BA531" s="192"/>
      <c r="BB531" s="192"/>
      <c r="BD531" s="192"/>
      <c r="BE531" s="192"/>
      <c r="BH531" s="179"/>
      <c r="BI531" s="192"/>
      <c r="BJ531" s="192"/>
      <c r="BL531" s="192"/>
      <c r="BM531" s="192"/>
      <c r="BP531" s="179"/>
    </row>
    <row r="532">
      <c r="B532" s="189"/>
      <c r="C532" s="189"/>
      <c r="E532" s="189"/>
      <c r="F532" s="189"/>
      <c r="I532" s="179"/>
      <c r="J532" s="189"/>
      <c r="K532" s="189"/>
      <c r="M532" s="189"/>
      <c r="N532" s="189"/>
      <c r="Q532" s="179"/>
      <c r="S532" s="189"/>
      <c r="T532" s="189"/>
      <c r="V532" s="189"/>
      <c r="W532" s="189"/>
      <c r="Z532" s="179"/>
      <c r="AA532" s="189"/>
      <c r="AB532" s="189"/>
      <c r="AD532" s="189"/>
      <c r="AE532" s="189"/>
      <c r="AH532" s="179"/>
      <c r="AJ532" s="191"/>
      <c r="AK532" s="191"/>
      <c r="AM532" s="191"/>
      <c r="AN532" s="191"/>
      <c r="AQ532" s="179"/>
      <c r="AR532" s="192"/>
      <c r="AS532" s="192"/>
      <c r="AU532" s="192"/>
      <c r="AV532" s="192"/>
      <c r="AY532" s="179"/>
      <c r="BA532" s="192"/>
      <c r="BB532" s="192"/>
      <c r="BD532" s="192"/>
      <c r="BE532" s="192"/>
      <c r="BH532" s="179"/>
      <c r="BI532" s="192"/>
      <c r="BJ532" s="192"/>
      <c r="BL532" s="192"/>
      <c r="BM532" s="192"/>
      <c r="BP532" s="179"/>
    </row>
    <row r="533">
      <c r="B533" s="189"/>
      <c r="C533" s="189"/>
      <c r="E533" s="189"/>
      <c r="F533" s="189"/>
      <c r="I533" s="179"/>
      <c r="J533" s="189"/>
      <c r="K533" s="189"/>
      <c r="M533" s="189"/>
      <c r="N533" s="189"/>
      <c r="Q533" s="179"/>
      <c r="S533" s="189"/>
      <c r="T533" s="189"/>
      <c r="V533" s="189"/>
      <c r="W533" s="189"/>
      <c r="Z533" s="179"/>
      <c r="AA533" s="189"/>
      <c r="AB533" s="189"/>
      <c r="AD533" s="189"/>
      <c r="AE533" s="189"/>
      <c r="AH533" s="179"/>
      <c r="AJ533" s="191"/>
      <c r="AK533" s="191"/>
      <c r="AM533" s="191"/>
      <c r="AN533" s="191"/>
      <c r="AQ533" s="179"/>
      <c r="AR533" s="192"/>
      <c r="AS533" s="192"/>
      <c r="AU533" s="192"/>
      <c r="AV533" s="192"/>
      <c r="AY533" s="179"/>
      <c r="BA533" s="192"/>
      <c r="BB533" s="192"/>
      <c r="BD533" s="192"/>
      <c r="BE533" s="192"/>
      <c r="BH533" s="179"/>
      <c r="BI533" s="192"/>
      <c r="BJ533" s="192"/>
      <c r="BL533" s="192"/>
      <c r="BM533" s="192"/>
      <c r="BP533" s="179"/>
    </row>
    <row r="534">
      <c r="B534" s="189"/>
      <c r="C534" s="189"/>
      <c r="E534" s="189"/>
      <c r="F534" s="189"/>
      <c r="I534" s="179"/>
      <c r="J534" s="189"/>
      <c r="K534" s="189"/>
      <c r="M534" s="189"/>
      <c r="N534" s="189"/>
      <c r="Q534" s="179"/>
      <c r="S534" s="189"/>
      <c r="T534" s="189"/>
      <c r="V534" s="189"/>
      <c r="W534" s="189"/>
      <c r="Z534" s="179"/>
      <c r="AA534" s="189"/>
      <c r="AB534" s="189"/>
      <c r="AD534" s="189"/>
      <c r="AE534" s="189"/>
      <c r="AH534" s="179"/>
      <c r="AJ534" s="191"/>
      <c r="AK534" s="191"/>
      <c r="AM534" s="191"/>
      <c r="AN534" s="191"/>
      <c r="AQ534" s="179"/>
      <c r="AR534" s="192"/>
      <c r="AS534" s="192"/>
      <c r="AU534" s="192"/>
      <c r="AV534" s="192"/>
      <c r="AY534" s="179"/>
      <c r="BA534" s="192"/>
      <c r="BB534" s="192"/>
      <c r="BD534" s="192"/>
      <c r="BE534" s="192"/>
      <c r="BH534" s="179"/>
      <c r="BI534" s="192"/>
      <c r="BJ534" s="192"/>
      <c r="BL534" s="192"/>
      <c r="BM534" s="192"/>
      <c r="BP534" s="179"/>
    </row>
    <row r="535">
      <c r="B535" s="189"/>
      <c r="C535" s="189"/>
      <c r="E535" s="189"/>
      <c r="F535" s="189"/>
      <c r="I535" s="179"/>
      <c r="J535" s="189"/>
      <c r="K535" s="189"/>
      <c r="M535" s="189"/>
      <c r="N535" s="189"/>
      <c r="Q535" s="179"/>
      <c r="S535" s="189"/>
      <c r="T535" s="189"/>
      <c r="V535" s="189"/>
      <c r="W535" s="189"/>
      <c r="Z535" s="179"/>
      <c r="AA535" s="189"/>
      <c r="AB535" s="189"/>
      <c r="AD535" s="189"/>
      <c r="AE535" s="189"/>
      <c r="AH535" s="179"/>
      <c r="AJ535" s="191"/>
      <c r="AK535" s="191"/>
      <c r="AM535" s="191"/>
      <c r="AN535" s="191"/>
      <c r="AQ535" s="179"/>
      <c r="AR535" s="192"/>
      <c r="AS535" s="192"/>
      <c r="AU535" s="192"/>
      <c r="AV535" s="192"/>
      <c r="AY535" s="179"/>
      <c r="BA535" s="192"/>
      <c r="BB535" s="192"/>
      <c r="BD535" s="192"/>
      <c r="BE535" s="192"/>
      <c r="BH535" s="179"/>
      <c r="BI535" s="192"/>
      <c r="BJ535" s="192"/>
      <c r="BL535" s="192"/>
      <c r="BM535" s="192"/>
      <c r="BP535" s="179"/>
    </row>
    <row r="536">
      <c r="B536" s="189"/>
      <c r="C536" s="189"/>
      <c r="E536" s="189"/>
      <c r="F536" s="189"/>
      <c r="I536" s="179"/>
      <c r="J536" s="189"/>
      <c r="K536" s="189"/>
      <c r="M536" s="189"/>
      <c r="N536" s="189"/>
      <c r="Q536" s="179"/>
      <c r="S536" s="189"/>
      <c r="T536" s="189"/>
      <c r="V536" s="189"/>
      <c r="W536" s="189"/>
      <c r="Z536" s="179"/>
      <c r="AA536" s="189"/>
      <c r="AB536" s="189"/>
      <c r="AD536" s="189"/>
      <c r="AE536" s="189"/>
      <c r="AH536" s="179"/>
      <c r="AJ536" s="191"/>
      <c r="AK536" s="191"/>
      <c r="AM536" s="191"/>
      <c r="AN536" s="191"/>
      <c r="AQ536" s="179"/>
      <c r="AR536" s="192"/>
      <c r="AS536" s="192"/>
      <c r="AU536" s="192"/>
      <c r="AV536" s="192"/>
      <c r="AY536" s="179"/>
      <c r="BA536" s="192"/>
      <c r="BB536" s="192"/>
      <c r="BD536" s="192"/>
      <c r="BE536" s="192"/>
      <c r="BH536" s="179"/>
      <c r="BI536" s="192"/>
      <c r="BJ536" s="192"/>
      <c r="BL536" s="192"/>
      <c r="BM536" s="192"/>
      <c r="BP536" s="179"/>
    </row>
    <row r="537">
      <c r="B537" s="189"/>
      <c r="C537" s="189"/>
      <c r="E537" s="189"/>
      <c r="F537" s="189"/>
      <c r="I537" s="179"/>
      <c r="J537" s="189"/>
      <c r="K537" s="189"/>
      <c r="M537" s="189"/>
      <c r="N537" s="189"/>
      <c r="Q537" s="179"/>
      <c r="S537" s="189"/>
      <c r="T537" s="189"/>
      <c r="V537" s="189"/>
      <c r="W537" s="189"/>
      <c r="Z537" s="179"/>
      <c r="AA537" s="189"/>
      <c r="AB537" s="189"/>
      <c r="AD537" s="189"/>
      <c r="AE537" s="189"/>
      <c r="AH537" s="179"/>
      <c r="AJ537" s="191"/>
      <c r="AK537" s="191"/>
      <c r="AM537" s="191"/>
      <c r="AN537" s="191"/>
      <c r="AQ537" s="179"/>
      <c r="AR537" s="192"/>
      <c r="AS537" s="192"/>
      <c r="AU537" s="192"/>
      <c r="AV537" s="192"/>
      <c r="AY537" s="179"/>
      <c r="BA537" s="192"/>
      <c r="BB537" s="192"/>
      <c r="BD537" s="192"/>
      <c r="BE537" s="192"/>
      <c r="BH537" s="179"/>
      <c r="BI537" s="192"/>
      <c r="BJ537" s="192"/>
      <c r="BL537" s="192"/>
      <c r="BM537" s="192"/>
      <c r="BP537" s="179"/>
    </row>
    <row r="538">
      <c r="B538" s="189"/>
      <c r="C538" s="189"/>
      <c r="E538" s="189"/>
      <c r="F538" s="189"/>
      <c r="I538" s="179"/>
      <c r="J538" s="189"/>
      <c r="K538" s="189"/>
      <c r="M538" s="189"/>
      <c r="N538" s="189"/>
      <c r="Q538" s="179"/>
      <c r="S538" s="189"/>
      <c r="T538" s="189"/>
      <c r="V538" s="189"/>
      <c r="W538" s="189"/>
      <c r="Z538" s="179"/>
      <c r="AA538" s="189"/>
      <c r="AB538" s="189"/>
      <c r="AD538" s="189"/>
      <c r="AE538" s="189"/>
      <c r="AH538" s="179"/>
      <c r="AJ538" s="191"/>
      <c r="AK538" s="191"/>
      <c r="AM538" s="191"/>
      <c r="AN538" s="191"/>
      <c r="AQ538" s="179"/>
      <c r="AR538" s="192"/>
      <c r="AS538" s="192"/>
      <c r="AU538" s="192"/>
      <c r="AV538" s="192"/>
      <c r="AY538" s="179"/>
      <c r="BA538" s="192"/>
      <c r="BB538" s="192"/>
      <c r="BD538" s="192"/>
      <c r="BE538" s="192"/>
      <c r="BH538" s="179"/>
      <c r="BI538" s="192"/>
      <c r="BJ538" s="192"/>
      <c r="BL538" s="192"/>
      <c r="BM538" s="192"/>
      <c r="BP538" s="179"/>
    </row>
    <row r="539">
      <c r="B539" s="189"/>
      <c r="C539" s="189"/>
      <c r="E539" s="189"/>
      <c r="F539" s="189"/>
      <c r="I539" s="179"/>
      <c r="J539" s="189"/>
      <c r="K539" s="189"/>
      <c r="M539" s="189"/>
      <c r="N539" s="189"/>
      <c r="Q539" s="179"/>
      <c r="S539" s="189"/>
      <c r="T539" s="189"/>
      <c r="V539" s="189"/>
      <c r="W539" s="189"/>
      <c r="Z539" s="179"/>
      <c r="AA539" s="189"/>
      <c r="AB539" s="189"/>
      <c r="AD539" s="189"/>
      <c r="AE539" s="189"/>
      <c r="AH539" s="179"/>
      <c r="AJ539" s="191"/>
      <c r="AK539" s="191"/>
      <c r="AM539" s="191"/>
      <c r="AN539" s="191"/>
      <c r="AQ539" s="179"/>
      <c r="AR539" s="192"/>
      <c r="AS539" s="192"/>
      <c r="AU539" s="192"/>
      <c r="AV539" s="192"/>
      <c r="AY539" s="179"/>
      <c r="BA539" s="192"/>
      <c r="BB539" s="192"/>
      <c r="BD539" s="192"/>
      <c r="BE539" s="192"/>
      <c r="BH539" s="179"/>
      <c r="BI539" s="192"/>
      <c r="BJ539" s="192"/>
      <c r="BL539" s="192"/>
      <c r="BM539" s="192"/>
      <c r="BP539" s="179"/>
    </row>
    <row r="540">
      <c r="B540" s="189"/>
      <c r="C540" s="189"/>
      <c r="E540" s="189"/>
      <c r="F540" s="189"/>
      <c r="I540" s="179"/>
      <c r="J540" s="189"/>
      <c r="K540" s="189"/>
      <c r="M540" s="189"/>
      <c r="N540" s="189"/>
      <c r="Q540" s="179"/>
      <c r="S540" s="189"/>
      <c r="T540" s="189"/>
      <c r="V540" s="189"/>
      <c r="W540" s="189"/>
      <c r="Z540" s="179"/>
      <c r="AA540" s="189"/>
      <c r="AB540" s="189"/>
      <c r="AD540" s="189"/>
      <c r="AE540" s="189"/>
      <c r="AH540" s="179"/>
      <c r="AJ540" s="191"/>
      <c r="AK540" s="191"/>
      <c r="AM540" s="191"/>
      <c r="AN540" s="191"/>
      <c r="AQ540" s="179"/>
      <c r="AR540" s="192"/>
      <c r="AS540" s="192"/>
      <c r="AU540" s="192"/>
      <c r="AV540" s="192"/>
      <c r="AY540" s="179"/>
      <c r="BA540" s="192"/>
      <c r="BB540" s="192"/>
      <c r="BD540" s="192"/>
      <c r="BE540" s="192"/>
      <c r="BH540" s="179"/>
      <c r="BI540" s="192"/>
      <c r="BJ540" s="192"/>
      <c r="BL540" s="192"/>
      <c r="BM540" s="192"/>
      <c r="BP540" s="179"/>
    </row>
    <row r="541">
      <c r="B541" s="189"/>
      <c r="C541" s="189"/>
      <c r="E541" s="189"/>
      <c r="F541" s="189"/>
      <c r="I541" s="179"/>
      <c r="J541" s="189"/>
      <c r="K541" s="189"/>
      <c r="M541" s="189"/>
      <c r="N541" s="189"/>
      <c r="Q541" s="179"/>
      <c r="S541" s="189"/>
      <c r="T541" s="189"/>
      <c r="V541" s="189"/>
      <c r="W541" s="189"/>
      <c r="Z541" s="179"/>
      <c r="AA541" s="189"/>
      <c r="AB541" s="189"/>
      <c r="AD541" s="189"/>
      <c r="AE541" s="189"/>
      <c r="AH541" s="179"/>
      <c r="AJ541" s="191"/>
      <c r="AK541" s="191"/>
      <c r="AM541" s="191"/>
      <c r="AN541" s="191"/>
      <c r="AQ541" s="179"/>
      <c r="AR541" s="192"/>
      <c r="AS541" s="192"/>
      <c r="AU541" s="192"/>
      <c r="AV541" s="192"/>
      <c r="AY541" s="179"/>
      <c r="BA541" s="192"/>
      <c r="BB541" s="192"/>
      <c r="BD541" s="192"/>
      <c r="BE541" s="192"/>
      <c r="BH541" s="179"/>
      <c r="BI541" s="192"/>
      <c r="BJ541" s="192"/>
      <c r="BL541" s="192"/>
      <c r="BM541" s="192"/>
      <c r="BP541" s="179"/>
    </row>
    <row r="542">
      <c r="B542" s="189"/>
      <c r="C542" s="189"/>
      <c r="E542" s="189"/>
      <c r="F542" s="189"/>
      <c r="I542" s="179"/>
      <c r="J542" s="189"/>
      <c r="K542" s="189"/>
      <c r="M542" s="189"/>
      <c r="N542" s="189"/>
      <c r="Q542" s="179"/>
      <c r="S542" s="189"/>
      <c r="T542" s="189"/>
      <c r="V542" s="189"/>
      <c r="W542" s="189"/>
      <c r="Z542" s="179"/>
      <c r="AA542" s="189"/>
      <c r="AB542" s="189"/>
      <c r="AD542" s="189"/>
      <c r="AE542" s="189"/>
      <c r="AH542" s="179"/>
      <c r="AJ542" s="191"/>
      <c r="AK542" s="191"/>
      <c r="AM542" s="191"/>
      <c r="AN542" s="191"/>
      <c r="AQ542" s="179"/>
      <c r="AR542" s="192"/>
      <c r="AS542" s="192"/>
      <c r="AU542" s="192"/>
      <c r="AV542" s="192"/>
      <c r="AY542" s="179"/>
      <c r="BA542" s="192"/>
      <c r="BB542" s="192"/>
      <c r="BD542" s="192"/>
      <c r="BE542" s="192"/>
      <c r="BH542" s="179"/>
      <c r="BI542" s="192"/>
      <c r="BJ542" s="192"/>
      <c r="BL542" s="192"/>
      <c r="BM542" s="192"/>
      <c r="BP542" s="179"/>
    </row>
    <row r="543">
      <c r="B543" s="189"/>
      <c r="C543" s="189"/>
      <c r="E543" s="189"/>
      <c r="F543" s="189"/>
      <c r="I543" s="179"/>
      <c r="J543" s="189"/>
      <c r="K543" s="189"/>
      <c r="M543" s="189"/>
      <c r="N543" s="189"/>
      <c r="Q543" s="179"/>
      <c r="S543" s="189"/>
      <c r="T543" s="189"/>
      <c r="V543" s="189"/>
      <c r="W543" s="189"/>
      <c r="Z543" s="179"/>
      <c r="AA543" s="189"/>
      <c r="AB543" s="189"/>
      <c r="AD543" s="189"/>
      <c r="AE543" s="189"/>
      <c r="AH543" s="179"/>
      <c r="AJ543" s="191"/>
      <c r="AK543" s="191"/>
      <c r="AM543" s="191"/>
      <c r="AN543" s="191"/>
      <c r="AQ543" s="179"/>
      <c r="AR543" s="192"/>
      <c r="AS543" s="192"/>
      <c r="AU543" s="192"/>
      <c r="AV543" s="192"/>
      <c r="AY543" s="179"/>
      <c r="BA543" s="192"/>
      <c r="BB543" s="192"/>
      <c r="BD543" s="192"/>
      <c r="BE543" s="192"/>
      <c r="BH543" s="179"/>
      <c r="BI543" s="192"/>
      <c r="BJ543" s="192"/>
      <c r="BL543" s="192"/>
      <c r="BM543" s="192"/>
      <c r="BP543" s="179"/>
    </row>
    <row r="544">
      <c r="B544" s="189"/>
      <c r="C544" s="189"/>
      <c r="E544" s="189"/>
      <c r="F544" s="189"/>
      <c r="I544" s="179"/>
      <c r="J544" s="189"/>
      <c r="K544" s="189"/>
      <c r="M544" s="189"/>
      <c r="N544" s="189"/>
      <c r="Q544" s="179"/>
      <c r="S544" s="189"/>
      <c r="T544" s="189"/>
      <c r="V544" s="189"/>
      <c r="W544" s="189"/>
      <c r="Z544" s="179"/>
      <c r="AA544" s="189"/>
      <c r="AB544" s="189"/>
      <c r="AD544" s="189"/>
      <c r="AE544" s="189"/>
      <c r="AH544" s="179"/>
      <c r="AJ544" s="191"/>
      <c r="AK544" s="191"/>
      <c r="AM544" s="191"/>
      <c r="AN544" s="191"/>
      <c r="AQ544" s="179"/>
      <c r="AR544" s="192"/>
      <c r="AS544" s="192"/>
      <c r="AU544" s="192"/>
      <c r="AV544" s="192"/>
      <c r="AY544" s="179"/>
      <c r="BA544" s="192"/>
      <c r="BB544" s="192"/>
      <c r="BD544" s="192"/>
      <c r="BE544" s="192"/>
      <c r="BH544" s="179"/>
      <c r="BI544" s="192"/>
      <c r="BJ544" s="192"/>
      <c r="BL544" s="192"/>
      <c r="BM544" s="192"/>
      <c r="BP544" s="179"/>
    </row>
    <row r="545">
      <c r="B545" s="189"/>
      <c r="C545" s="189"/>
      <c r="E545" s="189"/>
      <c r="F545" s="189"/>
      <c r="I545" s="179"/>
      <c r="J545" s="189"/>
      <c r="K545" s="189"/>
      <c r="M545" s="189"/>
      <c r="N545" s="189"/>
      <c r="Q545" s="179"/>
      <c r="S545" s="189"/>
      <c r="T545" s="189"/>
      <c r="V545" s="189"/>
      <c r="W545" s="189"/>
      <c r="Z545" s="179"/>
      <c r="AA545" s="189"/>
      <c r="AB545" s="189"/>
      <c r="AD545" s="189"/>
      <c r="AE545" s="189"/>
      <c r="AH545" s="179"/>
      <c r="AJ545" s="191"/>
      <c r="AK545" s="191"/>
      <c r="AM545" s="191"/>
      <c r="AN545" s="191"/>
      <c r="AQ545" s="179"/>
      <c r="AR545" s="192"/>
      <c r="AS545" s="192"/>
      <c r="AU545" s="192"/>
      <c r="AV545" s="192"/>
      <c r="AY545" s="179"/>
      <c r="BA545" s="192"/>
      <c r="BB545" s="192"/>
      <c r="BD545" s="192"/>
      <c r="BE545" s="192"/>
      <c r="BH545" s="179"/>
      <c r="BI545" s="192"/>
      <c r="BJ545" s="192"/>
      <c r="BL545" s="192"/>
      <c r="BM545" s="192"/>
      <c r="BP545" s="179"/>
    </row>
    <row r="546">
      <c r="B546" s="189"/>
      <c r="C546" s="189"/>
      <c r="E546" s="189"/>
      <c r="F546" s="189"/>
      <c r="I546" s="179"/>
      <c r="J546" s="189"/>
      <c r="K546" s="189"/>
      <c r="M546" s="189"/>
      <c r="N546" s="189"/>
      <c r="Q546" s="179"/>
      <c r="S546" s="189"/>
      <c r="T546" s="189"/>
      <c r="V546" s="189"/>
      <c r="W546" s="189"/>
      <c r="Z546" s="179"/>
      <c r="AA546" s="189"/>
      <c r="AB546" s="189"/>
      <c r="AD546" s="189"/>
      <c r="AE546" s="189"/>
      <c r="AH546" s="179"/>
      <c r="AJ546" s="191"/>
      <c r="AK546" s="191"/>
      <c r="AM546" s="191"/>
      <c r="AN546" s="191"/>
      <c r="AQ546" s="179"/>
      <c r="AR546" s="192"/>
      <c r="AS546" s="192"/>
      <c r="AU546" s="192"/>
      <c r="AV546" s="192"/>
      <c r="AY546" s="179"/>
      <c r="BA546" s="192"/>
      <c r="BB546" s="192"/>
      <c r="BD546" s="192"/>
      <c r="BE546" s="192"/>
      <c r="BH546" s="179"/>
      <c r="BI546" s="192"/>
      <c r="BJ546" s="192"/>
      <c r="BL546" s="192"/>
      <c r="BM546" s="192"/>
      <c r="BP546" s="179"/>
    </row>
    <row r="547">
      <c r="B547" s="189"/>
      <c r="C547" s="189"/>
      <c r="E547" s="189"/>
      <c r="F547" s="189"/>
      <c r="I547" s="179"/>
      <c r="J547" s="189"/>
      <c r="K547" s="189"/>
      <c r="M547" s="189"/>
      <c r="N547" s="189"/>
      <c r="Q547" s="179"/>
      <c r="S547" s="189"/>
      <c r="T547" s="189"/>
      <c r="V547" s="189"/>
      <c r="W547" s="189"/>
      <c r="Z547" s="179"/>
      <c r="AA547" s="189"/>
      <c r="AB547" s="189"/>
      <c r="AD547" s="189"/>
      <c r="AE547" s="189"/>
      <c r="AH547" s="179"/>
      <c r="AJ547" s="191"/>
      <c r="AK547" s="191"/>
      <c r="AM547" s="191"/>
      <c r="AN547" s="191"/>
      <c r="AQ547" s="179"/>
      <c r="AR547" s="192"/>
      <c r="AS547" s="192"/>
      <c r="AU547" s="192"/>
      <c r="AV547" s="192"/>
      <c r="AY547" s="179"/>
      <c r="BA547" s="192"/>
      <c r="BB547" s="192"/>
      <c r="BD547" s="192"/>
      <c r="BE547" s="192"/>
      <c r="BH547" s="179"/>
      <c r="BI547" s="192"/>
      <c r="BJ547" s="192"/>
      <c r="BL547" s="192"/>
      <c r="BM547" s="192"/>
      <c r="BP547" s="179"/>
    </row>
    <row r="548">
      <c r="B548" s="189"/>
      <c r="C548" s="189"/>
      <c r="E548" s="189"/>
      <c r="F548" s="189"/>
      <c r="I548" s="179"/>
      <c r="J548" s="189"/>
      <c r="K548" s="189"/>
      <c r="M548" s="189"/>
      <c r="N548" s="189"/>
      <c r="Q548" s="179"/>
      <c r="S548" s="189"/>
      <c r="T548" s="189"/>
      <c r="V548" s="189"/>
      <c r="W548" s="189"/>
      <c r="Z548" s="179"/>
      <c r="AA548" s="189"/>
      <c r="AB548" s="189"/>
      <c r="AD548" s="189"/>
      <c r="AE548" s="189"/>
      <c r="AH548" s="179"/>
      <c r="AJ548" s="191"/>
      <c r="AK548" s="191"/>
      <c r="AM548" s="191"/>
      <c r="AN548" s="191"/>
      <c r="AQ548" s="179"/>
      <c r="AR548" s="192"/>
      <c r="AS548" s="192"/>
      <c r="AU548" s="192"/>
      <c r="AV548" s="192"/>
      <c r="AY548" s="179"/>
      <c r="BA548" s="192"/>
      <c r="BB548" s="192"/>
      <c r="BD548" s="192"/>
      <c r="BE548" s="192"/>
      <c r="BH548" s="179"/>
      <c r="BI548" s="192"/>
      <c r="BJ548" s="192"/>
      <c r="BL548" s="192"/>
      <c r="BM548" s="192"/>
      <c r="BP548" s="179"/>
    </row>
    <row r="549">
      <c r="B549" s="189"/>
      <c r="C549" s="189"/>
      <c r="E549" s="189"/>
      <c r="F549" s="189"/>
      <c r="I549" s="179"/>
      <c r="J549" s="189"/>
      <c r="K549" s="189"/>
      <c r="M549" s="189"/>
      <c r="N549" s="189"/>
      <c r="Q549" s="179"/>
      <c r="S549" s="189"/>
      <c r="T549" s="189"/>
      <c r="V549" s="189"/>
      <c r="W549" s="189"/>
      <c r="Z549" s="179"/>
      <c r="AA549" s="189"/>
      <c r="AB549" s="189"/>
      <c r="AD549" s="189"/>
      <c r="AE549" s="189"/>
      <c r="AH549" s="179"/>
      <c r="AJ549" s="191"/>
      <c r="AK549" s="191"/>
      <c r="AM549" s="191"/>
      <c r="AN549" s="191"/>
      <c r="AQ549" s="179"/>
      <c r="AR549" s="192"/>
      <c r="AS549" s="192"/>
      <c r="AU549" s="192"/>
      <c r="AV549" s="192"/>
      <c r="AY549" s="179"/>
      <c r="BA549" s="192"/>
      <c r="BB549" s="192"/>
      <c r="BD549" s="192"/>
      <c r="BE549" s="192"/>
      <c r="BH549" s="179"/>
      <c r="BI549" s="192"/>
      <c r="BJ549" s="192"/>
      <c r="BL549" s="192"/>
      <c r="BM549" s="192"/>
      <c r="BP549" s="179"/>
    </row>
    <row r="550">
      <c r="B550" s="189"/>
      <c r="C550" s="189"/>
      <c r="E550" s="189"/>
      <c r="F550" s="189"/>
      <c r="I550" s="179"/>
      <c r="J550" s="189"/>
      <c r="K550" s="189"/>
      <c r="M550" s="189"/>
      <c r="N550" s="189"/>
      <c r="Q550" s="179"/>
      <c r="S550" s="189"/>
      <c r="T550" s="189"/>
      <c r="V550" s="189"/>
      <c r="W550" s="189"/>
      <c r="Z550" s="179"/>
      <c r="AA550" s="189"/>
      <c r="AB550" s="189"/>
      <c r="AD550" s="189"/>
      <c r="AE550" s="189"/>
      <c r="AH550" s="179"/>
      <c r="AJ550" s="191"/>
      <c r="AK550" s="191"/>
      <c r="AM550" s="191"/>
      <c r="AN550" s="191"/>
      <c r="AQ550" s="179"/>
      <c r="AR550" s="192"/>
      <c r="AS550" s="192"/>
      <c r="AU550" s="192"/>
      <c r="AV550" s="192"/>
      <c r="AY550" s="179"/>
      <c r="BA550" s="192"/>
      <c r="BB550" s="192"/>
      <c r="BD550" s="192"/>
      <c r="BE550" s="192"/>
      <c r="BH550" s="179"/>
      <c r="BI550" s="192"/>
      <c r="BJ550" s="192"/>
      <c r="BL550" s="192"/>
      <c r="BM550" s="192"/>
      <c r="BP550" s="179"/>
    </row>
    <row r="551">
      <c r="B551" s="189"/>
      <c r="C551" s="189"/>
      <c r="E551" s="189"/>
      <c r="F551" s="189"/>
      <c r="I551" s="179"/>
      <c r="J551" s="189"/>
      <c r="K551" s="189"/>
      <c r="M551" s="189"/>
      <c r="N551" s="189"/>
      <c r="Q551" s="179"/>
      <c r="S551" s="189"/>
      <c r="T551" s="189"/>
      <c r="V551" s="189"/>
      <c r="W551" s="189"/>
      <c r="Z551" s="179"/>
      <c r="AA551" s="189"/>
      <c r="AB551" s="189"/>
      <c r="AD551" s="189"/>
      <c r="AE551" s="189"/>
      <c r="AH551" s="179"/>
      <c r="AJ551" s="191"/>
      <c r="AK551" s="191"/>
      <c r="AM551" s="191"/>
      <c r="AN551" s="191"/>
      <c r="AQ551" s="179"/>
      <c r="AR551" s="192"/>
      <c r="AS551" s="192"/>
      <c r="AU551" s="192"/>
      <c r="AV551" s="192"/>
      <c r="AY551" s="179"/>
      <c r="BA551" s="192"/>
      <c r="BB551" s="192"/>
      <c r="BD551" s="192"/>
      <c r="BE551" s="192"/>
      <c r="BH551" s="179"/>
      <c r="BI551" s="192"/>
      <c r="BJ551" s="192"/>
      <c r="BL551" s="192"/>
      <c r="BM551" s="192"/>
      <c r="BP551" s="179"/>
    </row>
    <row r="552">
      <c r="B552" s="189"/>
      <c r="C552" s="189"/>
      <c r="E552" s="189"/>
      <c r="F552" s="189"/>
      <c r="I552" s="179"/>
      <c r="J552" s="189"/>
      <c r="K552" s="189"/>
      <c r="M552" s="189"/>
      <c r="N552" s="189"/>
      <c r="Q552" s="179"/>
      <c r="S552" s="189"/>
      <c r="T552" s="189"/>
      <c r="V552" s="189"/>
      <c r="W552" s="189"/>
      <c r="Z552" s="179"/>
      <c r="AA552" s="189"/>
      <c r="AB552" s="189"/>
      <c r="AD552" s="189"/>
      <c r="AE552" s="189"/>
      <c r="AH552" s="179"/>
      <c r="AJ552" s="191"/>
      <c r="AK552" s="191"/>
      <c r="AM552" s="191"/>
      <c r="AN552" s="191"/>
      <c r="AQ552" s="179"/>
      <c r="AR552" s="192"/>
      <c r="AS552" s="192"/>
      <c r="AU552" s="192"/>
      <c r="AV552" s="192"/>
      <c r="AY552" s="179"/>
      <c r="BA552" s="192"/>
      <c r="BB552" s="192"/>
      <c r="BD552" s="192"/>
      <c r="BE552" s="192"/>
      <c r="BH552" s="179"/>
      <c r="BI552" s="192"/>
      <c r="BJ552" s="192"/>
      <c r="BL552" s="192"/>
      <c r="BM552" s="192"/>
      <c r="BP552" s="179"/>
    </row>
    <row r="553">
      <c r="B553" s="189"/>
      <c r="C553" s="189"/>
      <c r="E553" s="189"/>
      <c r="F553" s="189"/>
      <c r="I553" s="179"/>
      <c r="J553" s="189"/>
      <c r="K553" s="189"/>
      <c r="M553" s="189"/>
      <c r="N553" s="189"/>
      <c r="Q553" s="179"/>
      <c r="S553" s="189"/>
      <c r="T553" s="189"/>
      <c r="V553" s="189"/>
      <c r="W553" s="189"/>
      <c r="Z553" s="179"/>
      <c r="AA553" s="189"/>
      <c r="AB553" s="189"/>
      <c r="AD553" s="189"/>
      <c r="AE553" s="189"/>
      <c r="AH553" s="179"/>
      <c r="AJ553" s="191"/>
      <c r="AK553" s="191"/>
      <c r="AM553" s="191"/>
      <c r="AN553" s="191"/>
      <c r="AQ553" s="179"/>
      <c r="AR553" s="192"/>
      <c r="AS553" s="192"/>
      <c r="AU553" s="192"/>
      <c r="AV553" s="192"/>
      <c r="AY553" s="179"/>
      <c r="BA553" s="192"/>
      <c r="BB553" s="192"/>
      <c r="BD553" s="192"/>
      <c r="BE553" s="192"/>
      <c r="BH553" s="179"/>
      <c r="BI553" s="192"/>
      <c r="BJ553" s="192"/>
      <c r="BL553" s="192"/>
      <c r="BM553" s="192"/>
      <c r="BP553" s="179"/>
    </row>
    <row r="554">
      <c r="B554" s="189"/>
      <c r="C554" s="189"/>
      <c r="E554" s="189"/>
      <c r="F554" s="189"/>
      <c r="I554" s="179"/>
      <c r="J554" s="189"/>
      <c r="K554" s="189"/>
      <c r="M554" s="189"/>
      <c r="N554" s="189"/>
      <c r="Q554" s="179"/>
      <c r="S554" s="189"/>
      <c r="T554" s="189"/>
      <c r="V554" s="189"/>
      <c r="W554" s="189"/>
      <c r="Z554" s="179"/>
      <c r="AA554" s="189"/>
      <c r="AB554" s="189"/>
      <c r="AD554" s="189"/>
      <c r="AE554" s="189"/>
      <c r="AH554" s="179"/>
      <c r="AJ554" s="191"/>
      <c r="AK554" s="191"/>
      <c r="AM554" s="191"/>
      <c r="AN554" s="191"/>
      <c r="AQ554" s="179"/>
      <c r="AR554" s="192"/>
      <c r="AS554" s="192"/>
      <c r="AU554" s="192"/>
      <c r="AV554" s="192"/>
      <c r="AY554" s="179"/>
      <c r="BA554" s="192"/>
      <c r="BB554" s="192"/>
      <c r="BD554" s="192"/>
      <c r="BE554" s="192"/>
      <c r="BH554" s="179"/>
      <c r="BI554" s="192"/>
      <c r="BJ554" s="192"/>
      <c r="BL554" s="192"/>
      <c r="BM554" s="192"/>
      <c r="BP554" s="179"/>
    </row>
    <row r="555">
      <c r="B555" s="189"/>
      <c r="C555" s="189"/>
      <c r="E555" s="189"/>
      <c r="F555" s="189"/>
      <c r="I555" s="179"/>
      <c r="J555" s="189"/>
      <c r="K555" s="189"/>
      <c r="M555" s="189"/>
      <c r="N555" s="189"/>
      <c r="Q555" s="179"/>
      <c r="S555" s="189"/>
      <c r="T555" s="189"/>
      <c r="V555" s="189"/>
      <c r="W555" s="189"/>
      <c r="Z555" s="179"/>
      <c r="AA555" s="189"/>
      <c r="AB555" s="189"/>
      <c r="AD555" s="189"/>
      <c r="AE555" s="189"/>
      <c r="AH555" s="179"/>
      <c r="AJ555" s="191"/>
      <c r="AK555" s="191"/>
      <c r="AM555" s="191"/>
      <c r="AN555" s="191"/>
      <c r="AQ555" s="179"/>
      <c r="AR555" s="192"/>
      <c r="AS555" s="192"/>
      <c r="AU555" s="192"/>
      <c r="AV555" s="192"/>
      <c r="AY555" s="179"/>
      <c r="BA555" s="192"/>
      <c r="BB555" s="192"/>
      <c r="BD555" s="192"/>
      <c r="BE555" s="192"/>
      <c r="BH555" s="179"/>
      <c r="BI555" s="192"/>
      <c r="BJ555" s="192"/>
      <c r="BL555" s="192"/>
      <c r="BM555" s="192"/>
      <c r="BP555" s="179"/>
    </row>
    <row r="556">
      <c r="B556" s="189"/>
      <c r="C556" s="189"/>
      <c r="E556" s="189"/>
      <c r="F556" s="189"/>
      <c r="I556" s="179"/>
      <c r="J556" s="189"/>
      <c r="K556" s="189"/>
      <c r="M556" s="189"/>
      <c r="N556" s="189"/>
      <c r="Q556" s="179"/>
      <c r="S556" s="189"/>
      <c r="T556" s="189"/>
      <c r="V556" s="189"/>
      <c r="W556" s="189"/>
      <c r="Z556" s="179"/>
      <c r="AA556" s="189"/>
      <c r="AB556" s="189"/>
      <c r="AD556" s="189"/>
      <c r="AE556" s="189"/>
      <c r="AH556" s="179"/>
      <c r="AJ556" s="191"/>
      <c r="AK556" s="191"/>
      <c r="AM556" s="191"/>
      <c r="AN556" s="191"/>
      <c r="AQ556" s="179"/>
      <c r="AR556" s="192"/>
      <c r="AS556" s="192"/>
      <c r="AU556" s="192"/>
      <c r="AV556" s="192"/>
      <c r="AY556" s="179"/>
      <c r="BA556" s="192"/>
      <c r="BB556" s="192"/>
      <c r="BD556" s="192"/>
      <c r="BE556" s="192"/>
      <c r="BH556" s="179"/>
      <c r="BI556" s="192"/>
      <c r="BJ556" s="192"/>
      <c r="BL556" s="192"/>
      <c r="BM556" s="192"/>
      <c r="BP556" s="179"/>
    </row>
    <row r="557">
      <c r="B557" s="189"/>
      <c r="C557" s="189"/>
      <c r="E557" s="189"/>
      <c r="F557" s="189"/>
      <c r="I557" s="179"/>
      <c r="J557" s="189"/>
      <c r="K557" s="189"/>
      <c r="M557" s="189"/>
      <c r="N557" s="189"/>
      <c r="Q557" s="179"/>
      <c r="S557" s="189"/>
      <c r="T557" s="189"/>
      <c r="V557" s="189"/>
      <c r="W557" s="189"/>
      <c r="Z557" s="179"/>
      <c r="AA557" s="189"/>
      <c r="AB557" s="189"/>
      <c r="AD557" s="189"/>
      <c r="AE557" s="189"/>
      <c r="AH557" s="179"/>
      <c r="AJ557" s="191"/>
      <c r="AK557" s="191"/>
      <c r="AM557" s="191"/>
      <c r="AN557" s="191"/>
      <c r="AQ557" s="179"/>
      <c r="AR557" s="192"/>
      <c r="AS557" s="192"/>
      <c r="AU557" s="192"/>
      <c r="AV557" s="192"/>
      <c r="AY557" s="179"/>
      <c r="BA557" s="192"/>
      <c r="BB557" s="192"/>
      <c r="BD557" s="192"/>
      <c r="BE557" s="192"/>
      <c r="BH557" s="179"/>
      <c r="BI557" s="192"/>
      <c r="BJ557" s="192"/>
      <c r="BL557" s="192"/>
      <c r="BM557" s="192"/>
      <c r="BP557" s="179"/>
    </row>
    <row r="558">
      <c r="B558" s="189"/>
      <c r="C558" s="189"/>
      <c r="E558" s="189"/>
      <c r="F558" s="189"/>
      <c r="I558" s="179"/>
      <c r="J558" s="189"/>
      <c r="K558" s="189"/>
      <c r="M558" s="189"/>
      <c r="N558" s="189"/>
      <c r="Q558" s="179"/>
      <c r="S558" s="189"/>
      <c r="T558" s="189"/>
      <c r="V558" s="189"/>
      <c r="W558" s="189"/>
      <c r="Z558" s="179"/>
      <c r="AA558" s="189"/>
      <c r="AB558" s="189"/>
      <c r="AD558" s="189"/>
      <c r="AE558" s="189"/>
      <c r="AH558" s="179"/>
      <c r="AJ558" s="191"/>
      <c r="AK558" s="191"/>
      <c r="AM558" s="191"/>
      <c r="AN558" s="191"/>
      <c r="AQ558" s="179"/>
      <c r="AR558" s="192"/>
      <c r="AS558" s="192"/>
      <c r="AU558" s="192"/>
      <c r="AV558" s="192"/>
      <c r="AY558" s="179"/>
      <c r="BA558" s="192"/>
      <c r="BB558" s="192"/>
      <c r="BD558" s="192"/>
      <c r="BE558" s="192"/>
      <c r="BH558" s="179"/>
      <c r="BI558" s="192"/>
      <c r="BJ558" s="192"/>
      <c r="BL558" s="192"/>
      <c r="BM558" s="192"/>
      <c r="BP558" s="179"/>
    </row>
    <row r="559">
      <c r="B559" s="189"/>
      <c r="C559" s="189"/>
      <c r="E559" s="189"/>
      <c r="F559" s="189"/>
      <c r="I559" s="179"/>
      <c r="J559" s="189"/>
      <c r="K559" s="189"/>
      <c r="M559" s="189"/>
      <c r="N559" s="189"/>
      <c r="Q559" s="179"/>
      <c r="S559" s="189"/>
      <c r="T559" s="189"/>
      <c r="V559" s="189"/>
      <c r="W559" s="189"/>
      <c r="Z559" s="179"/>
      <c r="AA559" s="189"/>
      <c r="AB559" s="189"/>
      <c r="AD559" s="189"/>
      <c r="AE559" s="189"/>
      <c r="AH559" s="179"/>
      <c r="AJ559" s="191"/>
      <c r="AK559" s="191"/>
      <c r="AM559" s="191"/>
      <c r="AN559" s="191"/>
      <c r="AQ559" s="179"/>
      <c r="AR559" s="192"/>
      <c r="AS559" s="192"/>
      <c r="AU559" s="192"/>
      <c r="AV559" s="192"/>
      <c r="AY559" s="179"/>
      <c r="BA559" s="192"/>
      <c r="BB559" s="192"/>
      <c r="BD559" s="192"/>
      <c r="BE559" s="192"/>
      <c r="BH559" s="179"/>
      <c r="BI559" s="192"/>
      <c r="BJ559" s="192"/>
      <c r="BL559" s="192"/>
      <c r="BM559" s="192"/>
      <c r="BP559" s="179"/>
    </row>
    <row r="560">
      <c r="B560" s="189"/>
      <c r="C560" s="189"/>
      <c r="E560" s="189"/>
      <c r="F560" s="189"/>
      <c r="I560" s="179"/>
      <c r="J560" s="189"/>
      <c r="K560" s="189"/>
      <c r="M560" s="189"/>
      <c r="N560" s="189"/>
      <c r="Q560" s="179"/>
      <c r="S560" s="189"/>
      <c r="T560" s="189"/>
      <c r="V560" s="189"/>
      <c r="W560" s="189"/>
      <c r="Z560" s="179"/>
      <c r="AA560" s="189"/>
      <c r="AB560" s="189"/>
      <c r="AD560" s="189"/>
      <c r="AE560" s="189"/>
      <c r="AH560" s="179"/>
      <c r="AJ560" s="191"/>
      <c r="AK560" s="191"/>
      <c r="AM560" s="191"/>
      <c r="AN560" s="191"/>
      <c r="AQ560" s="179"/>
      <c r="AR560" s="192"/>
      <c r="AS560" s="192"/>
      <c r="AU560" s="192"/>
      <c r="AV560" s="192"/>
      <c r="AY560" s="179"/>
      <c r="BA560" s="192"/>
      <c r="BB560" s="192"/>
      <c r="BD560" s="192"/>
      <c r="BE560" s="192"/>
      <c r="BH560" s="179"/>
      <c r="BI560" s="192"/>
      <c r="BJ560" s="192"/>
      <c r="BL560" s="192"/>
      <c r="BM560" s="192"/>
      <c r="BP560" s="179"/>
    </row>
    <row r="561">
      <c r="B561" s="189"/>
      <c r="C561" s="189"/>
      <c r="E561" s="189"/>
      <c r="F561" s="189"/>
      <c r="I561" s="179"/>
      <c r="J561" s="189"/>
      <c r="K561" s="189"/>
      <c r="M561" s="189"/>
      <c r="N561" s="189"/>
      <c r="Q561" s="179"/>
      <c r="S561" s="189"/>
      <c r="T561" s="189"/>
      <c r="V561" s="189"/>
      <c r="W561" s="189"/>
      <c r="Z561" s="179"/>
      <c r="AA561" s="189"/>
      <c r="AB561" s="189"/>
      <c r="AD561" s="189"/>
      <c r="AE561" s="189"/>
      <c r="AH561" s="179"/>
      <c r="AJ561" s="191"/>
      <c r="AK561" s="191"/>
      <c r="AM561" s="191"/>
      <c r="AN561" s="191"/>
      <c r="AQ561" s="179"/>
      <c r="AR561" s="192"/>
      <c r="AS561" s="192"/>
      <c r="AU561" s="192"/>
      <c r="AV561" s="192"/>
      <c r="AY561" s="179"/>
      <c r="BA561" s="192"/>
      <c r="BB561" s="192"/>
      <c r="BD561" s="192"/>
      <c r="BE561" s="192"/>
      <c r="BH561" s="179"/>
      <c r="BI561" s="192"/>
      <c r="BJ561" s="192"/>
      <c r="BL561" s="192"/>
      <c r="BM561" s="192"/>
      <c r="BP561" s="179"/>
    </row>
    <row r="562">
      <c r="B562" s="189"/>
      <c r="C562" s="189"/>
      <c r="E562" s="189"/>
      <c r="F562" s="189"/>
      <c r="I562" s="179"/>
      <c r="J562" s="189"/>
      <c r="K562" s="189"/>
      <c r="M562" s="189"/>
      <c r="N562" s="189"/>
      <c r="Q562" s="179"/>
      <c r="S562" s="189"/>
      <c r="T562" s="189"/>
      <c r="V562" s="189"/>
      <c r="W562" s="189"/>
      <c r="Z562" s="179"/>
      <c r="AA562" s="189"/>
      <c r="AB562" s="189"/>
      <c r="AD562" s="189"/>
      <c r="AE562" s="189"/>
      <c r="AH562" s="179"/>
      <c r="AJ562" s="191"/>
      <c r="AK562" s="191"/>
      <c r="AM562" s="191"/>
      <c r="AN562" s="191"/>
      <c r="AQ562" s="179"/>
      <c r="AR562" s="192"/>
      <c r="AS562" s="192"/>
      <c r="AU562" s="192"/>
      <c r="AV562" s="192"/>
      <c r="AY562" s="179"/>
      <c r="BA562" s="192"/>
      <c r="BB562" s="192"/>
      <c r="BD562" s="192"/>
      <c r="BE562" s="192"/>
      <c r="BH562" s="179"/>
      <c r="BI562" s="192"/>
      <c r="BJ562" s="192"/>
      <c r="BL562" s="192"/>
      <c r="BM562" s="192"/>
      <c r="BP562" s="179"/>
    </row>
    <row r="563">
      <c r="B563" s="189"/>
      <c r="C563" s="189"/>
      <c r="E563" s="189"/>
      <c r="F563" s="189"/>
      <c r="I563" s="179"/>
      <c r="J563" s="189"/>
      <c r="K563" s="189"/>
      <c r="M563" s="189"/>
      <c r="N563" s="189"/>
      <c r="Q563" s="179"/>
      <c r="S563" s="189"/>
      <c r="T563" s="189"/>
      <c r="V563" s="189"/>
      <c r="W563" s="189"/>
      <c r="Z563" s="179"/>
      <c r="AA563" s="189"/>
      <c r="AB563" s="189"/>
      <c r="AD563" s="189"/>
      <c r="AE563" s="189"/>
      <c r="AH563" s="179"/>
      <c r="AJ563" s="191"/>
      <c r="AK563" s="191"/>
      <c r="AM563" s="191"/>
      <c r="AN563" s="191"/>
      <c r="AQ563" s="179"/>
      <c r="AR563" s="192"/>
      <c r="AS563" s="192"/>
      <c r="AU563" s="192"/>
      <c r="AV563" s="192"/>
      <c r="AY563" s="179"/>
      <c r="BA563" s="192"/>
      <c r="BB563" s="192"/>
      <c r="BD563" s="192"/>
      <c r="BE563" s="192"/>
      <c r="BH563" s="179"/>
      <c r="BI563" s="192"/>
      <c r="BJ563" s="192"/>
      <c r="BL563" s="192"/>
      <c r="BM563" s="192"/>
      <c r="BP563" s="179"/>
    </row>
    <row r="564">
      <c r="B564" s="189"/>
      <c r="C564" s="189"/>
      <c r="E564" s="189"/>
      <c r="F564" s="189"/>
      <c r="I564" s="179"/>
      <c r="J564" s="189"/>
      <c r="K564" s="189"/>
      <c r="M564" s="189"/>
      <c r="N564" s="189"/>
      <c r="Q564" s="179"/>
      <c r="S564" s="189"/>
      <c r="T564" s="189"/>
      <c r="V564" s="189"/>
      <c r="W564" s="189"/>
      <c r="Z564" s="179"/>
      <c r="AA564" s="189"/>
      <c r="AB564" s="189"/>
      <c r="AD564" s="189"/>
      <c r="AE564" s="189"/>
      <c r="AH564" s="179"/>
      <c r="AJ564" s="191"/>
      <c r="AK564" s="191"/>
      <c r="AM564" s="191"/>
      <c r="AN564" s="191"/>
      <c r="AQ564" s="179"/>
      <c r="AR564" s="192"/>
      <c r="AS564" s="192"/>
      <c r="AU564" s="192"/>
      <c r="AV564" s="192"/>
      <c r="AY564" s="179"/>
      <c r="BA564" s="192"/>
      <c r="BB564" s="192"/>
      <c r="BD564" s="192"/>
      <c r="BE564" s="192"/>
      <c r="BH564" s="179"/>
      <c r="BI564" s="192"/>
      <c r="BJ564" s="192"/>
      <c r="BL564" s="192"/>
      <c r="BM564" s="192"/>
      <c r="BP564" s="179"/>
    </row>
    <row r="565">
      <c r="B565" s="189"/>
      <c r="C565" s="189"/>
      <c r="E565" s="189"/>
      <c r="F565" s="189"/>
      <c r="I565" s="179"/>
      <c r="J565" s="189"/>
      <c r="K565" s="189"/>
      <c r="M565" s="189"/>
      <c r="N565" s="189"/>
      <c r="Q565" s="179"/>
      <c r="S565" s="189"/>
      <c r="T565" s="189"/>
      <c r="V565" s="189"/>
      <c r="W565" s="189"/>
      <c r="Z565" s="179"/>
      <c r="AA565" s="189"/>
      <c r="AB565" s="189"/>
      <c r="AD565" s="189"/>
      <c r="AE565" s="189"/>
      <c r="AH565" s="179"/>
      <c r="AJ565" s="191"/>
      <c r="AK565" s="191"/>
      <c r="AM565" s="191"/>
      <c r="AN565" s="191"/>
      <c r="AQ565" s="179"/>
      <c r="AR565" s="192"/>
      <c r="AS565" s="192"/>
      <c r="AU565" s="192"/>
      <c r="AV565" s="192"/>
      <c r="AY565" s="179"/>
      <c r="BA565" s="192"/>
      <c r="BB565" s="192"/>
      <c r="BD565" s="192"/>
      <c r="BE565" s="192"/>
      <c r="BH565" s="179"/>
      <c r="BI565" s="192"/>
      <c r="BJ565" s="192"/>
      <c r="BL565" s="192"/>
      <c r="BM565" s="192"/>
      <c r="BP565" s="179"/>
    </row>
    <row r="566">
      <c r="B566" s="189"/>
      <c r="C566" s="189"/>
      <c r="E566" s="189"/>
      <c r="F566" s="189"/>
      <c r="I566" s="179"/>
      <c r="J566" s="189"/>
      <c r="K566" s="189"/>
      <c r="M566" s="189"/>
      <c r="N566" s="189"/>
      <c r="Q566" s="179"/>
      <c r="S566" s="189"/>
      <c r="T566" s="189"/>
      <c r="V566" s="189"/>
      <c r="W566" s="189"/>
      <c r="Z566" s="179"/>
      <c r="AA566" s="189"/>
      <c r="AB566" s="189"/>
      <c r="AD566" s="189"/>
      <c r="AE566" s="189"/>
      <c r="AH566" s="179"/>
      <c r="AJ566" s="191"/>
      <c r="AK566" s="191"/>
      <c r="AM566" s="191"/>
      <c r="AN566" s="191"/>
      <c r="AQ566" s="179"/>
      <c r="AR566" s="192"/>
      <c r="AS566" s="192"/>
      <c r="AU566" s="192"/>
      <c r="AV566" s="192"/>
      <c r="AY566" s="179"/>
      <c r="BA566" s="192"/>
      <c r="BB566" s="192"/>
      <c r="BD566" s="192"/>
      <c r="BE566" s="192"/>
      <c r="BH566" s="179"/>
      <c r="BI566" s="192"/>
      <c r="BJ566" s="192"/>
      <c r="BL566" s="192"/>
      <c r="BM566" s="192"/>
      <c r="BP566" s="179"/>
    </row>
    <row r="567">
      <c r="B567" s="189"/>
      <c r="C567" s="189"/>
      <c r="E567" s="189"/>
      <c r="F567" s="189"/>
      <c r="I567" s="179"/>
      <c r="J567" s="189"/>
      <c r="K567" s="189"/>
      <c r="M567" s="189"/>
      <c r="N567" s="189"/>
      <c r="Q567" s="179"/>
      <c r="S567" s="189"/>
      <c r="T567" s="189"/>
      <c r="V567" s="189"/>
      <c r="W567" s="189"/>
      <c r="Z567" s="179"/>
      <c r="AA567" s="189"/>
      <c r="AB567" s="189"/>
      <c r="AD567" s="189"/>
      <c r="AE567" s="189"/>
      <c r="AH567" s="179"/>
      <c r="AJ567" s="191"/>
      <c r="AK567" s="191"/>
      <c r="AM567" s="191"/>
      <c r="AN567" s="191"/>
      <c r="AQ567" s="179"/>
      <c r="AR567" s="192"/>
      <c r="AS567" s="192"/>
      <c r="AU567" s="192"/>
      <c r="AV567" s="192"/>
      <c r="AY567" s="179"/>
      <c r="BA567" s="192"/>
      <c r="BB567" s="192"/>
      <c r="BD567" s="192"/>
      <c r="BE567" s="192"/>
      <c r="BH567" s="179"/>
      <c r="BI567" s="192"/>
      <c r="BJ567" s="192"/>
      <c r="BL567" s="192"/>
      <c r="BM567" s="192"/>
      <c r="BP567" s="179"/>
    </row>
    <row r="568">
      <c r="B568" s="189"/>
      <c r="C568" s="189"/>
      <c r="E568" s="189"/>
      <c r="F568" s="189"/>
      <c r="I568" s="179"/>
      <c r="J568" s="189"/>
      <c r="K568" s="189"/>
      <c r="M568" s="189"/>
      <c r="N568" s="189"/>
      <c r="Q568" s="179"/>
      <c r="S568" s="189"/>
      <c r="T568" s="189"/>
      <c r="V568" s="189"/>
      <c r="W568" s="189"/>
      <c r="Z568" s="179"/>
      <c r="AA568" s="189"/>
      <c r="AB568" s="189"/>
      <c r="AD568" s="189"/>
      <c r="AE568" s="189"/>
      <c r="AH568" s="179"/>
      <c r="AJ568" s="191"/>
      <c r="AK568" s="191"/>
      <c r="AM568" s="191"/>
      <c r="AN568" s="191"/>
      <c r="AQ568" s="179"/>
      <c r="AR568" s="192"/>
      <c r="AS568" s="192"/>
      <c r="AU568" s="192"/>
      <c r="AV568" s="192"/>
      <c r="AY568" s="179"/>
      <c r="BA568" s="192"/>
      <c r="BB568" s="192"/>
      <c r="BD568" s="192"/>
      <c r="BE568" s="192"/>
      <c r="BH568" s="179"/>
      <c r="BI568" s="192"/>
      <c r="BJ568" s="192"/>
      <c r="BL568" s="192"/>
      <c r="BM568" s="192"/>
      <c r="BP568" s="179"/>
    </row>
    <row r="569">
      <c r="B569" s="189"/>
      <c r="C569" s="189"/>
      <c r="E569" s="189"/>
      <c r="F569" s="189"/>
      <c r="I569" s="179"/>
      <c r="J569" s="189"/>
      <c r="K569" s="189"/>
      <c r="M569" s="189"/>
      <c r="N569" s="189"/>
      <c r="Q569" s="179"/>
      <c r="S569" s="189"/>
      <c r="T569" s="189"/>
      <c r="V569" s="189"/>
      <c r="W569" s="189"/>
      <c r="Z569" s="179"/>
      <c r="AA569" s="189"/>
      <c r="AB569" s="189"/>
      <c r="AD569" s="189"/>
      <c r="AE569" s="189"/>
      <c r="AH569" s="179"/>
      <c r="AJ569" s="191"/>
      <c r="AK569" s="191"/>
      <c r="AM569" s="191"/>
      <c r="AN569" s="191"/>
      <c r="AQ569" s="179"/>
      <c r="AR569" s="192"/>
      <c r="AS569" s="192"/>
      <c r="AU569" s="192"/>
      <c r="AV569" s="192"/>
      <c r="AY569" s="179"/>
      <c r="BA569" s="192"/>
      <c r="BB569" s="192"/>
      <c r="BD569" s="192"/>
      <c r="BE569" s="192"/>
      <c r="BH569" s="179"/>
      <c r="BI569" s="192"/>
      <c r="BJ569" s="192"/>
      <c r="BL569" s="192"/>
      <c r="BM569" s="192"/>
      <c r="BP569" s="179"/>
    </row>
    <row r="570">
      <c r="B570" s="189"/>
      <c r="C570" s="189"/>
      <c r="E570" s="189"/>
      <c r="F570" s="189"/>
      <c r="I570" s="179"/>
      <c r="J570" s="189"/>
      <c r="K570" s="189"/>
      <c r="M570" s="189"/>
      <c r="N570" s="189"/>
      <c r="Q570" s="179"/>
      <c r="S570" s="189"/>
      <c r="T570" s="189"/>
      <c r="V570" s="189"/>
      <c r="W570" s="189"/>
      <c r="Z570" s="179"/>
      <c r="AA570" s="189"/>
      <c r="AB570" s="189"/>
      <c r="AD570" s="189"/>
      <c r="AE570" s="189"/>
      <c r="AH570" s="179"/>
      <c r="AJ570" s="191"/>
      <c r="AK570" s="191"/>
      <c r="AM570" s="191"/>
      <c r="AN570" s="191"/>
      <c r="AQ570" s="179"/>
      <c r="AR570" s="192"/>
      <c r="AS570" s="192"/>
      <c r="AU570" s="192"/>
      <c r="AV570" s="192"/>
      <c r="AY570" s="179"/>
      <c r="BA570" s="192"/>
      <c r="BB570" s="192"/>
      <c r="BD570" s="192"/>
      <c r="BE570" s="192"/>
      <c r="BH570" s="179"/>
      <c r="BI570" s="192"/>
      <c r="BJ570" s="192"/>
      <c r="BL570" s="192"/>
      <c r="BM570" s="192"/>
      <c r="BP570" s="179"/>
    </row>
    <row r="571">
      <c r="B571" s="189"/>
      <c r="C571" s="189"/>
      <c r="E571" s="189"/>
      <c r="F571" s="189"/>
      <c r="I571" s="179"/>
      <c r="J571" s="189"/>
      <c r="K571" s="189"/>
      <c r="M571" s="189"/>
      <c r="N571" s="189"/>
      <c r="Q571" s="179"/>
      <c r="S571" s="189"/>
      <c r="T571" s="189"/>
      <c r="V571" s="189"/>
      <c r="W571" s="189"/>
      <c r="Z571" s="179"/>
      <c r="AA571" s="189"/>
      <c r="AB571" s="189"/>
      <c r="AD571" s="189"/>
      <c r="AE571" s="189"/>
      <c r="AH571" s="179"/>
      <c r="AJ571" s="191"/>
      <c r="AK571" s="191"/>
      <c r="AM571" s="191"/>
      <c r="AN571" s="191"/>
      <c r="AQ571" s="179"/>
      <c r="AR571" s="192"/>
      <c r="AS571" s="192"/>
      <c r="AU571" s="192"/>
      <c r="AV571" s="192"/>
      <c r="AY571" s="179"/>
      <c r="BA571" s="192"/>
      <c r="BB571" s="192"/>
      <c r="BD571" s="192"/>
      <c r="BE571" s="192"/>
      <c r="BH571" s="179"/>
      <c r="BI571" s="192"/>
      <c r="BJ571" s="192"/>
      <c r="BL571" s="192"/>
      <c r="BM571" s="192"/>
      <c r="BP571" s="179"/>
    </row>
    <row r="572">
      <c r="B572" s="189"/>
      <c r="C572" s="189"/>
      <c r="E572" s="189"/>
      <c r="F572" s="189"/>
      <c r="I572" s="179"/>
      <c r="J572" s="189"/>
      <c r="K572" s="189"/>
      <c r="M572" s="189"/>
      <c r="N572" s="189"/>
      <c r="Q572" s="179"/>
      <c r="S572" s="189"/>
      <c r="T572" s="189"/>
      <c r="V572" s="189"/>
      <c r="W572" s="189"/>
      <c r="Z572" s="179"/>
      <c r="AA572" s="189"/>
      <c r="AB572" s="189"/>
      <c r="AD572" s="189"/>
      <c r="AE572" s="189"/>
      <c r="AH572" s="179"/>
      <c r="AJ572" s="191"/>
      <c r="AK572" s="191"/>
      <c r="AM572" s="191"/>
      <c r="AN572" s="191"/>
      <c r="AQ572" s="179"/>
      <c r="AR572" s="192"/>
      <c r="AS572" s="192"/>
      <c r="AU572" s="192"/>
      <c r="AV572" s="192"/>
      <c r="AY572" s="179"/>
      <c r="BA572" s="192"/>
      <c r="BB572" s="192"/>
      <c r="BD572" s="192"/>
      <c r="BE572" s="192"/>
      <c r="BH572" s="179"/>
      <c r="BI572" s="192"/>
      <c r="BJ572" s="192"/>
      <c r="BL572" s="192"/>
      <c r="BM572" s="192"/>
      <c r="BP572" s="179"/>
    </row>
    <row r="573">
      <c r="B573" s="189"/>
      <c r="C573" s="189"/>
      <c r="E573" s="189"/>
      <c r="F573" s="189"/>
      <c r="I573" s="179"/>
      <c r="J573" s="189"/>
      <c r="K573" s="189"/>
      <c r="M573" s="189"/>
      <c r="N573" s="189"/>
      <c r="Q573" s="179"/>
      <c r="S573" s="189"/>
      <c r="T573" s="189"/>
      <c r="V573" s="189"/>
      <c r="W573" s="189"/>
      <c r="Z573" s="179"/>
      <c r="AA573" s="189"/>
      <c r="AB573" s="189"/>
      <c r="AD573" s="189"/>
      <c r="AE573" s="189"/>
      <c r="AH573" s="179"/>
      <c r="AJ573" s="191"/>
      <c r="AK573" s="191"/>
      <c r="AM573" s="191"/>
      <c r="AN573" s="191"/>
      <c r="AQ573" s="179"/>
      <c r="AR573" s="192"/>
      <c r="AS573" s="192"/>
      <c r="AU573" s="192"/>
      <c r="AV573" s="192"/>
      <c r="AY573" s="179"/>
      <c r="BA573" s="192"/>
      <c r="BB573" s="192"/>
      <c r="BD573" s="192"/>
      <c r="BE573" s="192"/>
      <c r="BH573" s="179"/>
      <c r="BI573" s="192"/>
      <c r="BJ573" s="192"/>
      <c r="BL573" s="192"/>
      <c r="BM573" s="192"/>
      <c r="BP573" s="179"/>
    </row>
    <row r="574">
      <c r="B574" s="189"/>
      <c r="C574" s="189"/>
      <c r="E574" s="189"/>
      <c r="F574" s="189"/>
      <c r="I574" s="179"/>
      <c r="J574" s="189"/>
      <c r="K574" s="189"/>
      <c r="M574" s="189"/>
      <c r="N574" s="189"/>
      <c r="Q574" s="179"/>
      <c r="S574" s="189"/>
      <c r="T574" s="189"/>
      <c r="V574" s="189"/>
      <c r="W574" s="189"/>
      <c r="Z574" s="179"/>
      <c r="AA574" s="189"/>
      <c r="AB574" s="189"/>
      <c r="AD574" s="189"/>
      <c r="AE574" s="189"/>
      <c r="AH574" s="179"/>
      <c r="AJ574" s="191"/>
      <c r="AK574" s="191"/>
      <c r="AM574" s="191"/>
      <c r="AN574" s="191"/>
      <c r="AQ574" s="179"/>
      <c r="AR574" s="192"/>
      <c r="AS574" s="192"/>
      <c r="AU574" s="192"/>
      <c r="AV574" s="192"/>
      <c r="AY574" s="179"/>
      <c r="BA574" s="192"/>
      <c r="BB574" s="192"/>
      <c r="BD574" s="192"/>
      <c r="BE574" s="192"/>
      <c r="BH574" s="179"/>
      <c r="BI574" s="192"/>
      <c r="BJ574" s="192"/>
      <c r="BL574" s="192"/>
      <c r="BM574" s="192"/>
      <c r="BP574" s="179"/>
    </row>
    <row r="575">
      <c r="B575" s="189"/>
      <c r="C575" s="189"/>
      <c r="E575" s="189"/>
      <c r="F575" s="189"/>
      <c r="I575" s="179"/>
      <c r="J575" s="189"/>
      <c r="K575" s="189"/>
      <c r="M575" s="189"/>
      <c r="N575" s="189"/>
      <c r="Q575" s="179"/>
      <c r="S575" s="189"/>
      <c r="T575" s="189"/>
      <c r="V575" s="189"/>
      <c r="W575" s="189"/>
      <c r="Z575" s="179"/>
      <c r="AA575" s="189"/>
      <c r="AB575" s="189"/>
      <c r="AD575" s="189"/>
      <c r="AE575" s="189"/>
      <c r="AH575" s="179"/>
      <c r="AJ575" s="191"/>
      <c r="AK575" s="191"/>
      <c r="AM575" s="191"/>
      <c r="AN575" s="191"/>
      <c r="AQ575" s="179"/>
      <c r="AR575" s="192"/>
      <c r="AS575" s="192"/>
      <c r="AU575" s="192"/>
      <c r="AV575" s="192"/>
      <c r="AY575" s="179"/>
      <c r="BA575" s="192"/>
      <c r="BB575" s="192"/>
      <c r="BD575" s="192"/>
      <c r="BE575" s="192"/>
      <c r="BH575" s="179"/>
      <c r="BI575" s="192"/>
      <c r="BJ575" s="192"/>
      <c r="BL575" s="192"/>
      <c r="BM575" s="192"/>
      <c r="BP575" s="179"/>
    </row>
    <row r="576">
      <c r="B576" s="189"/>
      <c r="C576" s="189"/>
      <c r="E576" s="189"/>
      <c r="F576" s="189"/>
      <c r="I576" s="179"/>
      <c r="J576" s="189"/>
      <c r="K576" s="189"/>
      <c r="M576" s="189"/>
      <c r="N576" s="189"/>
      <c r="Q576" s="179"/>
      <c r="S576" s="189"/>
      <c r="T576" s="189"/>
      <c r="V576" s="189"/>
      <c r="W576" s="189"/>
      <c r="Z576" s="179"/>
      <c r="AA576" s="189"/>
      <c r="AB576" s="189"/>
      <c r="AD576" s="189"/>
      <c r="AE576" s="189"/>
      <c r="AH576" s="179"/>
      <c r="AJ576" s="191"/>
      <c r="AK576" s="191"/>
      <c r="AM576" s="191"/>
      <c r="AN576" s="191"/>
      <c r="AQ576" s="179"/>
      <c r="AR576" s="192"/>
      <c r="AS576" s="192"/>
      <c r="AU576" s="192"/>
      <c r="AV576" s="192"/>
      <c r="AY576" s="179"/>
      <c r="BA576" s="192"/>
      <c r="BB576" s="192"/>
      <c r="BD576" s="192"/>
      <c r="BE576" s="192"/>
      <c r="BH576" s="179"/>
      <c r="BI576" s="192"/>
      <c r="BJ576" s="192"/>
      <c r="BL576" s="192"/>
      <c r="BM576" s="192"/>
      <c r="BP576" s="179"/>
    </row>
    <row r="577">
      <c r="B577" s="189"/>
      <c r="C577" s="189"/>
      <c r="E577" s="189"/>
      <c r="F577" s="189"/>
      <c r="I577" s="179"/>
      <c r="J577" s="189"/>
      <c r="K577" s="189"/>
      <c r="M577" s="189"/>
      <c r="N577" s="189"/>
      <c r="Q577" s="179"/>
      <c r="S577" s="189"/>
      <c r="T577" s="189"/>
      <c r="V577" s="189"/>
      <c r="W577" s="189"/>
      <c r="Z577" s="179"/>
      <c r="AA577" s="189"/>
      <c r="AB577" s="189"/>
      <c r="AD577" s="189"/>
      <c r="AE577" s="189"/>
      <c r="AH577" s="179"/>
      <c r="AJ577" s="191"/>
      <c r="AK577" s="191"/>
      <c r="AM577" s="191"/>
      <c r="AN577" s="191"/>
      <c r="AQ577" s="179"/>
      <c r="AR577" s="192"/>
      <c r="AS577" s="192"/>
      <c r="AU577" s="192"/>
      <c r="AV577" s="192"/>
      <c r="AY577" s="179"/>
      <c r="BA577" s="192"/>
      <c r="BB577" s="192"/>
      <c r="BD577" s="192"/>
      <c r="BE577" s="192"/>
      <c r="BH577" s="179"/>
      <c r="BI577" s="192"/>
      <c r="BJ577" s="192"/>
      <c r="BL577" s="192"/>
      <c r="BM577" s="192"/>
      <c r="BP577" s="179"/>
    </row>
    <row r="578">
      <c r="B578" s="189"/>
      <c r="C578" s="189"/>
      <c r="E578" s="189"/>
      <c r="F578" s="189"/>
      <c r="I578" s="179"/>
      <c r="J578" s="189"/>
      <c r="K578" s="189"/>
      <c r="M578" s="189"/>
      <c r="N578" s="189"/>
      <c r="Q578" s="179"/>
      <c r="S578" s="189"/>
      <c r="T578" s="189"/>
      <c r="V578" s="189"/>
      <c r="W578" s="189"/>
      <c r="Z578" s="179"/>
      <c r="AA578" s="189"/>
      <c r="AB578" s="189"/>
      <c r="AD578" s="189"/>
      <c r="AE578" s="189"/>
      <c r="AH578" s="179"/>
      <c r="AJ578" s="191"/>
      <c r="AK578" s="191"/>
      <c r="AM578" s="191"/>
      <c r="AN578" s="191"/>
      <c r="AQ578" s="179"/>
      <c r="AR578" s="192"/>
      <c r="AS578" s="192"/>
      <c r="AU578" s="192"/>
      <c r="AV578" s="192"/>
      <c r="AY578" s="179"/>
      <c r="BA578" s="192"/>
      <c r="BB578" s="192"/>
      <c r="BD578" s="192"/>
      <c r="BE578" s="192"/>
      <c r="BH578" s="179"/>
      <c r="BI578" s="192"/>
      <c r="BJ578" s="192"/>
      <c r="BL578" s="192"/>
      <c r="BM578" s="192"/>
      <c r="BP578" s="179"/>
    </row>
    <row r="579">
      <c r="B579" s="189"/>
      <c r="C579" s="189"/>
      <c r="E579" s="189"/>
      <c r="F579" s="189"/>
      <c r="I579" s="179"/>
      <c r="J579" s="189"/>
      <c r="K579" s="189"/>
      <c r="M579" s="189"/>
      <c r="N579" s="189"/>
      <c r="Q579" s="179"/>
      <c r="S579" s="189"/>
      <c r="T579" s="189"/>
      <c r="V579" s="189"/>
      <c r="W579" s="189"/>
      <c r="Z579" s="179"/>
      <c r="AA579" s="189"/>
      <c r="AB579" s="189"/>
      <c r="AD579" s="189"/>
      <c r="AE579" s="189"/>
      <c r="AH579" s="179"/>
      <c r="AJ579" s="191"/>
      <c r="AK579" s="191"/>
      <c r="AM579" s="191"/>
      <c r="AN579" s="191"/>
      <c r="AQ579" s="179"/>
      <c r="AR579" s="192"/>
      <c r="AS579" s="192"/>
      <c r="AU579" s="192"/>
      <c r="AV579" s="192"/>
      <c r="AY579" s="179"/>
      <c r="BA579" s="192"/>
      <c r="BB579" s="192"/>
      <c r="BD579" s="192"/>
      <c r="BE579" s="192"/>
      <c r="BH579" s="179"/>
      <c r="BI579" s="192"/>
      <c r="BJ579" s="192"/>
      <c r="BL579" s="192"/>
      <c r="BM579" s="192"/>
      <c r="BP579" s="179"/>
    </row>
    <row r="580">
      <c r="B580" s="189"/>
      <c r="C580" s="189"/>
      <c r="E580" s="189"/>
      <c r="F580" s="189"/>
      <c r="I580" s="179"/>
      <c r="J580" s="189"/>
      <c r="K580" s="189"/>
      <c r="M580" s="189"/>
      <c r="N580" s="189"/>
      <c r="Q580" s="179"/>
      <c r="S580" s="189"/>
      <c r="T580" s="189"/>
      <c r="V580" s="189"/>
      <c r="W580" s="189"/>
      <c r="Z580" s="179"/>
      <c r="AA580" s="189"/>
      <c r="AB580" s="189"/>
      <c r="AD580" s="189"/>
      <c r="AE580" s="189"/>
      <c r="AH580" s="179"/>
      <c r="AJ580" s="191"/>
      <c r="AK580" s="191"/>
      <c r="AM580" s="191"/>
      <c r="AN580" s="191"/>
      <c r="AQ580" s="179"/>
      <c r="AR580" s="192"/>
      <c r="AS580" s="192"/>
      <c r="AU580" s="192"/>
      <c r="AV580" s="192"/>
      <c r="AY580" s="179"/>
      <c r="BA580" s="192"/>
      <c r="BB580" s="192"/>
      <c r="BD580" s="192"/>
      <c r="BE580" s="192"/>
      <c r="BH580" s="179"/>
      <c r="BI580" s="192"/>
      <c r="BJ580" s="192"/>
      <c r="BL580" s="192"/>
      <c r="BM580" s="192"/>
      <c r="BP580" s="179"/>
    </row>
    <row r="581">
      <c r="B581" s="189"/>
      <c r="C581" s="189"/>
      <c r="E581" s="189"/>
      <c r="F581" s="189"/>
      <c r="I581" s="179"/>
      <c r="J581" s="189"/>
      <c r="K581" s="189"/>
      <c r="M581" s="189"/>
      <c r="N581" s="189"/>
      <c r="Q581" s="179"/>
      <c r="S581" s="189"/>
      <c r="T581" s="189"/>
      <c r="V581" s="189"/>
      <c r="W581" s="189"/>
      <c r="Z581" s="179"/>
      <c r="AA581" s="189"/>
      <c r="AB581" s="189"/>
      <c r="AD581" s="189"/>
      <c r="AE581" s="189"/>
      <c r="AH581" s="179"/>
      <c r="AJ581" s="191"/>
      <c r="AK581" s="191"/>
      <c r="AM581" s="191"/>
      <c r="AN581" s="191"/>
      <c r="AQ581" s="179"/>
      <c r="AR581" s="192"/>
      <c r="AS581" s="192"/>
      <c r="AU581" s="192"/>
      <c r="AV581" s="192"/>
      <c r="AY581" s="179"/>
      <c r="BA581" s="192"/>
      <c r="BB581" s="192"/>
      <c r="BD581" s="192"/>
      <c r="BE581" s="192"/>
      <c r="BH581" s="179"/>
      <c r="BI581" s="192"/>
      <c r="BJ581" s="192"/>
      <c r="BL581" s="192"/>
      <c r="BM581" s="192"/>
      <c r="BP581" s="179"/>
    </row>
    <row r="582">
      <c r="B582" s="189"/>
      <c r="C582" s="189"/>
      <c r="E582" s="189"/>
      <c r="F582" s="189"/>
      <c r="I582" s="179"/>
      <c r="J582" s="189"/>
      <c r="K582" s="189"/>
      <c r="M582" s="189"/>
      <c r="N582" s="189"/>
      <c r="Q582" s="179"/>
      <c r="S582" s="189"/>
      <c r="T582" s="189"/>
      <c r="V582" s="189"/>
      <c r="W582" s="189"/>
      <c r="Z582" s="179"/>
      <c r="AA582" s="189"/>
      <c r="AB582" s="189"/>
      <c r="AD582" s="189"/>
      <c r="AE582" s="189"/>
      <c r="AH582" s="179"/>
      <c r="AJ582" s="191"/>
      <c r="AK582" s="191"/>
      <c r="AM582" s="191"/>
      <c r="AN582" s="191"/>
      <c r="AQ582" s="179"/>
      <c r="AR582" s="192"/>
      <c r="AS582" s="192"/>
      <c r="AU582" s="192"/>
      <c r="AV582" s="192"/>
      <c r="AY582" s="179"/>
      <c r="BA582" s="192"/>
      <c r="BB582" s="192"/>
      <c r="BD582" s="192"/>
      <c r="BE582" s="192"/>
      <c r="BH582" s="179"/>
      <c r="BI582" s="192"/>
      <c r="BJ582" s="192"/>
      <c r="BL582" s="192"/>
      <c r="BM582" s="192"/>
      <c r="BP582" s="179"/>
    </row>
    <row r="583">
      <c r="B583" s="189"/>
      <c r="C583" s="189"/>
      <c r="E583" s="189"/>
      <c r="F583" s="189"/>
      <c r="I583" s="179"/>
      <c r="J583" s="189"/>
      <c r="K583" s="189"/>
      <c r="M583" s="189"/>
      <c r="N583" s="189"/>
      <c r="Q583" s="179"/>
      <c r="S583" s="189"/>
      <c r="T583" s="189"/>
      <c r="V583" s="189"/>
      <c r="W583" s="189"/>
      <c r="Z583" s="179"/>
      <c r="AA583" s="189"/>
      <c r="AB583" s="189"/>
      <c r="AD583" s="189"/>
      <c r="AE583" s="189"/>
      <c r="AH583" s="179"/>
      <c r="AJ583" s="191"/>
      <c r="AK583" s="191"/>
      <c r="AM583" s="191"/>
      <c r="AN583" s="191"/>
      <c r="AQ583" s="179"/>
      <c r="AR583" s="192"/>
      <c r="AS583" s="192"/>
      <c r="AU583" s="192"/>
      <c r="AV583" s="192"/>
      <c r="AY583" s="179"/>
      <c r="BA583" s="192"/>
      <c r="BB583" s="192"/>
      <c r="BD583" s="192"/>
      <c r="BE583" s="192"/>
      <c r="BH583" s="179"/>
      <c r="BI583" s="192"/>
      <c r="BJ583" s="192"/>
      <c r="BL583" s="192"/>
      <c r="BM583" s="192"/>
      <c r="BP583" s="179"/>
    </row>
    <row r="584">
      <c r="B584" s="189"/>
      <c r="C584" s="189"/>
      <c r="E584" s="189"/>
      <c r="F584" s="189"/>
      <c r="I584" s="179"/>
      <c r="J584" s="189"/>
      <c r="K584" s="189"/>
      <c r="M584" s="189"/>
      <c r="N584" s="189"/>
      <c r="Q584" s="179"/>
      <c r="S584" s="189"/>
      <c r="T584" s="189"/>
      <c r="V584" s="189"/>
      <c r="W584" s="189"/>
      <c r="Z584" s="179"/>
      <c r="AA584" s="189"/>
      <c r="AB584" s="189"/>
      <c r="AD584" s="189"/>
      <c r="AE584" s="189"/>
      <c r="AH584" s="179"/>
      <c r="AJ584" s="191"/>
      <c r="AK584" s="191"/>
      <c r="AM584" s="191"/>
      <c r="AN584" s="191"/>
      <c r="AQ584" s="179"/>
      <c r="AR584" s="192"/>
      <c r="AS584" s="192"/>
      <c r="AU584" s="192"/>
      <c r="AV584" s="192"/>
      <c r="AY584" s="179"/>
      <c r="BA584" s="192"/>
      <c r="BB584" s="192"/>
      <c r="BD584" s="192"/>
      <c r="BE584" s="192"/>
      <c r="BH584" s="179"/>
      <c r="BI584" s="192"/>
      <c r="BJ584" s="192"/>
      <c r="BL584" s="192"/>
      <c r="BM584" s="192"/>
      <c r="BP584" s="179"/>
    </row>
    <row r="585">
      <c r="B585" s="189"/>
      <c r="C585" s="189"/>
      <c r="E585" s="189"/>
      <c r="F585" s="189"/>
      <c r="I585" s="179"/>
      <c r="J585" s="189"/>
      <c r="K585" s="189"/>
      <c r="M585" s="189"/>
      <c r="N585" s="189"/>
      <c r="Q585" s="179"/>
      <c r="S585" s="189"/>
      <c r="T585" s="189"/>
      <c r="V585" s="189"/>
      <c r="W585" s="189"/>
      <c r="Z585" s="179"/>
      <c r="AA585" s="189"/>
      <c r="AB585" s="189"/>
      <c r="AD585" s="189"/>
      <c r="AE585" s="189"/>
      <c r="AH585" s="179"/>
      <c r="AJ585" s="191"/>
      <c r="AK585" s="191"/>
      <c r="AM585" s="191"/>
      <c r="AN585" s="191"/>
      <c r="AQ585" s="179"/>
      <c r="AR585" s="192"/>
      <c r="AS585" s="192"/>
      <c r="AU585" s="192"/>
      <c r="AV585" s="192"/>
      <c r="AY585" s="179"/>
      <c r="BA585" s="192"/>
      <c r="BB585" s="192"/>
      <c r="BD585" s="192"/>
      <c r="BE585" s="192"/>
      <c r="BH585" s="179"/>
      <c r="BI585" s="192"/>
      <c r="BJ585" s="192"/>
      <c r="BL585" s="192"/>
      <c r="BM585" s="192"/>
      <c r="BP585" s="179"/>
    </row>
    <row r="586">
      <c r="B586" s="189"/>
      <c r="C586" s="189"/>
      <c r="E586" s="189"/>
      <c r="F586" s="189"/>
      <c r="I586" s="179"/>
      <c r="J586" s="189"/>
      <c r="K586" s="189"/>
      <c r="M586" s="189"/>
      <c r="N586" s="189"/>
      <c r="Q586" s="179"/>
      <c r="S586" s="189"/>
      <c r="T586" s="189"/>
      <c r="V586" s="189"/>
      <c r="W586" s="189"/>
      <c r="Z586" s="179"/>
      <c r="AA586" s="189"/>
      <c r="AB586" s="189"/>
      <c r="AD586" s="189"/>
      <c r="AE586" s="189"/>
      <c r="AH586" s="179"/>
      <c r="AJ586" s="191"/>
      <c r="AK586" s="191"/>
      <c r="AM586" s="191"/>
      <c r="AN586" s="191"/>
      <c r="AQ586" s="179"/>
      <c r="AR586" s="192"/>
      <c r="AS586" s="192"/>
      <c r="AU586" s="192"/>
      <c r="AV586" s="192"/>
      <c r="AY586" s="179"/>
      <c r="BA586" s="192"/>
      <c r="BB586" s="192"/>
      <c r="BD586" s="192"/>
      <c r="BE586" s="192"/>
      <c r="BH586" s="179"/>
      <c r="BI586" s="192"/>
      <c r="BJ586" s="192"/>
      <c r="BL586" s="192"/>
      <c r="BM586" s="192"/>
      <c r="BP586" s="179"/>
    </row>
    <row r="587">
      <c r="B587" s="189"/>
      <c r="C587" s="189"/>
      <c r="E587" s="189"/>
      <c r="F587" s="189"/>
      <c r="I587" s="179"/>
      <c r="J587" s="189"/>
      <c r="K587" s="189"/>
      <c r="M587" s="189"/>
      <c r="N587" s="189"/>
      <c r="Q587" s="179"/>
      <c r="S587" s="189"/>
      <c r="T587" s="189"/>
      <c r="V587" s="189"/>
      <c r="W587" s="189"/>
      <c r="Z587" s="179"/>
      <c r="AA587" s="189"/>
      <c r="AB587" s="189"/>
      <c r="AD587" s="189"/>
      <c r="AE587" s="189"/>
      <c r="AH587" s="179"/>
      <c r="AJ587" s="191"/>
      <c r="AK587" s="191"/>
      <c r="AM587" s="191"/>
      <c r="AN587" s="191"/>
      <c r="AQ587" s="179"/>
      <c r="AR587" s="192"/>
      <c r="AS587" s="192"/>
      <c r="AU587" s="192"/>
      <c r="AV587" s="192"/>
      <c r="AY587" s="179"/>
      <c r="BA587" s="192"/>
      <c r="BB587" s="192"/>
      <c r="BD587" s="192"/>
      <c r="BE587" s="192"/>
      <c r="BH587" s="179"/>
      <c r="BI587" s="192"/>
      <c r="BJ587" s="192"/>
      <c r="BL587" s="192"/>
      <c r="BM587" s="192"/>
      <c r="BP587" s="179"/>
    </row>
    <row r="588">
      <c r="B588" s="189"/>
      <c r="C588" s="189"/>
      <c r="E588" s="189"/>
      <c r="F588" s="189"/>
      <c r="I588" s="179"/>
      <c r="J588" s="189"/>
      <c r="K588" s="189"/>
      <c r="M588" s="189"/>
      <c r="N588" s="189"/>
      <c r="Q588" s="179"/>
      <c r="S588" s="189"/>
      <c r="T588" s="189"/>
      <c r="V588" s="189"/>
      <c r="W588" s="189"/>
      <c r="Z588" s="179"/>
      <c r="AA588" s="189"/>
      <c r="AB588" s="189"/>
      <c r="AD588" s="189"/>
      <c r="AE588" s="189"/>
      <c r="AH588" s="179"/>
      <c r="AJ588" s="191"/>
      <c r="AK588" s="191"/>
      <c r="AM588" s="191"/>
      <c r="AN588" s="191"/>
      <c r="AQ588" s="179"/>
      <c r="AR588" s="192"/>
      <c r="AS588" s="192"/>
      <c r="AU588" s="192"/>
      <c r="AV588" s="192"/>
      <c r="AY588" s="179"/>
      <c r="BA588" s="192"/>
      <c r="BB588" s="192"/>
      <c r="BD588" s="192"/>
      <c r="BE588" s="192"/>
      <c r="BH588" s="179"/>
      <c r="BI588" s="192"/>
      <c r="BJ588" s="192"/>
      <c r="BL588" s="192"/>
      <c r="BM588" s="192"/>
      <c r="BP588" s="179"/>
    </row>
    <row r="589">
      <c r="B589" s="189"/>
      <c r="C589" s="189"/>
      <c r="E589" s="189"/>
      <c r="F589" s="189"/>
      <c r="I589" s="179"/>
      <c r="J589" s="189"/>
      <c r="K589" s="189"/>
      <c r="M589" s="189"/>
      <c r="N589" s="189"/>
      <c r="Q589" s="179"/>
      <c r="S589" s="189"/>
      <c r="T589" s="189"/>
      <c r="V589" s="189"/>
      <c r="W589" s="189"/>
      <c r="Z589" s="179"/>
      <c r="AA589" s="189"/>
      <c r="AB589" s="189"/>
      <c r="AD589" s="189"/>
      <c r="AE589" s="189"/>
      <c r="AH589" s="179"/>
      <c r="AJ589" s="191"/>
      <c r="AK589" s="191"/>
      <c r="AM589" s="191"/>
      <c r="AN589" s="191"/>
      <c r="AQ589" s="179"/>
      <c r="AR589" s="192"/>
      <c r="AS589" s="192"/>
      <c r="AU589" s="192"/>
      <c r="AV589" s="192"/>
      <c r="AY589" s="179"/>
      <c r="BA589" s="192"/>
      <c r="BB589" s="192"/>
      <c r="BD589" s="192"/>
      <c r="BE589" s="192"/>
      <c r="BH589" s="179"/>
      <c r="BI589" s="192"/>
      <c r="BJ589" s="192"/>
      <c r="BL589" s="192"/>
      <c r="BM589" s="192"/>
      <c r="BP589" s="179"/>
    </row>
    <row r="590">
      <c r="B590" s="189"/>
      <c r="C590" s="189"/>
      <c r="E590" s="189"/>
      <c r="F590" s="189"/>
      <c r="I590" s="179"/>
      <c r="J590" s="189"/>
      <c r="K590" s="189"/>
      <c r="M590" s="189"/>
      <c r="N590" s="189"/>
      <c r="Q590" s="179"/>
      <c r="S590" s="189"/>
      <c r="T590" s="189"/>
      <c r="V590" s="189"/>
      <c r="W590" s="189"/>
      <c r="Z590" s="179"/>
      <c r="AA590" s="189"/>
      <c r="AB590" s="189"/>
      <c r="AD590" s="189"/>
      <c r="AE590" s="189"/>
      <c r="AH590" s="179"/>
      <c r="AJ590" s="191"/>
      <c r="AK590" s="191"/>
      <c r="AM590" s="191"/>
      <c r="AN590" s="191"/>
      <c r="AQ590" s="179"/>
      <c r="AR590" s="192"/>
      <c r="AS590" s="192"/>
      <c r="AU590" s="192"/>
      <c r="AV590" s="192"/>
      <c r="AY590" s="179"/>
      <c r="BA590" s="192"/>
      <c r="BB590" s="192"/>
      <c r="BD590" s="192"/>
      <c r="BE590" s="192"/>
      <c r="BH590" s="179"/>
      <c r="BI590" s="192"/>
      <c r="BJ590" s="192"/>
      <c r="BL590" s="192"/>
      <c r="BM590" s="192"/>
      <c r="BP590" s="179"/>
    </row>
    <row r="591">
      <c r="B591" s="189"/>
      <c r="C591" s="189"/>
      <c r="E591" s="189"/>
      <c r="F591" s="189"/>
      <c r="I591" s="179"/>
      <c r="J591" s="189"/>
      <c r="K591" s="189"/>
      <c r="M591" s="189"/>
      <c r="N591" s="189"/>
      <c r="Q591" s="179"/>
      <c r="S591" s="189"/>
      <c r="T591" s="189"/>
      <c r="V591" s="189"/>
      <c r="W591" s="189"/>
      <c r="Z591" s="179"/>
      <c r="AA591" s="189"/>
      <c r="AB591" s="189"/>
      <c r="AD591" s="189"/>
      <c r="AE591" s="189"/>
      <c r="AH591" s="179"/>
      <c r="AJ591" s="191"/>
      <c r="AK591" s="191"/>
      <c r="AM591" s="191"/>
      <c r="AN591" s="191"/>
      <c r="AQ591" s="179"/>
      <c r="AR591" s="192"/>
      <c r="AS591" s="192"/>
      <c r="AU591" s="192"/>
      <c r="AV591" s="192"/>
      <c r="AY591" s="179"/>
      <c r="BA591" s="192"/>
      <c r="BB591" s="192"/>
      <c r="BD591" s="192"/>
      <c r="BE591" s="192"/>
      <c r="BH591" s="179"/>
      <c r="BI591" s="192"/>
      <c r="BJ591" s="192"/>
      <c r="BL591" s="192"/>
      <c r="BM591" s="192"/>
      <c r="BP591" s="179"/>
    </row>
    <row r="592">
      <c r="B592" s="189"/>
      <c r="C592" s="189"/>
      <c r="E592" s="189"/>
      <c r="F592" s="189"/>
      <c r="I592" s="179"/>
      <c r="J592" s="189"/>
      <c r="K592" s="189"/>
      <c r="M592" s="189"/>
      <c r="N592" s="189"/>
      <c r="Q592" s="179"/>
      <c r="S592" s="189"/>
      <c r="T592" s="189"/>
      <c r="V592" s="189"/>
      <c r="W592" s="189"/>
      <c r="Z592" s="179"/>
      <c r="AA592" s="189"/>
      <c r="AB592" s="189"/>
      <c r="AD592" s="189"/>
      <c r="AE592" s="189"/>
      <c r="AH592" s="179"/>
      <c r="AJ592" s="191"/>
      <c r="AK592" s="191"/>
      <c r="AM592" s="191"/>
      <c r="AN592" s="191"/>
      <c r="AQ592" s="179"/>
      <c r="AR592" s="192"/>
      <c r="AS592" s="192"/>
      <c r="AU592" s="192"/>
      <c r="AV592" s="192"/>
      <c r="AY592" s="179"/>
      <c r="BA592" s="192"/>
      <c r="BB592" s="192"/>
      <c r="BD592" s="192"/>
      <c r="BE592" s="192"/>
      <c r="BH592" s="179"/>
      <c r="BI592" s="192"/>
      <c r="BJ592" s="192"/>
      <c r="BL592" s="192"/>
      <c r="BM592" s="192"/>
      <c r="BP592" s="179"/>
    </row>
    <row r="593">
      <c r="B593" s="189"/>
      <c r="C593" s="189"/>
      <c r="E593" s="189"/>
      <c r="F593" s="189"/>
      <c r="I593" s="179"/>
      <c r="J593" s="189"/>
      <c r="K593" s="189"/>
      <c r="M593" s="189"/>
      <c r="N593" s="189"/>
      <c r="Q593" s="179"/>
      <c r="S593" s="189"/>
      <c r="T593" s="189"/>
      <c r="V593" s="189"/>
      <c r="W593" s="189"/>
      <c r="Z593" s="179"/>
      <c r="AA593" s="189"/>
      <c r="AB593" s="189"/>
      <c r="AD593" s="189"/>
      <c r="AE593" s="189"/>
      <c r="AH593" s="179"/>
      <c r="AJ593" s="191"/>
      <c r="AK593" s="191"/>
      <c r="AM593" s="191"/>
      <c r="AN593" s="191"/>
      <c r="AQ593" s="179"/>
      <c r="AR593" s="192"/>
      <c r="AS593" s="192"/>
      <c r="AU593" s="192"/>
      <c r="AV593" s="192"/>
      <c r="AY593" s="179"/>
      <c r="BA593" s="192"/>
      <c r="BB593" s="192"/>
      <c r="BD593" s="192"/>
      <c r="BE593" s="192"/>
      <c r="BH593" s="179"/>
      <c r="BI593" s="192"/>
      <c r="BJ593" s="192"/>
      <c r="BL593" s="192"/>
      <c r="BM593" s="192"/>
      <c r="BP593" s="179"/>
    </row>
    <row r="594">
      <c r="B594" s="189"/>
      <c r="C594" s="189"/>
      <c r="E594" s="189"/>
      <c r="F594" s="189"/>
      <c r="I594" s="179"/>
      <c r="J594" s="189"/>
      <c r="K594" s="189"/>
      <c r="M594" s="189"/>
      <c r="N594" s="189"/>
      <c r="Q594" s="179"/>
      <c r="S594" s="189"/>
      <c r="T594" s="189"/>
      <c r="V594" s="189"/>
      <c r="W594" s="189"/>
      <c r="Z594" s="179"/>
      <c r="AA594" s="189"/>
      <c r="AB594" s="189"/>
      <c r="AD594" s="189"/>
      <c r="AE594" s="189"/>
      <c r="AH594" s="179"/>
      <c r="AJ594" s="191"/>
      <c r="AK594" s="191"/>
      <c r="AM594" s="191"/>
      <c r="AN594" s="191"/>
      <c r="AQ594" s="179"/>
      <c r="AR594" s="192"/>
      <c r="AS594" s="192"/>
      <c r="AU594" s="192"/>
      <c r="AV594" s="192"/>
      <c r="AY594" s="179"/>
      <c r="BA594" s="192"/>
      <c r="BB594" s="192"/>
      <c r="BD594" s="192"/>
      <c r="BE594" s="192"/>
      <c r="BH594" s="179"/>
      <c r="BI594" s="192"/>
      <c r="BJ594" s="192"/>
      <c r="BL594" s="192"/>
      <c r="BM594" s="192"/>
      <c r="BP594" s="179"/>
    </row>
    <row r="595">
      <c r="B595" s="189"/>
      <c r="C595" s="189"/>
      <c r="E595" s="189"/>
      <c r="F595" s="189"/>
      <c r="I595" s="179"/>
      <c r="J595" s="189"/>
      <c r="K595" s="189"/>
      <c r="M595" s="189"/>
      <c r="N595" s="189"/>
      <c r="Q595" s="179"/>
      <c r="S595" s="189"/>
      <c r="T595" s="189"/>
      <c r="V595" s="189"/>
      <c r="W595" s="189"/>
      <c r="Z595" s="179"/>
      <c r="AA595" s="189"/>
      <c r="AB595" s="189"/>
      <c r="AD595" s="189"/>
      <c r="AE595" s="189"/>
      <c r="AH595" s="179"/>
      <c r="AJ595" s="191"/>
      <c r="AK595" s="191"/>
      <c r="AM595" s="191"/>
      <c r="AN595" s="191"/>
      <c r="AQ595" s="179"/>
      <c r="AR595" s="192"/>
      <c r="AS595" s="192"/>
      <c r="AU595" s="192"/>
      <c r="AV595" s="192"/>
      <c r="AY595" s="179"/>
      <c r="BA595" s="192"/>
      <c r="BB595" s="192"/>
      <c r="BD595" s="192"/>
      <c r="BE595" s="192"/>
      <c r="BH595" s="179"/>
      <c r="BI595" s="192"/>
      <c r="BJ595" s="192"/>
      <c r="BL595" s="192"/>
      <c r="BM595" s="192"/>
      <c r="BP595" s="179"/>
    </row>
    <row r="596">
      <c r="B596" s="189"/>
      <c r="C596" s="189"/>
      <c r="E596" s="189"/>
      <c r="F596" s="189"/>
      <c r="I596" s="179"/>
      <c r="J596" s="189"/>
      <c r="K596" s="189"/>
      <c r="M596" s="189"/>
      <c r="N596" s="189"/>
      <c r="Q596" s="179"/>
      <c r="S596" s="189"/>
      <c r="T596" s="189"/>
      <c r="V596" s="189"/>
      <c r="W596" s="189"/>
      <c r="Z596" s="179"/>
      <c r="AA596" s="189"/>
      <c r="AB596" s="189"/>
      <c r="AD596" s="189"/>
      <c r="AE596" s="189"/>
      <c r="AH596" s="179"/>
      <c r="AJ596" s="191"/>
      <c r="AK596" s="191"/>
      <c r="AM596" s="191"/>
      <c r="AN596" s="191"/>
      <c r="AQ596" s="179"/>
      <c r="AR596" s="192"/>
      <c r="AS596" s="192"/>
      <c r="AU596" s="192"/>
      <c r="AV596" s="192"/>
      <c r="AY596" s="179"/>
      <c r="BA596" s="192"/>
      <c r="BB596" s="192"/>
      <c r="BD596" s="192"/>
      <c r="BE596" s="192"/>
      <c r="BH596" s="179"/>
      <c r="BI596" s="192"/>
      <c r="BJ596" s="192"/>
      <c r="BL596" s="192"/>
      <c r="BM596" s="192"/>
      <c r="BP596" s="179"/>
    </row>
    <row r="597">
      <c r="B597" s="189"/>
      <c r="C597" s="189"/>
      <c r="E597" s="189"/>
      <c r="F597" s="189"/>
      <c r="I597" s="179"/>
      <c r="J597" s="189"/>
      <c r="K597" s="189"/>
      <c r="M597" s="189"/>
      <c r="N597" s="189"/>
      <c r="Q597" s="179"/>
      <c r="S597" s="189"/>
      <c r="T597" s="189"/>
      <c r="V597" s="189"/>
      <c r="W597" s="189"/>
      <c r="Z597" s="179"/>
      <c r="AA597" s="189"/>
      <c r="AB597" s="189"/>
      <c r="AD597" s="189"/>
      <c r="AE597" s="189"/>
      <c r="AH597" s="179"/>
      <c r="AJ597" s="191"/>
      <c r="AK597" s="191"/>
      <c r="AM597" s="191"/>
      <c r="AN597" s="191"/>
      <c r="AQ597" s="179"/>
      <c r="AR597" s="192"/>
      <c r="AS597" s="192"/>
      <c r="AU597" s="192"/>
      <c r="AV597" s="192"/>
      <c r="AY597" s="179"/>
      <c r="BA597" s="192"/>
      <c r="BB597" s="192"/>
      <c r="BD597" s="192"/>
      <c r="BE597" s="192"/>
      <c r="BH597" s="179"/>
      <c r="BI597" s="192"/>
      <c r="BJ597" s="192"/>
      <c r="BL597" s="192"/>
      <c r="BM597" s="192"/>
      <c r="BP597" s="179"/>
    </row>
    <row r="598">
      <c r="B598" s="189"/>
      <c r="C598" s="189"/>
      <c r="E598" s="189"/>
      <c r="F598" s="189"/>
      <c r="I598" s="179"/>
      <c r="J598" s="189"/>
      <c r="K598" s="189"/>
      <c r="M598" s="189"/>
      <c r="N598" s="189"/>
      <c r="Q598" s="179"/>
      <c r="S598" s="189"/>
      <c r="T598" s="189"/>
      <c r="V598" s="189"/>
      <c r="W598" s="189"/>
      <c r="Z598" s="179"/>
      <c r="AA598" s="189"/>
      <c r="AB598" s="189"/>
      <c r="AD598" s="189"/>
      <c r="AE598" s="189"/>
      <c r="AH598" s="179"/>
      <c r="AJ598" s="191"/>
      <c r="AK598" s="191"/>
      <c r="AM598" s="191"/>
      <c r="AN598" s="191"/>
      <c r="AQ598" s="179"/>
      <c r="AR598" s="192"/>
      <c r="AS598" s="192"/>
      <c r="AU598" s="192"/>
      <c r="AV598" s="192"/>
      <c r="AY598" s="179"/>
      <c r="BA598" s="192"/>
      <c r="BB598" s="192"/>
      <c r="BD598" s="192"/>
      <c r="BE598" s="192"/>
      <c r="BH598" s="179"/>
      <c r="BI598" s="192"/>
      <c r="BJ598" s="192"/>
      <c r="BL598" s="192"/>
      <c r="BM598" s="192"/>
      <c r="BP598" s="179"/>
    </row>
    <row r="599">
      <c r="B599" s="189"/>
      <c r="C599" s="189"/>
      <c r="E599" s="189"/>
      <c r="F599" s="189"/>
      <c r="I599" s="179"/>
      <c r="J599" s="189"/>
      <c r="K599" s="189"/>
      <c r="M599" s="189"/>
      <c r="N599" s="189"/>
      <c r="Q599" s="179"/>
      <c r="S599" s="189"/>
      <c r="T599" s="189"/>
      <c r="V599" s="189"/>
      <c r="W599" s="189"/>
      <c r="Z599" s="179"/>
      <c r="AA599" s="189"/>
      <c r="AB599" s="189"/>
      <c r="AD599" s="189"/>
      <c r="AE599" s="189"/>
      <c r="AH599" s="179"/>
      <c r="AJ599" s="191"/>
      <c r="AK599" s="191"/>
      <c r="AM599" s="191"/>
      <c r="AN599" s="191"/>
      <c r="AQ599" s="179"/>
      <c r="AR599" s="192"/>
      <c r="AS599" s="192"/>
      <c r="AU599" s="192"/>
      <c r="AV599" s="192"/>
      <c r="AY599" s="179"/>
      <c r="BA599" s="192"/>
      <c r="BB599" s="192"/>
      <c r="BD599" s="192"/>
      <c r="BE599" s="192"/>
      <c r="BH599" s="179"/>
      <c r="BI599" s="192"/>
      <c r="BJ599" s="192"/>
      <c r="BL599" s="192"/>
      <c r="BM599" s="192"/>
      <c r="BP599" s="179"/>
    </row>
    <row r="600">
      <c r="B600" s="189"/>
      <c r="C600" s="189"/>
      <c r="E600" s="189"/>
      <c r="F600" s="189"/>
      <c r="I600" s="179"/>
      <c r="J600" s="189"/>
      <c r="K600" s="189"/>
      <c r="M600" s="189"/>
      <c r="N600" s="189"/>
      <c r="Q600" s="179"/>
      <c r="S600" s="189"/>
      <c r="T600" s="189"/>
      <c r="V600" s="189"/>
      <c r="W600" s="189"/>
      <c r="Z600" s="179"/>
      <c r="AA600" s="189"/>
      <c r="AB600" s="189"/>
      <c r="AD600" s="189"/>
      <c r="AE600" s="189"/>
      <c r="AH600" s="179"/>
      <c r="AJ600" s="191"/>
      <c r="AK600" s="191"/>
      <c r="AM600" s="191"/>
      <c r="AN600" s="191"/>
      <c r="AQ600" s="179"/>
      <c r="AR600" s="192"/>
      <c r="AS600" s="192"/>
      <c r="AU600" s="192"/>
      <c r="AV600" s="192"/>
      <c r="AY600" s="179"/>
      <c r="BA600" s="192"/>
      <c r="BB600" s="192"/>
      <c r="BD600" s="192"/>
      <c r="BE600" s="192"/>
      <c r="BH600" s="179"/>
      <c r="BI600" s="192"/>
      <c r="BJ600" s="192"/>
      <c r="BL600" s="192"/>
      <c r="BM600" s="192"/>
      <c r="BP600" s="179"/>
    </row>
    <row r="601">
      <c r="B601" s="189"/>
      <c r="C601" s="189"/>
      <c r="E601" s="189"/>
      <c r="F601" s="189"/>
      <c r="I601" s="179"/>
      <c r="J601" s="189"/>
      <c r="K601" s="189"/>
      <c r="M601" s="189"/>
      <c r="N601" s="189"/>
      <c r="Q601" s="179"/>
      <c r="S601" s="189"/>
      <c r="T601" s="189"/>
      <c r="V601" s="189"/>
      <c r="W601" s="189"/>
      <c r="Z601" s="179"/>
      <c r="AA601" s="189"/>
      <c r="AB601" s="189"/>
      <c r="AD601" s="189"/>
      <c r="AE601" s="189"/>
      <c r="AH601" s="179"/>
      <c r="AJ601" s="191"/>
      <c r="AK601" s="191"/>
      <c r="AM601" s="191"/>
      <c r="AN601" s="191"/>
      <c r="AQ601" s="179"/>
      <c r="AR601" s="192"/>
      <c r="AS601" s="192"/>
      <c r="AU601" s="192"/>
      <c r="AV601" s="192"/>
      <c r="AY601" s="179"/>
      <c r="BA601" s="192"/>
      <c r="BB601" s="192"/>
      <c r="BD601" s="192"/>
      <c r="BE601" s="192"/>
      <c r="BH601" s="179"/>
      <c r="BI601" s="192"/>
      <c r="BJ601" s="192"/>
      <c r="BL601" s="192"/>
      <c r="BM601" s="192"/>
      <c r="BP601" s="179"/>
    </row>
    <row r="602">
      <c r="B602" s="189"/>
      <c r="C602" s="189"/>
      <c r="E602" s="189"/>
      <c r="F602" s="189"/>
      <c r="I602" s="179"/>
      <c r="J602" s="189"/>
      <c r="K602" s="189"/>
      <c r="M602" s="189"/>
      <c r="N602" s="189"/>
      <c r="Q602" s="179"/>
      <c r="S602" s="189"/>
      <c r="T602" s="189"/>
      <c r="V602" s="189"/>
      <c r="W602" s="189"/>
      <c r="Z602" s="179"/>
      <c r="AA602" s="189"/>
      <c r="AB602" s="189"/>
      <c r="AD602" s="189"/>
      <c r="AE602" s="189"/>
      <c r="AH602" s="179"/>
      <c r="AJ602" s="191"/>
      <c r="AK602" s="191"/>
      <c r="AM602" s="191"/>
      <c r="AN602" s="191"/>
      <c r="AQ602" s="179"/>
      <c r="AR602" s="192"/>
      <c r="AS602" s="192"/>
      <c r="AU602" s="192"/>
      <c r="AV602" s="192"/>
      <c r="AY602" s="179"/>
      <c r="BA602" s="192"/>
      <c r="BB602" s="192"/>
      <c r="BD602" s="192"/>
      <c r="BE602" s="192"/>
      <c r="BH602" s="179"/>
      <c r="BI602" s="192"/>
      <c r="BJ602" s="192"/>
      <c r="BL602" s="192"/>
      <c r="BM602" s="192"/>
      <c r="BP602" s="179"/>
    </row>
    <row r="603">
      <c r="B603" s="189"/>
      <c r="C603" s="189"/>
      <c r="E603" s="189"/>
      <c r="F603" s="189"/>
      <c r="I603" s="179"/>
      <c r="J603" s="189"/>
      <c r="K603" s="189"/>
      <c r="M603" s="189"/>
      <c r="N603" s="189"/>
      <c r="Q603" s="179"/>
      <c r="S603" s="189"/>
      <c r="T603" s="189"/>
      <c r="V603" s="189"/>
      <c r="W603" s="189"/>
      <c r="Z603" s="179"/>
      <c r="AA603" s="189"/>
      <c r="AB603" s="189"/>
      <c r="AD603" s="189"/>
      <c r="AE603" s="189"/>
      <c r="AH603" s="179"/>
      <c r="AJ603" s="191"/>
      <c r="AK603" s="191"/>
      <c r="AM603" s="191"/>
      <c r="AN603" s="191"/>
      <c r="AQ603" s="179"/>
      <c r="AR603" s="192"/>
      <c r="AS603" s="192"/>
      <c r="AU603" s="192"/>
      <c r="AV603" s="192"/>
      <c r="AY603" s="179"/>
      <c r="BA603" s="192"/>
      <c r="BB603" s="192"/>
      <c r="BD603" s="192"/>
      <c r="BE603" s="192"/>
      <c r="BH603" s="179"/>
      <c r="BI603" s="192"/>
      <c r="BJ603" s="192"/>
      <c r="BL603" s="192"/>
      <c r="BM603" s="192"/>
      <c r="BP603" s="179"/>
    </row>
    <row r="604">
      <c r="B604" s="189"/>
      <c r="C604" s="189"/>
      <c r="E604" s="189"/>
      <c r="F604" s="189"/>
      <c r="I604" s="179"/>
      <c r="J604" s="189"/>
      <c r="K604" s="189"/>
      <c r="M604" s="189"/>
      <c r="N604" s="189"/>
      <c r="Q604" s="179"/>
      <c r="S604" s="189"/>
      <c r="T604" s="189"/>
      <c r="V604" s="189"/>
      <c r="W604" s="189"/>
      <c r="Z604" s="179"/>
      <c r="AA604" s="189"/>
      <c r="AB604" s="189"/>
      <c r="AD604" s="189"/>
      <c r="AE604" s="189"/>
      <c r="AH604" s="179"/>
      <c r="AJ604" s="191"/>
      <c r="AK604" s="191"/>
      <c r="AM604" s="191"/>
      <c r="AN604" s="191"/>
      <c r="AQ604" s="179"/>
      <c r="AR604" s="192"/>
      <c r="AS604" s="192"/>
      <c r="AU604" s="192"/>
      <c r="AV604" s="192"/>
      <c r="AY604" s="179"/>
      <c r="BA604" s="192"/>
      <c r="BB604" s="192"/>
      <c r="BD604" s="192"/>
      <c r="BE604" s="192"/>
      <c r="BH604" s="179"/>
      <c r="BI604" s="192"/>
      <c r="BJ604" s="192"/>
      <c r="BL604" s="192"/>
      <c r="BM604" s="192"/>
      <c r="BP604" s="179"/>
    </row>
    <row r="605">
      <c r="B605" s="189"/>
      <c r="C605" s="189"/>
      <c r="E605" s="189"/>
      <c r="F605" s="189"/>
      <c r="I605" s="179"/>
      <c r="J605" s="189"/>
      <c r="K605" s="189"/>
      <c r="M605" s="189"/>
      <c r="N605" s="189"/>
      <c r="Q605" s="179"/>
      <c r="S605" s="189"/>
      <c r="T605" s="189"/>
      <c r="V605" s="189"/>
      <c r="W605" s="189"/>
      <c r="Z605" s="179"/>
      <c r="AA605" s="189"/>
      <c r="AB605" s="189"/>
      <c r="AD605" s="189"/>
      <c r="AE605" s="189"/>
      <c r="AH605" s="179"/>
      <c r="AJ605" s="191"/>
      <c r="AK605" s="191"/>
      <c r="AM605" s="191"/>
      <c r="AN605" s="191"/>
      <c r="AQ605" s="179"/>
      <c r="AR605" s="192"/>
      <c r="AS605" s="192"/>
      <c r="AU605" s="192"/>
      <c r="AV605" s="192"/>
      <c r="AY605" s="179"/>
      <c r="BA605" s="192"/>
      <c r="BB605" s="192"/>
      <c r="BD605" s="192"/>
      <c r="BE605" s="192"/>
      <c r="BH605" s="179"/>
      <c r="BI605" s="192"/>
      <c r="BJ605" s="192"/>
      <c r="BL605" s="192"/>
      <c r="BM605" s="192"/>
      <c r="BP605" s="179"/>
    </row>
    <row r="606">
      <c r="B606" s="189"/>
      <c r="C606" s="189"/>
      <c r="E606" s="189"/>
      <c r="F606" s="189"/>
      <c r="I606" s="179"/>
      <c r="J606" s="189"/>
      <c r="K606" s="189"/>
      <c r="M606" s="189"/>
      <c r="N606" s="189"/>
      <c r="Q606" s="179"/>
      <c r="S606" s="189"/>
      <c r="T606" s="189"/>
      <c r="V606" s="189"/>
      <c r="W606" s="189"/>
      <c r="Z606" s="179"/>
      <c r="AA606" s="189"/>
      <c r="AB606" s="189"/>
      <c r="AD606" s="189"/>
      <c r="AE606" s="189"/>
      <c r="AH606" s="179"/>
      <c r="AJ606" s="191"/>
      <c r="AK606" s="191"/>
      <c r="AM606" s="191"/>
      <c r="AN606" s="191"/>
      <c r="AQ606" s="179"/>
      <c r="AR606" s="192"/>
      <c r="AS606" s="192"/>
      <c r="AU606" s="192"/>
      <c r="AV606" s="192"/>
      <c r="AY606" s="179"/>
      <c r="BA606" s="192"/>
      <c r="BB606" s="192"/>
      <c r="BD606" s="192"/>
      <c r="BE606" s="192"/>
      <c r="BH606" s="179"/>
      <c r="BI606" s="192"/>
      <c r="BJ606" s="192"/>
      <c r="BL606" s="192"/>
      <c r="BM606" s="192"/>
      <c r="BP606" s="179"/>
    </row>
    <row r="607">
      <c r="B607" s="189"/>
      <c r="C607" s="189"/>
      <c r="E607" s="189"/>
      <c r="F607" s="189"/>
      <c r="I607" s="179"/>
      <c r="J607" s="189"/>
      <c r="K607" s="189"/>
      <c r="M607" s="189"/>
      <c r="N607" s="189"/>
      <c r="Q607" s="179"/>
      <c r="S607" s="189"/>
      <c r="T607" s="189"/>
      <c r="V607" s="189"/>
      <c r="W607" s="189"/>
      <c r="Z607" s="179"/>
      <c r="AA607" s="189"/>
      <c r="AB607" s="189"/>
      <c r="AD607" s="189"/>
      <c r="AE607" s="189"/>
      <c r="AH607" s="179"/>
      <c r="AJ607" s="191"/>
      <c r="AK607" s="191"/>
      <c r="AM607" s="191"/>
      <c r="AN607" s="191"/>
      <c r="AQ607" s="179"/>
      <c r="AR607" s="192"/>
      <c r="AS607" s="192"/>
      <c r="AU607" s="192"/>
      <c r="AV607" s="192"/>
      <c r="AY607" s="179"/>
      <c r="BA607" s="192"/>
      <c r="BB607" s="192"/>
      <c r="BD607" s="192"/>
      <c r="BE607" s="192"/>
      <c r="BH607" s="179"/>
      <c r="BI607" s="192"/>
      <c r="BJ607" s="192"/>
      <c r="BL607" s="192"/>
      <c r="BM607" s="192"/>
      <c r="BP607" s="179"/>
    </row>
    <row r="608">
      <c r="B608" s="189"/>
      <c r="C608" s="189"/>
      <c r="E608" s="189"/>
      <c r="F608" s="189"/>
      <c r="I608" s="179"/>
      <c r="J608" s="189"/>
      <c r="K608" s="189"/>
      <c r="M608" s="189"/>
      <c r="N608" s="189"/>
      <c r="Q608" s="179"/>
      <c r="S608" s="189"/>
      <c r="T608" s="189"/>
      <c r="V608" s="189"/>
      <c r="W608" s="189"/>
      <c r="Z608" s="179"/>
      <c r="AA608" s="189"/>
      <c r="AB608" s="189"/>
      <c r="AD608" s="189"/>
      <c r="AE608" s="189"/>
      <c r="AH608" s="179"/>
      <c r="AJ608" s="191"/>
      <c r="AK608" s="191"/>
      <c r="AM608" s="191"/>
      <c r="AN608" s="191"/>
      <c r="AQ608" s="179"/>
      <c r="AR608" s="192"/>
      <c r="AS608" s="192"/>
      <c r="AU608" s="192"/>
      <c r="AV608" s="192"/>
      <c r="AY608" s="179"/>
      <c r="BA608" s="192"/>
      <c r="BB608" s="192"/>
      <c r="BD608" s="192"/>
      <c r="BE608" s="192"/>
      <c r="BH608" s="179"/>
      <c r="BI608" s="192"/>
      <c r="BJ608" s="192"/>
      <c r="BL608" s="192"/>
      <c r="BM608" s="192"/>
      <c r="BP608" s="179"/>
    </row>
    <row r="609">
      <c r="B609" s="189"/>
      <c r="C609" s="189"/>
      <c r="E609" s="189"/>
      <c r="F609" s="189"/>
      <c r="I609" s="179"/>
      <c r="J609" s="189"/>
      <c r="K609" s="189"/>
      <c r="M609" s="189"/>
      <c r="N609" s="189"/>
      <c r="Q609" s="179"/>
      <c r="S609" s="189"/>
      <c r="T609" s="189"/>
      <c r="V609" s="189"/>
      <c r="W609" s="189"/>
      <c r="Z609" s="179"/>
      <c r="AA609" s="189"/>
      <c r="AB609" s="189"/>
      <c r="AD609" s="189"/>
      <c r="AE609" s="189"/>
      <c r="AH609" s="179"/>
      <c r="AJ609" s="191"/>
      <c r="AK609" s="191"/>
      <c r="AM609" s="191"/>
      <c r="AN609" s="191"/>
      <c r="AQ609" s="179"/>
      <c r="AR609" s="192"/>
      <c r="AS609" s="192"/>
      <c r="AU609" s="192"/>
      <c r="AV609" s="192"/>
      <c r="AY609" s="179"/>
      <c r="BA609" s="192"/>
      <c r="BB609" s="192"/>
      <c r="BD609" s="192"/>
      <c r="BE609" s="192"/>
      <c r="BH609" s="179"/>
      <c r="BI609" s="192"/>
      <c r="BJ609" s="192"/>
      <c r="BL609" s="192"/>
      <c r="BM609" s="192"/>
      <c r="BP609" s="179"/>
    </row>
    <row r="610">
      <c r="B610" s="189"/>
      <c r="C610" s="189"/>
      <c r="E610" s="189"/>
      <c r="F610" s="189"/>
      <c r="I610" s="179"/>
      <c r="J610" s="189"/>
      <c r="K610" s="189"/>
      <c r="M610" s="189"/>
      <c r="N610" s="189"/>
      <c r="Q610" s="179"/>
      <c r="S610" s="189"/>
      <c r="T610" s="189"/>
      <c r="V610" s="189"/>
      <c r="W610" s="189"/>
      <c r="Z610" s="179"/>
      <c r="AA610" s="189"/>
      <c r="AB610" s="189"/>
      <c r="AD610" s="189"/>
      <c r="AE610" s="189"/>
      <c r="AH610" s="179"/>
      <c r="AJ610" s="191"/>
      <c r="AK610" s="191"/>
      <c r="AM610" s="191"/>
      <c r="AN610" s="191"/>
      <c r="AQ610" s="179"/>
      <c r="AR610" s="192"/>
      <c r="AS610" s="192"/>
      <c r="AU610" s="192"/>
      <c r="AV610" s="192"/>
      <c r="AY610" s="179"/>
      <c r="BA610" s="192"/>
      <c r="BB610" s="192"/>
      <c r="BD610" s="192"/>
      <c r="BE610" s="192"/>
      <c r="BH610" s="179"/>
      <c r="BI610" s="192"/>
      <c r="BJ610" s="192"/>
      <c r="BL610" s="192"/>
      <c r="BM610" s="192"/>
      <c r="BP610" s="179"/>
    </row>
    <row r="611">
      <c r="B611" s="189"/>
      <c r="C611" s="189"/>
      <c r="E611" s="189"/>
      <c r="F611" s="189"/>
      <c r="I611" s="179"/>
      <c r="J611" s="189"/>
      <c r="K611" s="189"/>
      <c r="M611" s="189"/>
      <c r="N611" s="189"/>
      <c r="Q611" s="179"/>
      <c r="S611" s="189"/>
      <c r="T611" s="189"/>
      <c r="V611" s="189"/>
      <c r="W611" s="189"/>
      <c r="Z611" s="179"/>
      <c r="AA611" s="189"/>
      <c r="AB611" s="189"/>
      <c r="AD611" s="189"/>
      <c r="AE611" s="189"/>
      <c r="AH611" s="179"/>
      <c r="AJ611" s="191"/>
      <c r="AK611" s="191"/>
      <c r="AM611" s="191"/>
      <c r="AN611" s="191"/>
      <c r="AQ611" s="179"/>
      <c r="AR611" s="192"/>
      <c r="AS611" s="192"/>
      <c r="AU611" s="192"/>
      <c r="AV611" s="192"/>
      <c r="AY611" s="179"/>
      <c r="BA611" s="192"/>
      <c r="BB611" s="192"/>
      <c r="BD611" s="192"/>
      <c r="BE611" s="192"/>
      <c r="BH611" s="179"/>
      <c r="BI611" s="192"/>
      <c r="BJ611" s="192"/>
      <c r="BL611" s="192"/>
      <c r="BM611" s="192"/>
      <c r="BP611" s="179"/>
    </row>
    <row r="612">
      <c r="B612" s="189"/>
      <c r="C612" s="189"/>
      <c r="E612" s="189"/>
      <c r="F612" s="189"/>
      <c r="I612" s="179"/>
      <c r="J612" s="189"/>
      <c r="K612" s="189"/>
      <c r="M612" s="189"/>
      <c r="N612" s="189"/>
      <c r="Q612" s="179"/>
      <c r="S612" s="189"/>
      <c r="T612" s="189"/>
      <c r="V612" s="189"/>
      <c r="W612" s="189"/>
      <c r="Z612" s="179"/>
      <c r="AA612" s="189"/>
      <c r="AB612" s="189"/>
      <c r="AD612" s="189"/>
      <c r="AE612" s="189"/>
      <c r="AH612" s="179"/>
      <c r="AJ612" s="191"/>
      <c r="AK612" s="191"/>
      <c r="AM612" s="191"/>
      <c r="AN612" s="191"/>
      <c r="AQ612" s="179"/>
      <c r="AR612" s="192"/>
      <c r="AS612" s="192"/>
      <c r="AU612" s="192"/>
      <c r="AV612" s="192"/>
      <c r="AY612" s="179"/>
      <c r="BA612" s="192"/>
      <c r="BB612" s="192"/>
      <c r="BD612" s="192"/>
      <c r="BE612" s="192"/>
      <c r="BH612" s="179"/>
      <c r="BI612" s="192"/>
      <c r="BJ612" s="192"/>
      <c r="BL612" s="192"/>
      <c r="BM612" s="192"/>
      <c r="BP612" s="179"/>
    </row>
    <row r="613">
      <c r="B613" s="189"/>
      <c r="C613" s="189"/>
      <c r="E613" s="189"/>
      <c r="F613" s="189"/>
      <c r="I613" s="179"/>
      <c r="J613" s="189"/>
      <c r="K613" s="189"/>
      <c r="M613" s="189"/>
      <c r="N613" s="189"/>
      <c r="Q613" s="179"/>
      <c r="S613" s="189"/>
      <c r="T613" s="189"/>
      <c r="V613" s="189"/>
      <c r="W613" s="189"/>
      <c r="Z613" s="179"/>
      <c r="AA613" s="189"/>
      <c r="AB613" s="189"/>
      <c r="AD613" s="189"/>
      <c r="AE613" s="189"/>
      <c r="AH613" s="179"/>
      <c r="AJ613" s="191"/>
      <c r="AK613" s="191"/>
      <c r="AM613" s="191"/>
      <c r="AN613" s="191"/>
      <c r="AQ613" s="179"/>
      <c r="AR613" s="192"/>
      <c r="AS613" s="192"/>
      <c r="AU613" s="192"/>
      <c r="AV613" s="192"/>
      <c r="AY613" s="179"/>
      <c r="BA613" s="192"/>
      <c r="BB613" s="192"/>
      <c r="BD613" s="192"/>
      <c r="BE613" s="192"/>
      <c r="BH613" s="179"/>
      <c r="BI613" s="192"/>
      <c r="BJ613" s="192"/>
      <c r="BL613" s="192"/>
      <c r="BM613" s="192"/>
      <c r="BP613" s="179"/>
    </row>
    <row r="614">
      <c r="B614" s="189"/>
      <c r="C614" s="189"/>
      <c r="E614" s="189"/>
      <c r="F614" s="189"/>
      <c r="I614" s="179"/>
      <c r="J614" s="189"/>
      <c r="K614" s="189"/>
      <c r="M614" s="189"/>
      <c r="N614" s="189"/>
      <c r="Q614" s="179"/>
      <c r="S614" s="189"/>
      <c r="T614" s="189"/>
      <c r="V614" s="189"/>
      <c r="W614" s="189"/>
      <c r="Z614" s="179"/>
      <c r="AA614" s="189"/>
      <c r="AB614" s="189"/>
      <c r="AD614" s="189"/>
      <c r="AE614" s="189"/>
      <c r="AH614" s="179"/>
      <c r="AJ614" s="191"/>
      <c r="AK614" s="191"/>
      <c r="AM614" s="191"/>
      <c r="AN614" s="191"/>
      <c r="AQ614" s="179"/>
      <c r="AR614" s="192"/>
      <c r="AS614" s="192"/>
      <c r="AU614" s="192"/>
      <c r="AV614" s="192"/>
      <c r="AY614" s="179"/>
      <c r="BA614" s="192"/>
      <c r="BB614" s="192"/>
      <c r="BD614" s="192"/>
      <c r="BE614" s="192"/>
      <c r="BH614" s="179"/>
      <c r="BI614" s="192"/>
      <c r="BJ614" s="192"/>
      <c r="BL614" s="192"/>
      <c r="BM614" s="192"/>
      <c r="BP614" s="179"/>
    </row>
    <row r="615">
      <c r="B615" s="189"/>
      <c r="C615" s="189"/>
      <c r="E615" s="189"/>
      <c r="F615" s="189"/>
      <c r="I615" s="179"/>
      <c r="J615" s="189"/>
      <c r="K615" s="189"/>
      <c r="M615" s="189"/>
      <c r="N615" s="189"/>
      <c r="Q615" s="179"/>
      <c r="S615" s="189"/>
      <c r="T615" s="189"/>
      <c r="V615" s="189"/>
      <c r="W615" s="189"/>
      <c r="Z615" s="179"/>
      <c r="AA615" s="189"/>
      <c r="AB615" s="189"/>
      <c r="AD615" s="189"/>
      <c r="AE615" s="189"/>
      <c r="AH615" s="179"/>
      <c r="AJ615" s="191"/>
      <c r="AK615" s="191"/>
      <c r="AM615" s="191"/>
      <c r="AN615" s="191"/>
      <c r="AQ615" s="179"/>
      <c r="AR615" s="192"/>
      <c r="AS615" s="192"/>
      <c r="AU615" s="192"/>
      <c r="AV615" s="192"/>
      <c r="AY615" s="179"/>
      <c r="BA615" s="192"/>
      <c r="BB615" s="192"/>
      <c r="BD615" s="192"/>
      <c r="BE615" s="192"/>
      <c r="BH615" s="179"/>
      <c r="BI615" s="192"/>
      <c r="BJ615" s="192"/>
      <c r="BL615" s="192"/>
      <c r="BM615" s="192"/>
      <c r="BP615" s="179"/>
    </row>
    <row r="616">
      <c r="B616" s="189"/>
      <c r="C616" s="189"/>
      <c r="E616" s="189"/>
      <c r="F616" s="189"/>
      <c r="I616" s="179"/>
      <c r="J616" s="189"/>
      <c r="K616" s="189"/>
      <c r="M616" s="189"/>
      <c r="N616" s="189"/>
      <c r="Q616" s="179"/>
      <c r="S616" s="189"/>
      <c r="T616" s="189"/>
      <c r="V616" s="189"/>
      <c r="W616" s="189"/>
      <c r="Z616" s="179"/>
      <c r="AA616" s="189"/>
      <c r="AB616" s="189"/>
      <c r="AD616" s="189"/>
      <c r="AE616" s="189"/>
      <c r="AH616" s="179"/>
      <c r="AJ616" s="191"/>
      <c r="AK616" s="191"/>
      <c r="AM616" s="191"/>
      <c r="AN616" s="191"/>
      <c r="AQ616" s="179"/>
      <c r="AR616" s="192"/>
      <c r="AS616" s="192"/>
      <c r="AU616" s="192"/>
      <c r="AV616" s="192"/>
      <c r="AY616" s="179"/>
      <c r="BA616" s="192"/>
      <c r="BB616" s="192"/>
      <c r="BD616" s="192"/>
      <c r="BE616" s="192"/>
      <c r="BH616" s="179"/>
      <c r="BI616" s="192"/>
      <c r="BJ616" s="192"/>
      <c r="BL616" s="192"/>
      <c r="BM616" s="192"/>
      <c r="BP616" s="179"/>
    </row>
    <row r="617">
      <c r="B617" s="189"/>
      <c r="C617" s="189"/>
      <c r="E617" s="189"/>
      <c r="F617" s="189"/>
      <c r="I617" s="179"/>
      <c r="J617" s="189"/>
      <c r="K617" s="189"/>
      <c r="M617" s="189"/>
      <c r="N617" s="189"/>
      <c r="Q617" s="179"/>
      <c r="S617" s="189"/>
      <c r="T617" s="189"/>
      <c r="V617" s="189"/>
      <c r="W617" s="189"/>
      <c r="Z617" s="179"/>
      <c r="AA617" s="189"/>
      <c r="AB617" s="189"/>
      <c r="AD617" s="189"/>
      <c r="AE617" s="189"/>
      <c r="AH617" s="179"/>
      <c r="AJ617" s="191"/>
      <c r="AK617" s="191"/>
      <c r="AM617" s="191"/>
      <c r="AN617" s="191"/>
      <c r="AQ617" s="179"/>
      <c r="AR617" s="192"/>
      <c r="AS617" s="192"/>
      <c r="AU617" s="192"/>
      <c r="AV617" s="192"/>
      <c r="AY617" s="179"/>
      <c r="BA617" s="192"/>
      <c r="BB617" s="192"/>
      <c r="BD617" s="192"/>
      <c r="BE617" s="192"/>
      <c r="BH617" s="179"/>
      <c r="BI617" s="192"/>
      <c r="BJ617" s="192"/>
      <c r="BL617" s="192"/>
      <c r="BM617" s="192"/>
      <c r="BP617" s="179"/>
    </row>
    <row r="618">
      <c r="B618" s="189"/>
      <c r="C618" s="189"/>
      <c r="E618" s="189"/>
      <c r="F618" s="189"/>
      <c r="I618" s="179"/>
      <c r="J618" s="189"/>
      <c r="K618" s="189"/>
      <c r="M618" s="189"/>
      <c r="N618" s="189"/>
      <c r="Q618" s="179"/>
      <c r="S618" s="189"/>
      <c r="T618" s="189"/>
      <c r="V618" s="189"/>
      <c r="W618" s="189"/>
      <c r="Z618" s="179"/>
      <c r="AA618" s="189"/>
      <c r="AB618" s="189"/>
      <c r="AD618" s="189"/>
      <c r="AE618" s="189"/>
      <c r="AH618" s="179"/>
      <c r="AJ618" s="191"/>
      <c r="AK618" s="191"/>
      <c r="AM618" s="191"/>
      <c r="AN618" s="191"/>
      <c r="AQ618" s="179"/>
      <c r="AR618" s="192"/>
      <c r="AS618" s="192"/>
      <c r="AU618" s="192"/>
      <c r="AV618" s="192"/>
      <c r="AY618" s="179"/>
      <c r="BA618" s="192"/>
      <c r="BB618" s="192"/>
      <c r="BD618" s="192"/>
      <c r="BE618" s="192"/>
      <c r="BH618" s="179"/>
      <c r="BI618" s="192"/>
      <c r="BJ618" s="192"/>
      <c r="BL618" s="192"/>
      <c r="BM618" s="192"/>
      <c r="BP618" s="179"/>
    </row>
    <row r="619">
      <c r="B619" s="189"/>
      <c r="C619" s="189"/>
      <c r="E619" s="189"/>
      <c r="F619" s="189"/>
      <c r="I619" s="179"/>
      <c r="J619" s="189"/>
      <c r="K619" s="189"/>
      <c r="M619" s="189"/>
      <c r="N619" s="189"/>
      <c r="Q619" s="179"/>
      <c r="S619" s="189"/>
      <c r="T619" s="189"/>
      <c r="V619" s="189"/>
      <c r="W619" s="189"/>
      <c r="Z619" s="179"/>
      <c r="AA619" s="189"/>
      <c r="AB619" s="189"/>
      <c r="AD619" s="189"/>
      <c r="AE619" s="189"/>
      <c r="AH619" s="179"/>
      <c r="AJ619" s="191"/>
      <c r="AK619" s="191"/>
      <c r="AM619" s="191"/>
      <c r="AN619" s="191"/>
      <c r="AQ619" s="179"/>
      <c r="AR619" s="192"/>
      <c r="AS619" s="192"/>
      <c r="AU619" s="192"/>
      <c r="AV619" s="192"/>
      <c r="AY619" s="179"/>
      <c r="BA619" s="192"/>
      <c r="BB619" s="192"/>
      <c r="BD619" s="192"/>
      <c r="BE619" s="192"/>
      <c r="BH619" s="179"/>
      <c r="BI619" s="192"/>
      <c r="BJ619" s="192"/>
      <c r="BL619" s="192"/>
      <c r="BM619" s="192"/>
      <c r="BP619" s="179"/>
    </row>
    <row r="620">
      <c r="B620" s="189"/>
      <c r="C620" s="189"/>
      <c r="E620" s="189"/>
      <c r="F620" s="189"/>
      <c r="I620" s="179"/>
      <c r="J620" s="189"/>
      <c r="K620" s="189"/>
      <c r="M620" s="189"/>
      <c r="N620" s="189"/>
      <c r="Q620" s="179"/>
      <c r="S620" s="189"/>
      <c r="T620" s="189"/>
      <c r="V620" s="189"/>
      <c r="W620" s="189"/>
      <c r="Z620" s="179"/>
      <c r="AA620" s="189"/>
      <c r="AB620" s="189"/>
      <c r="AD620" s="189"/>
      <c r="AE620" s="189"/>
      <c r="AH620" s="179"/>
      <c r="AJ620" s="191"/>
      <c r="AK620" s="191"/>
      <c r="AM620" s="191"/>
      <c r="AN620" s="191"/>
      <c r="AQ620" s="179"/>
      <c r="AR620" s="192"/>
      <c r="AS620" s="192"/>
      <c r="AU620" s="192"/>
      <c r="AV620" s="192"/>
      <c r="AY620" s="179"/>
      <c r="BA620" s="192"/>
      <c r="BB620" s="192"/>
      <c r="BD620" s="192"/>
      <c r="BE620" s="192"/>
      <c r="BH620" s="179"/>
      <c r="BI620" s="192"/>
      <c r="BJ620" s="192"/>
      <c r="BL620" s="192"/>
      <c r="BM620" s="192"/>
      <c r="BP620" s="179"/>
    </row>
    <row r="621">
      <c r="B621" s="189"/>
      <c r="C621" s="189"/>
      <c r="E621" s="189"/>
      <c r="F621" s="189"/>
      <c r="I621" s="179"/>
      <c r="J621" s="189"/>
      <c r="K621" s="189"/>
      <c r="M621" s="189"/>
      <c r="N621" s="189"/>
      <c r="Q621" s="179"/>
      <c r="S621" s="189"/>
      <c r="T621" s="189"/>
      <c r="V621" s="189"/>
      <c r="W621" s="189"/>
      <c r="Z621" s="179"/>
      <c r="AA621" s="189"/>
      <c r="AB621" s="189"/>
      <c r="AD621" s="189"/>
      <c r="AE621" s="189"/>
      <c r="AH621" s="179"/>
      <c r="AJ621" s="191"/>
      <c r="AK621" s="191"/>
      <c r="AM621" s="191"/>
      <c r="AN621" s="191"/>
      <c r="AQ621" s="179"/>
      <c r="AR621" s="192"/>
      <c r="AS621" s="192"/>
      <c r="AU621" s="192"/>
      <c r="AV621" s="192"/>
      <c r="AY621" s="179"/>
      <c r="BA621" s="192"/>
      <c r="BB621" s="192"/>
      <c r="BD621" s="192"/>
      <c r="BE621" s="192"/>
      <c r="BH621" s="179"/>
      <c r="BI621" s="192"/>
      <c r="BJ621" s="192"/>
      <c r="BL621" s="192"/>
      <c r="BM621" s="192"/>
      <c r="BP621" s="179"/>
    </row>
    <row r="622">
      <c r="B622" s="189"/>
      <c r="C622" s="189"/>
      <c r="E622" s="189"/>
      <c r="F622" s="189"/>
      <c r="I622" s="179"/>
      <c r="J622" s="189"/>
      <c r="K622" s="189"/>
      <c r="M622" s="189"/>
      <c r="N622" s="189"/>
      <c r="Q622" s="179"/>
      <c r="S622" s="189"/>
      <c r="T622" s="189"/>
      <c r="V622" s="189"/>
      <c r="W622" s="189"/>
      <c r="Z622" s="179"/>
      <c r="AA622" s="189"/>
      <c r="AB622" s="189"/>
      <c r="AD622" s="189"/>
      <c r="AE622" s="189"/>
      <c r="AH622" s="179"/>
      <c r="AJ622" s="191"/>
      <c r="AK622" s="191"/>
      <c r="AM622" s="191"/>
      <c r="AN622" s="191"/>
      <c r="AQ622" s="179"/>
      <c r="AR622" s="192"/>
      <c r="AS622" s="192"/>
      <c r="AU622" s="192"/>
      <c r="AV622" s="192"/>
      <c r="AY622" s="179"/>
      <c r="BA622" s="192"/>
      <c r="BB622" s="192"/>
      <c r="BD622" s="192"/>
      <c r="BE622" s="192"/>
      <c r="BH622" s="179"/>
      <c r="BI622" s="192"/>
      <c r="BJ622" s="192"/>
      <c r="BL622" s="192"/>
      <c r="BM622" s="192"/>
      <c r="BP622" s="179"/>
    </row>
    <row r="623">
      <c r="B623" s="189"/>
      <c r="C623" s="189"/>
      <c r="E623" s="189"/>
      <c r="F623" s="189"/>
      <c r="I623" s="179"/>
      <c r="J623" s="189"/>
      <c r="K623" s="189"/>
      <c r="M623" s="189"/>
      <c r="N623" s="189"/>
      <c r="Q623" s="179"/>
      <c r="S623" s="189"/>
      <c r="T623" s="189"/>
      <c r="V623" s="189"/>
      <c r="W623" s="189"/>
      <c r="Z623" s="179"/>
      <c r="AA623" s="189"/>
      <c r="AB623" s="189"/>
      <c r="AD623" s="189"/>
      <c r="AE623" s="189"/>
      <c r="AH623" s="179"/>
      <c r="AJ623" s="191"/>
      <c r="AK623" s="191"/>
      <c r="AM623" s="191"/>
      <c r="AN623" s="191"/>
      <c r="AQ623" s="179"/>
      <c r="AR623" s="192"/>
      <c r="AS623" s="192"/>
      <c r="AU623" s="192"/>
      <c r="AV623" s="192"/>
      <c r="AY623" s="179"/>
      <c r="BA623" s="192"/>
      <c r="BB623" s="192"/>
      <c r="BD623" s="192"/>
      <c r="BE623" s="192"/>
      <c r="BH623" s="179"/>
      <c r="BI623" s="192"/>
      <c r="BJ623" s="192"/>
      <c r="BL623" s="192"/>
      <c r="BM623" s="192"/>
      <c r="BP623" s="179"/>
    </row>
    <row r="624">
      <c r="B624" s="189"/>
      <c r="C624" s="189"/>
      <c r="E624" s="189"/>
      <c r="F624" s="189"/>
      <c r="I624" s="179"/>
      <c r="J624" s="189"/>
      <c r="K624" s="189"/>
      <c r="M624" s="189"/>
      <c r="N624" s="189"/>
      <c r="Q624" s="179"/>
      <c r="S624" s="189"/>
      <c r="T624" s="189"/>
      <c r="V624" s="189"/>
      <c r="W624" s="189"/>
      <c r="Z624" s="179"/>
      <c r="AA624" s="189"/>
      <c r="AB624" s="189"/>
      <c r="AD624" s="189"/>
      <c r="AE624" s="189"/>
      <c r="AH624" s="179"/>
      <c r="AJ624" s="191"/>
      <c r="AK624" s="191"/>
      <c r="AM624" s="191"/>
      <c r="AN624" s="191"/>
      <c r="AQ624" s="179"/>
      <c r="AR624" s="192"/>
      <c r="AS624" s="192"/>
      <c r="AU624" s="192"/>
      <c r="AV624" s="192"/>
      <c r="AY624" s="179"/>
      <c r="BA624" s="192"/>
      <c r="BB624" s="192"/>
      <c r="BD624" s="192"/>
      <c r="BE624" s="192"/>
      <c r="BH624" s="179"/>
      <c r="BI624" s="192"/>
      <c r="BJ624" s="192"/>
      <c r="BL624" s="192"/>
      <c r="BM624" s="192"/>
      <c r="BP624" s="179"/>
    </row>
    <row r="625">
      <c r="B625" s="189"/>
      <c r="C625" s="189"/>
      <c r="E625" s="189"/>
      <c r="F625" s="189"/>
      <c r="I625" s="179"/>
      <c r="J625" s="189"/>
      <c r="K625" s="189"/>
      <c r="M625" s="189"/>
      <c r="N625" s="189"/>
      <c r="Q625" s="179"/>
      <c r="S625" s="189"/>
      <c r="T625" s="189"/>
      <c r="V625" s="189"/>
      <c r="W625" s="189"/>
      <c r="Z625" s="179"/>
      <c r="AA625" s="189"/>
      <c r="AB625" s="189"/>
      <c r="AD625" s="189"/>
      <c r="AE625" s="189"/>
      <c r="AH625" s="179"/>
      <c r="AJ625" s="191"/>
      <c r="AK625" s="191"/>
      <c r="AM625" s="191"/>
      <c r="AN625" s="191"/>
      <c r="AQ625" s="179"/>
      <c r="AR625" s="192"/>
      <c r="AS625" s="192"/>
      <c r="AU625" s="192"/>
      <c r="AV625" s="192"/>
      <c r="AY625" s="179"/>
      <c r="BA625" s="192"/>
      <c r="BB625" s="192"/>
      <c r="BD625" s="192"/>
      <c r="BE625" s="192"/>
      <c r="BH625" s="179"/>
      <c r="BI625" s="192"/>
      <c r="BJ625" s="192"/>
      <c r="BL625" s="192"/>
      <c r="BM625" s="192"/>
      <c r="BP625" s="179"/>
    </row>
    <row r="626">
      <c r="B626" s="189"/>
      <c r="C626" s="189"/>
      <c r="E626" s="189"/>
      <c r="F626" s="189"/>
      <c r="I626" s="179"/>
      <c r="J626" s="189"/>
      <c r="K626" s="189"/>
      <c r="M626" s="189"/>
      <c r="N626" s="189"/>
      <c r="Q626" s="179"/>
      <c r="S626" s="189"/>
      <c r="T626" s="189"/>
      <c r="V626" s="189"/>
      <c r="W626" s="189"/>
      <c r="Z626" s="179"/>
      <c r="AA626" s="189"/>
      <c r="AB626" s="189"/>
      <c r="AD626" s="189"/>
      <c r="AE626" s="189"/>
      <c r="AH626" s="179"/>
      <c r="AJ626" s="191"/>
      <c r="AK626" s="191"/>
      <c r="AM626" s="191"/>
      <c r="AN626" s="191"/>
      <c r="AQ626" s="179"/>
      <c r="AR626" s="192"/>
      <c r="AS626" s="192"/>
      <c r="AU626" s="192"/>
      <c r="AV626" s="192"/>
      <c r="AY626" s="179"/>
      <c r="BA626" s="192"/>
      <c r="BB626" s="192"/>
      <c r="BD626" s="192"/>
      <c r="BE626" s="192"/>
      <c r="BH626" s="179"/>
      <c r="BI626" s="192"/>
      <c r="BJ626" s="192"/>
      <c r="BL626" s="192"/>
      <c r="BM626" s="192"/>
      <c r="BP626" s="179"/>
    </row>
    <row r="627">
      <c r="B627" s="189"/>
      <c r="C627" s="189"/>
      <c r="E627" s="189"/>
      <c r="F627" s="189"/>
      <c r="I627" s="179"/>
      <c r="J627" s="189"/>
      <c r="K627" s="189"/>
      <c r="M627" s="189"/>
      <c r="N627" s="189"/>
      <c r="Q627" s="179"/>
      <c r="S627" s="189"/>
      <c r="T627" s="189"/>
      <c r="V627" s="189"/>
      <c r="W627" s="189"/>
      <c r="Z627" s="179"/>
      <c r="AA627" s="189"/>
      <c r="AB627" s="189"/>
      <c r="AD627" s="189"/>
      <c r="AE627" s="189"/>
      <c r="AH627" s="179"/>
      <c r="AJ627" s="191"/>
      <c r="AK627" s="191"/>
      <c r="AM627" s="191"/>
      <c r="AN627" s="191"/>
      <c r="AQ627" s="179"/>
      <c r="AR627" s="192"/>
      <c r="AS627" s="192"/>
      <c r="AU627" s="192"/>
      <c r="AV627" s="192"/>
      <c r="AY627" s="179"/>
      <c r="BA627" s="192"/>
      <c r="BB627" s="192"/>
      <c r="BD627" s="192"/>
      <c r="BE627" s="192"/>
      <c r="BH627" s="179"/>
      <c r="BI627" s="192"/>
      <c r="BJ627" s="192"/>
      <c r="BL627" s="192"/>
      <c r="BM627" s="192"/>
      <c r="BP627" s="179"/>
    </row>
    <row r="628">
      <c r="B628" s="189"/>
      <c r="C628" s="189"/>
      <c r="E628" s="189"/>
      <c r="F628" s="189"/>
      <c r="I628" s="179"/>
      <c r="J628" s="189"/>
      <c r="K628" s="189"/>
      <c r="M628" s="189"/>
      <c r="N628" s="189"/>
      <c r="Q628" s="179"/>
      <c r="S628" s="189"/>
      <c r="T628" s="189"/>
      <c r="V628" s="189"/>
      <c r="W628" s="189"/>
      <c r="Z628" s="179"/>
      <c r="AA628" s="189"/>
      <c r="AB628" s="189"/>
      <c r="AD628" s="189"/>
      <c r="AE628" s="189"/>
      <c r="AH628" s="179"/>
      <c r="AJ628" s="191"/>
      <c r="AK628" s="191"/>
      <c r="AM628" s="191"/>
      <c r="AN628" s="191"/>
      <c r="AQ628" s="179"/>
      <c r="AR628" s="192"/>
      <c r="AS628" s="192"/>
      <c r="AU628" s="192"/>
      <c r="AV628" s="192"/>
      <c r="AY628" s="179"/>
      <c r="BA628" s="192"/>
      <c r="BB628" s="192"/>
      <c r="BD628" s="192"/>
      <c r="BE628" s="192"/>
      <c r="BH628" s="179"/>
      <c r="BI628" s="192"/>
      <c r="BJ628" s="192"/>
      <c r="BL628" s="192"/>
      <c r="BM628" s="192"/>
      <c r="BP628" s="179"/>
    </row>
    <row r="629">
      <c r="B629" s="189"/>
      <c r="C629" s="189"/>
      <c r="E629" s="189"/>
      <c r="F629" s="189"/>
      <c r="I629" s="179"/>
      <c r="J629" s="189"/>
      <c r="K629" s="189"/>
      <c r="M629" s="189"/>
      <c r="N629" s="189"/>
      <c r="Q629" s="179"/>
      <c r="S629" s="189"/>
      <c r="T629" s="189"/>
      <c r="V629" s="189"/>
      <c r="W629" s="189"/>
      <c r="Z629" s="179"/>
      <c r="AA629" s="189"/>
      <c r="AB629" s="189"/>
      <c r="AD629" s="189"/>
      <c r="AE629" s="189"/>
      <c r="AH629" s="179"/>
      <c r="AJ629" s="191"/>
      <c r="AK629" s="191"/>
      <c r="AM629" s="191"/>
      <c r="AN629" s="191"/>
      <c r="AQ629" s="179"/>
      <c r="AR629" s="192"/>
      <c r="AS629" s="192"/>
      <c r="AU629" s="192"/>
      <c r="AV629" s="192"/>
      <c r="AY629" s="179"/>
      <c r="BA629" s="192"/>
      <c r="BB629" s="192"/>
      <c r="BD629" s="192"/>
      <c r="BE629" s="192"/>
      <c r="BH629" s="179"/>
      <c r="BI629" s="192"/>
      <c r="BJ629" s="192"/>
      <c r="BL629" s="192"/>
      <c r="BM629" s="192"/>
      <c r="BP629" s="179"/>
    </row>
    <row r="630">
      <c r="B630" s="189"/>
      <c r="C630" s="189"/>
      <c r="E630" s="189"/>
      <c r="F630" s="189"/>
      <c r="I630" s="179"/>
      <c r="J630" s="189"/>
      <c r="K630" s="189"/>
      <c r="M630" s="189"/>
      <c r="N630" s="189"/>
      <c r="Q630" s="179"/>
      <c r="S630" s="189"/>
      <c r="T630" s="189"/>
      <c r="V630" s="189"/>
      <c r="W630" s="189"/>
      <c r="Z630" s="179"/>
      <c r="AA630" s="189"/>
      <c r="AB630" s="189"/>
      <c r="AD630" s="189"/>
      <c r="AE630" s="189"/>
      <c r="AH630" s="179"/>
      <c r="AJ630" s="191"/>
      <c r="AK630" s="191"/>
      <c r="AM630" s="191"/>
      <c r="AN630" s="191"/>
      <c r="AQ630" s="179"/>
      <c r="AR630" s="192"/>
      <c r="AS630" s="192"/>
      <c r="AU630" s="192"/>
      <c r="AV630" s="192"/>
      <c r="AY630" s="179"/>
      <c r="BA630" s="192"/>
      <c r="BB630" s="192"/>
      <c r="BD630" s="192"/>
      <c r="BE630" s="192"/>
      <c r="BH630" s="179"/>
      <c r="BI630" s="192"/>
      <c r="BJ630" s="192"/>
      <c r="BL630" s="192"/>
      <c r="BM630" s="192"/>
      <c r="BP630" s="179"/>
    </row>
    <row r="631">
      <c r="B631" s="189"/>
      <c r="C631" s="189"/>
      <c r="E631" s="189"/>
      <c r="F631" s="189"/>
      <c r="I631" s="179"/>
      <c r="J631" s="189"/>
      <c r="K631" s="189"/>
      <c r="M631" s="189"/>
      <c r="N631" s="189"/>
      <c r="Q631" s="179"/>
      <c r="S631" s="189"/>
      <c r="T631" s="189"/>
      <c r="V631" s="189"/>
      <c r="W631" s="189"/>
      <c r="Z631" s="179"/>
      <c r="AA631" s="189"/>
      <c r="AB631" s="189"/>
      <c r="AD631" s="189"/>
      <c r="AE631" s="189"/>
      <c r="AH631" s="179"/>
      <c r="AJ631" s="191"/>
      <c r="AK631" s="191"/>
      <c r="AM631" s="191"/>
      <c r="AN631" s="191"/>
      <c r="AQ631" s="179"/>
      <c r="AR631" s="192"/>
      <c r="AS631" s="192"/>
      <c r="AU631" s="192"/>
      <c r="AV631" s="192"/>
      <c r="AY631" s="179"/>
      <c r="BA631" s="192"/>
      <c r="BB631" s="192"/>
      <c r="BD631" s="192"/>
      <c r="BE631" s="192"/>
      <c r="BH631" s="179"/>
      <c r="BI631" s="192"/>
      <c r="BJ631" s="192"/>
      <c r="BL631" s="192"/>
      <c r="BM631" s="192"/>
      <c r="BP631" s="179"/>
    </row>
    <row r="632">
      <c r="B632" s="189"/>
      <c r="C632" s="189"/>
      <c r="E632" s="189"/>
      <c r="F632" s="189"/>
      <c r="I632" s="179"/>
      <c r="J632" s="189"/>
      <c r="K632" s="189"/>
      <c r="M632" s="189"/>
      <c r="N632" s="189"/>
      <c r="Q632" s="179"/>
      <c r="S632" s="189"/>
      <c r="T632" s="189"/>
      <c r="V632" s="189"/>
      <c r="W632" s="189"/>
      <c r="Z632" s="179"/>
      <c r="AA632" s="189"/>
      <c r="AB632" s="189"/>
      <c r="AD632" s="189"/>
      <c r="AE632" s="189"/>
      <c r="AH632" s="179"/>
      <c r="AJ632" s="191"/>
      <c r="AK632" s="191"/>
      <c r="AM632" s="191"/>
      <c r="AN632" s="191"/>
      <c r="AQ632" s="179"/>
      <c r="AR632" s="192"/>
      <c r="AS632" s="192"/>
      <c r="AU632" s="192"/>
      <c r="AV632" s="192"/>
      <c r="AY632" s="179"/>
      <c r="BA632" s="192"/>
      <c r="BB632" s="192"/>
      <c r="BD632" s="192"/>
      <c r="BE632" s="192"/>
      <c r="BH632" s="179"/>
      <c r="BI632" s="192"/>
      <c r="BJ632" s="192"/>
      <c r="BL632" s="192"/>
      <c r="BM632" s="192"/>
      <c r="BP632" s="179"/>
    </row>
    <row r="633">
      <c r="B633" s="189"/>
      <c r="C633" s="189"/>
      <c r="E633" s="189"/>
      <c r="F633" s="189"/>
      <c r="I633" s="179"/>
      <c r="J633" s="189"/>
      <c r="K633" s="189"/>
      <c r="M633" s="189"/>
      <c r="N633" s="189"/>
      <c r="Q633" s="179"/>
      <c r="S633" s="189"/>
      <c r="T633" s="189"/>
      <c r="V633" s="189"/>
      <c r="W633" s="189"/>
      <c r="Z633" s="179"/>
      <c r="AA633" s="189"/>
      <c r="AB633" s="189"/>
      <c r="AD633" s="189"/>
      <c r="AE633" s="189"/>
      <c r="AH633" s="179"/>
      <c r="AJ633" s="191"/>
      <c r="AK633" s="191"/>
      <c r="AM633" s="191"/>
      <c r="AN633" s="191"/>
      <c r="AQ633" s="179"/>
      <c r="AR633" s="192"/>
      <c r="AS633" s="192"/>
      <c r="AU633" s="192"/>
      <c r="AV633" s="192"/>
      <c r="AY633" s="179"/>
      <c r="BA633" s="192"/>
      <c r="BB633" s="192"/>
      <c r="BD633" s="192"/>
      <c r="BE633" s="192"/>
      <c r="BH633" s="179"/>
      <c r="BI633" s="192"/>
      <c r="BJ633" s="192"/>
      <c r="BL633" s="192"/>
      <c r="BM633" s="192"/>
      <c r="BP633" s="179"/>
    </row>
    <row r="634">
      <c r="B634" s="189"/>
      <c r="C634" s="189"/>
      <c r="E634" s="189"/>
      <c r="F634" s="189"/>
      <c r="I634" s="179"/>
      <c r="J634" s="189"/>
      <c r="K634" s="189"/>
      <c r="M634" s="189"/>
      <c r="N634" s="189"/>
      <c r="Q634" s="179"/>
      <c r="S634" s="189"/>
      <c r="T634" s="189"/>
      <c r="V634" s="189"/>
      <c r="W634" s="189"/>
      <c r="Z634" s="179"/>
      <c r="AA634" s="189"/>
      <c r="AB634" s="189"/>
      <c r="AD634" s="189"/>
      <c r="AE634" s="189"/>
      <c r="AH634" s="179"/>
      <c r="AJ634" s="191"/>
      <c r="AK634" s="191"/>
      <c r="AM634" s="191"/>
      <c r="AN634" s="191"/>
      <c r="AQ634" s="179"/>
      <c r="AR634" s="192"/>
      <c r="AS634" s="192"/>
      <c r="AU634" s="192"/>
      <c r="AV634" s="192"/>
      <c r="AY634" s="179"/>
      <c r="BA634" s="192"/>
      <c r="BB634" s="192"/>
      <c r="BD634" s="192"/>
      <c r="BE634" s="192"/>
      <c r="BH634" s="179"/>
      <c r="BI634" s="192"/>
      <c r="BJ634" s="192"/>
      <c r="BL634" s="192"/>
      <c r="BM634" s="192"/>
      <c r="BP634" s="179"/>
    </row>
    <row r="635">
      <c r="B635" s="189"/>
      <c r="C635" s="189"/>
      <c r="E635" s="189"/>
      <c r="F635" s="189"/>
      <c r="I635" s="179"/>
      <c r="J635" s="189"/>
      <c r="K635" s="189"/>
      <c r="M635" s="189"/>
      <c r="N635" s="189"/>
      <c r="Q635" s="179"/>
      <c r="S635" s="189"/>
      <c r="T635" s="189"/>
      <c r="V635" s="189"/>
      <c r="W635" s="189"/>
      <c r="Z635" s="179"/>
      <c r="AA635" s="189"/>
      <c r="AB635" s="189"/>
      <c r="AD635" s="189"/>
      <c r="AE635" s="189"/>
      <c r="AH635" s="179"/>
      <c r="AJ635" s="191"/>
      <c r="AK635" s="191"/>
      <c r="AM635" s="191"/>
      <c r="AN635" s="191"/>
      <c r="AQ635" s="179"/>
      <c r="AR635" s="192"/>
      <c r="AS635" s="192"/>
      <c r="AU635" s="192"/>
      <c r="AV635" s="192"/>
      <c r="AY635" s="179"/>
      <c r="BA635" s="192"/>
      <c r="BB635" s="192"/>
      <c r="BD635" s="192"/>
      <c r="BE635" s="192"/>
      <c r="BH635" s="179"/>
      <c r="BI635" s="192"/>
      <c r="BJ635" s="192"/>
      <c r="BL635" s="192"/>
      <c r="BM635" s="192"/>
      <c r="BP635" s="179"/>
    </row>
    <row r="636">
      <c r="B636" s="189"/>
      <c r="C636" s="189"/>
      <c r="E636" s="189"/>
      <c r="F636" s="189"/>
      <c r="I636" s="179"/>
      <c r="J636" s="189"/>
      <c r="K636" s="189"/>
      <c r="M636" s="189"/>
      <c r="N636" s="189"/>
      <c r="Q636" s="179"/>
      <c r="S636" s="189"/>
      <c r="T636" s="189"/>
      <c r="V636" s="189"/>
      <c r="W636" s="189"/>
      <c r="Z636" s="179"/>
      <c r="AA636" s="189"/>
      <c r="AB636" s="189"/>
      <c r="AD636" s="189"/>
      <c r="AE636" s="189"/>
      <c r="AH636" s="179"/>
      <c r="AJ636" s="191"/>
      <c r="AK636" s="191"/>
      <c r="AM636" s="191"/>
      <c r="AN636" s="191"/>
      <c r="AQ636" s="179"/>
      <c r="AR636" s="192"/>
      <c r="AS636" s="192"/>
      <c r="AU636" s="192"/>
      <c r="AV636" s="192"/>
      <c r="AY636" s="179"/>
      <c r="BA636" s="192"/>
      <c r="BB636" s="192"/>
      <c r="BD636" s="192"/>
      <c r="BE636" s="192"/>
      <c r="BH636" s="179"/>
      <c r="BI636" s="192"/>
      <c r="BJ636" s="192"/>
      <c r="BL636" s="192"/>
      <c r="BM636" s="192"/>
      <c r="BP636" s="179"/>
    </row>
    <row r="637">
      <c r="B637" s="189"/>
      <c r="C637" s="189"/>
      <c r="E637" s="189"/>
      <c r="F637" s="189"/>
      <c r="I637" s="179"/>
      <c r="J637" s="189"/>
      <c r="K637" s="189"/>
      <c r="M637" s="189"/>
      <c r="N637" s="189"/>
      <c r="Q637" s="179"/>
      <c r="S637" s="189"/>
      <c r="T637" s="189"/>
      <c r="V637" s="189"/>
      <c r="W637" s="189"/>
      <c r="Z637" s="179"/>
      <c r="AA637" s="189"/>
      <c r="AB637" s="189"/>
      <c r="AD637" s="189"/>
      <c r="AE637" s="189"/>
      <c r="AH637" s="179"/>
      <c r="AJ637" s="191"/>
      <c r="AK637" s="191"/>
      <c r="AM637" s="191"/>
      <c r="AN637" s="191"/>
      <c r="AQ637" s="179"/>
      <c r="AR637" s="192"/>
      <c r="AS637" s="192"/>
      <c r="AU637" s="192"/>
      <c r="AV637" s="192"/>
      <c r="AY637" s="179"/>
      <c r="BA637" s="192"/>
      <c r="BB637" s="192"/>
      <c r="BD637" s="192"/>
      <c r="BE637" s="192"/>
      <c r="BH637" s="179"/>
      <c r="BI637" s="192"/>
      <c r="BJ637" s="192"/>
      <c r="BL637" s="192"/>
      <c r="BM637" s="192"/>
      <c r="BP637" s="179"/>
    </row>
    <row r="638">
      <c r="B638" s="189"/>
      <c r="C638" s="189"/>
      <c r="E638" s="189"/>
      <c r="F638" s="189"/>
      <c r="I638" s="179"/>
      <c r="J638" s="189"/>
      <c r="K638" s="189"/>
      <c r="M638" s="189"/>
      <c r="N638" s="189"/>
      <c r="Q638" s="179"/>
      <c r="S638" s="189"/>
      <c r="T638" s="189"/>
      <c r="V638" s="189"/>
      <c r="W638" s="189"/>
      <c r="Z638" s="179"/>
      <c r="AA638" s="189"/>
      <c r="AB638" s="189"/>
      <c r="AD638" s="189"/>
      <c r="AE638" s="189"/>
      <c r="AH638" s="179"/>
      <c r="AJ638" s="191"/>
      <c r="AK638" s="191"/>
      <c r="AM638" s="191"/>
      <c r="AN638" s="191"/>
      <c r="AQ638" s="179"/>
      <c r="AR638" s="192"/>
      <c r="AS638" s="192"/>
      <c r="AU638" s="192"/>
      <c r="AV638" s="192"/>
      <c r="AY638" s="179"/>
      <c r="BA638" s="192"/>
      <c r="BB638" s="192"/>
      <c r="BD638" s="192"/>
      <c r="BE638" s="192"/>
      <c r="BH638" s="179"/>
      <c r="BI638" s="192"/>
      <c r="BJ638" s="192"/>
      <c r="BL638" s="192"/>
      <c r="BM638" s="192"/>
      <c r="BP638" s="179"/>
    </row>
    <row r="639">
      <c r="B639" s="189"/>
      <c r="C639" s="189"/>
      <c r="E639" s="189"/>
      <c r="F639" s="189"/>
      <c r="I639" s="179"/>
      <c r="J639" s="189"/>
      <c r="K639" s="189"/>
      <c r="M639" s="189"/>
      <c r="N639" s="189"/>
      <c r="Q639" s="179"/>
      <c r="S639" s="189"/>
      <c r="T639" s="189"/>
      <c r="V639" s="189"/>
      <c r="W639" s="189"/>
      <c r="Z639" s="179"/>
      <c r="AA639" s="189"/>
      <c r="AB639" s="189"/>
      <c r="AD639" s="189"/>
      <c r="AE639" s="189"/>
      <c r="AH639" s="179"/>
      <c r="AJ639" s="191"/>
      <c r="AK639" s="191"/>
      <c r="AM639" s="191"/>
      <c r="AN639" s="191"/>
      <c r="AQ639" s="179"/>
      <c r="AR639" s="192"/>
      <c r="AS639" s="192"/>
      <c r="AU639" s="192"/>
      <c r="AV639" s="192"/>
      <c r="AY639" s="179"/>
      <c r="BA639" s="192"/>
      <c r="BB639" s="192"/>
      <c r="BD639" s="192"/>
      <c r="BE639" s="192"/>
      <c r="BH639" s="179"/>
      <c r="BI639" s="192"/>
      <c r="BJ639" s="192"/>
      <c r="BL639" s="192"/>
      <c r="BM639" s="192"/>
      <c r="BP639" s="179"/>
    </row>
    <row r="640">
      <c r="B640" s="189"/>
      <c r="C640" s="189"/>
      <c r="E640" s="189"/>
      <c r="F640" s="189"/>
      <c r="I640" s="179"/>
      <c r="J640" s="189"/>
      <c r="K640" s="189"/>
      <c r="M640" s="189"/>
      <c r="N640" s="189"/>
      <c r="Q640" s="179"/>
      <c r="S640" s="189"/>
      <c r="T640" s="189"/>
      <c r="V640" s="189"/>
      <c r="W640" s="189"/>
      <c r="Z640" s="179"/>
      <c r="AA640" s="189"/>
      <c r="AB640" s="189"/>
      <c r="AD640" s="189"/>
      <c r="AE640" s="189"/>
      <c r="AH640" s="179"/>
      <c r="AJ640" s="191"/>
      <c r="AK640" s="191"/>
      <c r="AM640" s="191"/>
      <c r="AN640" s="191"/>
      <c r="AQ640" s="179"/>
      <c r="AR640" s="192"/>
      <c r="AS640" s="192"/>
      <c r="AU640" s="192"/>
      <c r="AV640" s="192"/>
      <c r="AY640" s="179"/>
      <c r="BA640" s="192"/>
      <c r="BB640" s="192"/>
      <c r="BD640" s="192"/>
      <c r="BE640" s="192"/>
      <c r="BH640" s="179"/>
      <c r="BI640" s="192"/>
      <c r="BJ640" s="192"/>
      <c r="BL640" s="192"/>
      <c r="BM640" s="192"/>
      <c r="BP640" s="179"/>
    </row>
    <row r="641">
      <c r="B641" s="189"/>
      <c r="C641" s="189"/>
      <c r="E641" s="189"/>
      <c r="F641" s="189"/>
      <c r="I641" s="179"/>
      <c r="J641" s="189"/>
      <c r="K641" s="189"/>
      <c r="M641" s="189"/>
      <c r="N641" s="189"/>
      <c r="Q641" s="179"/>
      <c r="S641" s="189"/>
      <c r="T641" s="189"/>
      <c r="V641" s="189"/>
      <c r="W641" s="189"/>
      <c r="Z641" s="179"/>
      <c r="AA641" s="189"/>
      <c r="AB641" s="189"/>
      <c r="AD641" s="189"/>
      <c r="AE641" s="189"/>
      <c r="AH641" s="179"/>
      <c r="AJ641" s="191"/>
      <c r="AK641" s="191"/>
      <c r="AM641" s="191"/>
      <c r="AN641" s="191"/>
      <c r="AQ641" s="179"/>
      <c r="AR641" s="192"/>
      <c r="AS641" s="192"/>
      <c r="AU641" s="192"/>
      <c r="AV641" s="192"/>
      <c r="AY641" s="179"/>
      <c r="BA641" s="192"/>
      <c r="BB641" s="192"/>
      <c r="BD641" s="192"/>
      <c r="BE641" s="192"/>
      <c r="BH641" s="179"/>
      <c r="BI641" s="192"/>
      <c r="BJ641" s="192"/>
      <c r="BL641" s="192"/>
      <c r="BM641" s="192"/>
      <c r="BP641" s="179"/>
    </row>
    <row r="642">
      <c r="B642" s="189"/>
      <c r="C642" s="189"/>
      <c r="E642" s="189"/>
      <c r="F642" s="189"/>
      <c r="I642" s="179"/>
      <c r="J642" s="189"/>
      <c r="K642" s="189"/>
      <c r="M642" s="189"/>
      <c r="N642" s="189"/>
      <c r="Q642" s="179"/>
      <c r="S642" s="189"/>
      <c r="T642" s="189"/>
      <c r="V642" s="189"/>
      <c r="W642" s="189"/>
      <c r="Z642" s="179"/>
      <c r="AA642" s="189"/>
      <c r="AB642" s="189"/>
      <c r="AD642" s="189"/>
      <c r="AE642" s="189"/>
      <c r="AH642" s="179"/>
      <c r="AJ642" s="191"/>
      <c r="AK642" s="191"/>
      <c r="AM642" s="191"/>
      <c r="AN642" s="191"/>
      <c r="AQ642" s="179"/>
      <c r="AR642" s="192"/>
      <c r="AS642" s="192"/>
      <c r="AU642" s="192"/>
      <c r="AV642" s="192"/>
      <c r="AY642" s="179"/>
      <c r="BA642" s="192"/>
      <c r="BB642" s="192"/>
      <c r="BD642" s="192"/>
      <c r="BE642" s="192"/>
      <c r="BH642" s="179"/>
      <c r="BI642" s="192"/>
      <c r="BJ642" s="192"/>
      <c r="BL642" s="192"/>
      <c r="BM642" s="192"/>
      <c r="BP642" s="179"/>
    </row>
    <row r="643">
      <c r="B643" s="189"/>
      <c r="C643" s="189"/>
      <c r="E643" s="189"/>
      <c r="F643" s="189"/>
      <c r="I643" s="179"/>
      <c r="J643" s="189"/>
      <c r="K643" s="189"/>
      <c r="M643" s="189"/>
      <c r="N643" s="189"/>
      <c r="Q643" s="179"/>
      <c r="S643" s="189"/>
      <c r="T643" s="189"/>
      <c r="V643" s="189"/>
      <c r="W643" s="189"/>
      <c r="Z643" s="179"/>
      <c r="AA643" s="189"/>
      <c r="AB643" s="189"/>
      <c r="AD643" s="189"/>
      <c r="AE643" s="189"/>
      <c r="AH643" s="179"/>
      <c r="AJ643" s="191"/>
      <c r="AK643" s="191"/>
      <c r="AM643" s="191"/>
      <c r="AN643" s="191"/>
      <c r="AQ643" s="179"/>
      <c r="AR643" s="192"/>
      <c r="AS643" s="192"/>
      <c r="AU643" s="192"/>
      <c r="AV643" s="192"/>
      <c r="AY643" s="179"/>
      <c r="BA643" s="192"/>
      <c r="BB643" s="192"/>
      <c r="BD643" s="192"/>
      <c r="BE643" s="192"/>
      <c r="BH643" s="179"/>
      <c r="BI643" s="192"/>
      <c r="BJ643" s="192"/>
      <c r="BL643" s="192"/>
      <c r="BM643" s="192"/>
      <c r="BP643" s="179"/>
    </row>
    <row r="644">
      <c r="B644" s="189"/>
      <c r="C644" s="189"/>
      <c r="E644" s="189"/>
      <c r="F644" s="189"/>
      <c r="I644" s="179"/>
      <c r="J644" s="189"/>
      <c r="K644" s="189"/>
      <c r="M644" s="189"/>
      <c r="N644" s="189"/>
      <c r="Q644" s="179"/>
      <c r="S644" s="189"/>
      <c r="T644" s="189"/>
      <c r="V644" s="189"/>
      <c r="W644" s="189"/>
      <c r="Z644" s="179"/>
      <c r="AA644" s="189"/>
      <c r="AB644" s="189"/>
      <c r="AD644" s="189"/>
      <c r="AE644" s="189"/>
      <c r="AH644" s="179"/>
      <c r="AJ644" s="191"/>
      <c r="AK644" s="191"/>
      <c r="AM644" s="191"/>
      <c r="AN644" s="191"/>
      <c r="AQ644" s="179"/>
      <c r="AR644" s="192"/>
      <c r="AS644" s="192"/>
      <c r="AU644" s="192"/>
      <c r="AV644" s="192"/>
      <c r="AY644" s="179"/>
      <c r="BA644" s="192"/>
      <c r="BB644" s="192"/>
      <c r="BD644" s="192"/>
      <c r="BE644" s="192"/>
      <c r="BH644" s="179"/>
      <c r="BI644" s="192"/>
      <c r="BJ644" s="192"/>
      <c r="BL644" s="192"/>
      <c r="BM644" s="192"/>
      <c r="BP644" s="179"/>
    </row>
    <row r="645">
      <c r="B645" s="189"/>
      <c r="C645" s="189"/>
      <c r="E645" s="189"/>
      <c r="F645" s="189"/>
      <c r="I645" s="179"/>
      <c r="J645" s="189"/>
      <c r="K645" s="189"/>
      <c r="M645" s="189"/>
      <c r="N645" s="189"/>
      <c r="Q645" s="179"/>
      <c r="S645" s="189"/>
      <c r="T645" s="189"/>
      <c r="V645" s="189"/>
      <c r="W645" s="189"/>
      <c r="Z645" s="179"/>
      <c r="AA645" s="189"/>
      <c r="AB645" s="189"/>
      <c r="AD645" s="189"/>
      <c r="AE645" s="189"/>
      <c r="AH645" s="179"/>
      <c r="AJ645" s="191"/>
      <c r="AK645" s="191"/>
      <c r="AM645" s="191"/>
      <c r="AN645" s="191"/>
      <c r="AQ645" s="179"/>
      <c r="AR645" s="192"/>
      <c r="AS645" s="192"/>
      <c r="AU645" s="192"/>
      <c r="AV645" s="192"/>
      <c r="AY645" s="179"/>
      <c r="BA645" s="192"/>
      <c r="BB645" s="192"/>
      <c r="BD645" s="192"/>
      <c r="BE645" s="192"/>
      <c r="BH645" s="179"/>
      <c r="BI645" s="192"/>
      <c r="BJ645" s="192"/>
      <c r="BL645" s="192"/>
      <c r="BM645" s="192"/>
      <c r="BP645" s="179"/>
    </row>
    <row r="646">
      <c r="B646" s="189"/>
      <c r="C646" s="189"/>
      <c r="E646" s="189"/>
      <c r="F646" s="189"/>
      <c r="I646" s="179"/>
      <c r="J646" s="189"/>
      <c r="K646" s="189"/>
      <c r="M646" s="189"/>
      <c r="N646" s="189"/>
      <c r="Q646" s="179"/>
      <c r="S646" s="189"/>
      <c r="T646" s="189"/>
      <c r="V646" s="189"/>
      <c r="W646" s="189"/>
      <c r="Z646" s="179"/>
      <c r="AA646" s="189"/>
      <c r="AB646" s="189"/>
      <c r="AD646" s="189"/>
      <c r="AE646" s="189"/>
      <c r="AH646" s="179"/>
      <c r="AJ646" s="191"/>
      <c r="AK646" s="191"/>
      <c r="AM646" s="191"/>
      <c r="AN646" s="191"/>
      <c r="AQ646" s="179"/>
      <c r="AR646" s="192"/>
      <c r="AS646" s="192"/>
      <c r="AU646" s="192"/>
      <c r="AV646" s="192"/>
      <c r="AY646" s="179"/>
      <c r="BA646" s="192"/>
      <c r="BB646" s="192"/>
      <c r="BD646" s="192"/>
      <c r="BE646" s="192"/>
      <c r="BH646" s="179"/>
      <c r="BI646" s="192"/>
      <c r="BJ646" s="192"/>
      <c r="BL646" s="192"/>
      <c r="BM646" s="192"/>
      <c r="BP646" s="179"/>
    </row>
    <row r="647">
      <c r="B647" s="189"/>
      <c r="C647" s="189"/>
      <c r="E647" s="189"/>
      <c r="F647" s="189"/>
      <c r="I647" s="179"/>
      <c r="J647" s="189"/>
      <c r="K647" s="189"/>
      <c r="M647" s="189"/>
      <c r="N647" s="189"/>
      <c r="Q647" s="179"/>
      <c r="S647" s="189"/>
      <c r="T647" s="189"/>
      <c r="V647" s="189"/>
      <c r="W647" s="189"/>
      <c r="Z647" s="179"/>
      <c r="AA647" s="189"/>
      <c r="AB647" s="189"/>
      <c r="AD647" s="189"/>
      <c r="AE647" s="189"/>
      <c r="AH647" s="179"/>
      <c r="AJ647" s="191"/>
      <c r="AK647" s="191"/>
      <c r="AM647" s="191"/>
      <c r="AN647" s="191"/>
      <c r="AQ647" s="179"/>
      <c r="AR647" s="192"/>
      <c r="AS647" s="192"/>
      <c r="AU647" s="192"/>
      <c r="AV647" s="192"/>
      <c r="AY647" s="179"/>
      <c r="BA647" s="192"/>
      <c r="BB647" s="192"/>
      <c r="BD647" s="192"/>
      <c r="BE647" s="192"/>
      <c r="BH647" s="179"/>
      <c r="BI647" s="192"/>
      <c r="BJ647" s="192"/>
      <c r="BL647" s="192"/>
      <c r="BM647" s="192"/>
      <c r="BP647" s="179"/>
    </row>
    <row r="648">
      <c r="B648" s="189"/>
      <c r="C648" s="189"/>
      <c r="E648" s="189"/>
      <c r="F648" s="189"/>
      <c r="I648" s="179"/>
      <c r="J648" s="189"/>
      <c r="K648" s="189"/>
      <c r="M648" s="189"/>
      <c r="N648" s="189"/>
      <c r="Q648" s="179"/>
      <c r="S648" s="189"/>
      <c r="T648" s="189"/>
      <c r="V648" s="189"/>
      <c r="W648" s="189"/>
      <c r="Z648" s="179"/>
      <c r="AA648" s="189"/>
      <c r="AB648" s="189"/>
      <c r="AD648" s="189"/>
      <c r="AE648" s="189"/>
      <c r="AH648" s="179"/>
      <c r="AJ648" s="191"/>
      <c r="AK648" s="191"/>
      <c r="AM648" s="191"/>
      <c r="AN648" s="191"/>
      <c r="AQ648" s="179"/>
      <c r="AR648" s="192"/>
      <c r="AS648" s="192"/>
      <c r="AU648" s="192"/>
      <c r="AV648" s="192"/>
      <c r="AY648" s="179"/>
      <c r="BA648" s="192"/>
      <c r="BB648" s="192"/>
      <c r="BD648" s="192"/>
      <c r="BE648" s="192"/>
      <c r="BH648" s="179"/>
      <c r="BI648" s="192"/>
      <c r="BJ648" s="192"/>
      <c r="BL648" s="192"/>
      <c r="BM648" s="192"/>
      <c r="BP648" s="179"/>
    </row>
    <row r="649">
      <c r="B649" s="189"/>
      <c r="C649" s="189"/>
      <c r="E649" s="189"/>
      <c r="F649" s="189"/>
      <c r="I649" s="179"/>
      <c r="J649" s="189"/>
      <c r="K649" s="189"/>
      <c r="M649" s="189"/>
      <c r="N649" s="189"/>
      <c r="Q649" s="179"/>
      <c r="S649" s="189"/>
      <c r="T649" s="189"/>
      <c r="V649" s="189"/>
      <c r="W649" s="189"/>
      <c r="Z649" s="179"/>
      <c r="AA649" s="189"/>
      <c r="AB649" s="189"/>
      <c r="AD649" s="189"/>
      <c r="AE649" s="189"/>
      <c r="AH649" s="179"/>
      <c r="AJ649" s="191"/>
      <c r="AK649" s="191"/>
      <c r="AM649" s="191"/>
      <c r="AN649" s="191"/>
      <c r="AQ649" s="179"/>
      <c r="AR649" s="192"/>
      <c r="AS649" s="192"/>
      <c r="AU649" s="192"/>
      <c r="AV649" s="192"/>
      <c r="AY649" s="179"/>
      <c r="BA649" s="192"/>
      <c r="BB649" s="192"/>
      <c r="BD649" s="192"/>
      <c r="BE649" s="192"/>
      <c r="BH649" s="179"/>
      <c r="BI649" s="192"/>
      <c r="BJ649" s="192"/>
      <c r="BL649" s="192"/>
      <c r="BM649" s="192"/>
      <c r="BP649" s="179"/>
    </row>
    <row r="650">
      <c r="B650" s="189"/>
      <c r="C650" s="189"/>
      <c r="E650" s="189"/>
      <c r="F650" s="189"/>
      <c r="I650" s="179"/>
      <c r="J650" s="189"/>
      <c r="K650" s="189"/>
      <c r="M650" s="189"/>
      <c r="N650" s="189"/>
      <c r="Q650" s="179"/>
      <c r="S650" s="189"/>
      <c r="T650" s="189"/>
      <c r="V650" s="189"/>
      <c r="W650" s="189"/>
      <c r="Z650" s="179"/>
      <c r="AA650" s="189"/>
      <c r="AB650" s="189"/>
      <c r="AD650" s="189"/>
      <c r="AE650" s="189"/>
      <c r="AH650" s="179"/>
      <c r="AJ650" s="191"/>
      <c r="AK650" s="191"/>
      <c r="AM650" s="191"/>
      <c r="AN650" s="191"/>
      <c r="AQ650" s="179"/>
      <c r="AR650" s="192"/>
      <c r="AS650" s="192"/>
      <c r="AU650" s="192"/>
      <c r="AV650" s="192"/>
      <c r="AY650" s="179"/>
      <c r="BA650" s="192"/>
      <c r="BB650" s="192"/>
      <c r="BD650" s="192"/>
      <c r="BE650" s="192"/>
      <c r="BH650" s="179"/>
      <c r="BI650" s="192"/>
      <c r="BJ650" s="192"/>
      <c r="BL650" s="192"/>
      <c r="BM650" s="192"/>
      <c r="BP650" s="179"/>
    </row>
    <row r="651">
      <c r="B651" s="189"/>
      <c r="C651" s="189"/>
      <c r="E651" s="189"/>
      <c r="F651" s="189"/>
      <c r="I651" s="179"/>
      <c r="J651" s="189"/>
      <c r="K651" s="189"/>
      <c r="M651" s="189"/>
      <c r="N651" s="189"/>
      <c r="Q651" s="179"/>
      <c r="S651" s="189"/>
      <c r="T651" s="189"/>
      <c r="V651" s="189"/>
      <c r="W651" s="189"/>
      <c r="Z651" s="179"/>
      <c r="AA651" s="189"/>
      <c r="AB651" s="189"/>
      <c r="AD651" s="189"/>
      <c r="AE651" s="189"/>
      <c r="AH651" s="179"/>
      <c r="AJ651" s="191"/>
      <c r="AK651" s="191"/>
      <c r="AM651" s="191"/>
      <c r="AN651" s="191"/>
      <c r="AQ651" s="179"/>
      <c r="AR651" s="192"/>
      <c r="AS651" s="192"/>
      <c r="AU651" s="192"/>
      <c r="AV651" s="192"/>
      <c r="AY651" s="179"/>
      <c r="BA651" s="192"/>
      <c r="BB651" s="192"/>
      <c r="BD651" s="192"/>
      <c r="BE651" s="192"/>
      <c r="BH651" s="179"/>
      <c r="BI651" s="192"/>
      <c r="BJ651" s="192"/>
      <c r="BL651" s="192"/>
      <c r="BM651" s="192"/>
      <c r="BP651" s="179"/>
    </row>
    <row r="652">
      <c r="B652" s="189"/>
      <c r="C652" s="189"/>
      <c r="E652" s="189"/>
      <c r="F652" s="189"/>
      <c r="I652" s="179"/>
      <c r="J652" s="189"/>
      <c r="K652" s="189"/>
      <c r="M652" s="189"/>
      <c r="N652" s="189"/>
      <c r="Q652" s="179"/>
      <c r="S652" s="189"/>
      <c r="T652" s="189"/>
      <c r="V652" s="189"/>
      <c r="W652" s="189"/>
      <c r="Z652" s="179"/>
      <c r="AA652" s="189"/>
      <c r="AB652" s="189"/>
      <c r="AD652" s="189"/>
      <c r="AE652" s="189"/>
      <c r="AH652" s="179"/>
      <c r="AJ652" s="191"/>
      <c r="AK652" s="191"/>
      <c r="AM652" s="191"/>
      <c r="AN652" s="191"/>
      <c r="AQ652" s="179"/>
      <c r="AR652" s="192"/>
      <c r="AS652" s="192"/>
      <c r="AU652" s="192"/>
      <c r="AV652" s="192"/>
      <c r="AY652" s="179"/>
      <c r="BA652" s="192"/>
      <c r="BB652" s="192"/>
      <c r="BD652" s="192"/>
      <c r="BE652" s="192"/>
      <c r="BH652" s="179"/>
      <c r="BI652" s="192"/>
      <c r="BJ652" s="192"/>
      <c r="BL652" s="192"/>
      <c r="BM652" s="192"/>
      <c r="BP652" s="179"/>
    </row>
    <row r="653">
      <c r="B653" s="189"/>
      <c r="C653" s="189"/>
      <c r="E653" s="189"/>
      <c r="F653" s="189"/>
      <c r="I653" s="179"/>
      <c r="J653" s="189"/>
      <c r="K653" s="189"/>
      <c r="M653" s="189"/>
      <c r="N653" s="189"/>
      <c r="Q653" s="179"/>
      <c r="S653" s="189"/>
      <c r="T653" s="189"/>
      <c r="V653" s="189"/>
      <c r="W653" s="189"/>
      <c r="Z653" s="179"/>
      <c r="AA653" s="189"/>
      <c r="AB653" s="189"/>
      <c r="AD653" s="189"/>
      <c r="AE653" s="189"/>
      <c r="AH653" s="179"/>
      <c r="AJ653" s="191"/>
      <c r="AK653" s="191"/>
      <c r="AM653" s="191"/>
      <c r="AN653" s="191"/>
      <c r="AQ653" s="179"/>
      <c r="AR653" s="192"/>
      <c r="AS653" s="192"/>
      <c r="AU653" s="192"/>
      <c r="AV653" s="192"/>
      <c r="AY653" s="179"/>
      <c r="BA653" s="192"/>
      <c r="BB653" s="192"/>
      <c r="BD653" s="192"/>
      <c r="BE653" s="192"/>
      <c r="BH653" s="179"/>
      <c r="BI653" s="192"/>
      <c r="BJ653" s="192"/>
      <c r="BL653" s="192"/>
      <c r="BM653" s="192"/>
      <c r="BP653" s="179"/>
    </row>
    <row r="654">
      <c r="B654" s="189"/>
      <c r="C654" s="189"/>
      <c r="E654" s="189"/>
      <c r="F654" s="189"/>
      <c r="I654" s="179"/>
      <c r="J654" s="189"/>
      <c r="K654" s="189"/>
      <c r="M654" s="189"/>
      <c r="N654" s="189"/>
      <c r="Q654" s="179"/>
      <c r="S654" s="189"/>
      <c r="T654" s="189"/>
      <c r="V654" s="189"/>
      <c r="W654" s="189"/>
      <c r="Z654" s="179"/>
      <c r="AA654" s="189"/>
      <c r="AB654" s="189"/>
      <c r="AD654" s="189"/>
      <c r="AE654" s="189"/>
      <c r="AH654" s="179"/>
      <c r="AJ654" s="191"/>
      <c r="AK654" s="191"/>
      <c r="AM654" s="191"/>
      <c r="AN654" s="191"/>
      <c r="AQ654" s="179"/>
      <c r="AR654" s="192"/>
      <c r="AS654" s="192"/>
      <c r="AU654" s="192"/>
      <c r="AV654" s="192"/>
      <c r="AY654" s="179"/>
      <c r="BA654" s="192"/>
      <c r="BB654" s="192"/>
      <c r="BD654" s="192"/>
      <c r="BE654" s="192"/>
      <c r="BH654" s="179"/>
      <c r="BI654" s="192"/>
      <c r="BJ654" s="192"/>
      <c r="BL654" s="192"/>
      <c r="BM654" s="192"/>
      <c r="BP654" s="179"/>
    </row>
    <row r="655">
      <c r="B655" s="189"/>
      <c r="C655" s="189"/>
      <c r="E655" s="189"/>
      <c r="F655" s="189"/>
      <c r="I655" s="179"/>
      <c r="J655" s="189"/>
      <c r="K655" s="189"/>
      <c r="M655" s="189"/>
      <c r="N655" s="189"/>
      <c r="Q655" s="179"/>
      <c r="S655" s="189"/>
      <c r="T655" s="189"/>
      <c r="V655" s="189"/>
      <c r="W655" s="189"/>
      <c r="Z655" s="179"/>
      <c r="AA655" s="189"/>
      <c r="AB655" s="189"/>
      <c r="AD655" s="189"/>
      <c r="AE655" s="189"/>
      <c r="AH655" s="179"/>
      <c r="AJ655" s="191"/>
      <c r="AK655" s="191"/>
      <c r="AM655" s="191"/>
      <c r="AN655" s="191"/>
      <c r="AQ655" s="179"/>
      <c r="AR655" s="192"/>
      <c r="AS655" s="192"/>
      <c r="AU655" s="192"/>
      <c r="AV655" s="192"/>
      <c r="AY655" s="179"/>
      <c r="BA655" s="192"/>
      <c r="BB655" s="192"/>
      <c r="BD655" s="192"/>
      <c r="BE655" s="192"/>
      <c r="BH655" s="179"/>
      <c r="BI655" s="192"/>
      <c r="BJ655" s="192"/>
      <c r="BL655" s="192"/>
      <c r="BM655" s="192"/>
      <c r="BP655" s="179"/>
    </row>
    <row r="656">
      <c r="B656" s="189"/>
      <c r="C656" s="189"/>
      <c r="E656" s="189"/>
      <c r="F656" s="189"/>
      <c r="I656" s="179"/>
      <c r="J656" s="189"/>
      <c r="K656" s="189"/>
      <c r="M656" s="189"/>
      <c r="N656" s="189"/>
      <c r="Q656" s="179"/>
      <c r="S656" s="189"/>
      <c r="T656" s="189"/>
      <c r="V656" s="189"/>
      <c r="W656" s="189"/>
      <c r="Z656" s="179"/>
      <c r="AA656" s="189"/>
      <c r="AB656" s="189"/>
      <c r="AD656" s="189"/>
      <c r="AE656" s="189"/>
      <c r="AH656" s="179"/>
      <c r="AJ656" s="191"/>
      <c r="AK656" s="191"/>
      <c r="AM656" s="191"/>
      <c r="AN656" s="191"/>
      <c r="AQ656" s="179"/>
      <c r="AR656" s="192"/>
      <c r="AS656" s="192"/>
      <c r="AU656" s="192"/>
      <c r="AV656" s="192"/>
      <c r="AY656" s="179"/>
      <c r="BA656" s="192"/>
      <c r="BB656" s="192"/>
      <c r="BD656" s="192"/>
      <c r="BE656" s="192"/>
      <c r="BH656" s="179"/>
      <c r="BI656" s="192"/>
      <c r="BJ656" s="192"/>
      <c r="BL656" s="192"/>
      <c r="BM656" s="192"/>
      <c r="BP656" s="179"/>
    </row>
    <row r="657">
      <c r="B657" s="189"/>
      <c r="C657" s="189"/>
      <c r="E657" s="189"/>
      <c r="F657" s="189"/>
      <c r="I657" s="179"/>
      <c r="J657" s="189"/>
      <c r="K657" s="189"/>
      <c r="M657" s="189"/>
      <c r="N657" s="189"/>
      <c r="Q657" s="179"/>
      <c r="S657" s="189"/>
      <c r="T657" s="189"/>
      <c r="V657" s="189"/>
      <c r="W657" s="189"/>
      <c r="Z657" s="179"/>
      <c r="AA657" s="189"/>
      <c r="AB657" s="189"/>
      <c r="AD657" s="189"/>
      <c r="AE657" s="189"/>
      <c r="AH657" s="179"/>
      <c r="AJ657" s="191"/>
      <c r="AK657" s="191"/>
      <c r="AM657" s="191"/>
      <c r="AN657" s="191"/>
      <c r="AQ657" s="179"/>
      <c r="AR657" s="192"/>
      <c r="AS657" s="192"/>
      <c r="AU657" s="192"/>
      <c r="AV657" s="192"/>
      <c r="AY657" s="179"/>
      <c r="BA657" s="192"/>
      <c r="BB657" s="192"/>
      <c r="BD657" s="192"/>
      <c r="BE657" s="192"/>
      <c r="BH657" s="179"/>
      <c r="BI657" s="192"/>
      <c r="BJ657" s="192"/>
      <c r="BL657" s="192"/>
      <c r="BM657" s="192"/>
      <c r="BP657" s="179"/>
    </row>
    <row r="658">
      <c r="B658" s="189"/>
      <c r="C658" s="189"/>
      <c r="E658" s="189"/>
      <c r="F658" s="189"/>
      <c r="I658" s="179"/>
      <c r="J658" s="189"/>
      <c r="K658" s="189"/>
      <c r="M658" s="189"/>
      <c r="N658" s="189"/>
      <c r="Q658" s="179"/>
      <c r="S658" s="189"/>
      <c r="T658" s="189"/>
      <c r="V658" s="189"/>
      <c r="W658" s="189"/>
      <c r="Z658" s="179"/>
      <c r="AA658" s="189"/>
      <c r="AB658" s="189"/>
      <c r="AD658" s="189"/>
      <c r="AE658" s="189"/>
      <c r="AH658" s="179"/>
      <c r="AJ658" s="191"/>
      <c r="AK658" s="191"/>
      <c r="AM658" s="191"/>
      <c r="AN658" s="191"/>
      <c r="AQ658" s="179"/>
      <c r="AR658" s="192"/>
      <c r="AS658" s="192"/>
      <c r="AU658" s="192"/>
      <c r="AV658" s="192"/>
      <c r="AY658" s="179"/>
      <c r="BA658" s="192"/>
      <c r="BB658" s="192"/>
      <c r="BD658" s="192"/>
      <c r="BE658" s="192"/>
      <c r="BH658" s="179"/>
      <c r="BI658" s="192"/>
      <c r="BJ658" s="192"/>
      <c r="BL658" s="192"/>
      <c r="BM658" s="192"/>
      <c r="BP658" s="179"/>
    </row>
    <row r="659">
      <c r="B659" s="189"/>
      <c r="C659" s="189"/>
      <c r="E659" s="189"/>
      <c r="F659" s="189"/>
      <c r="I659" s="179"/>
      <c r="J659" s="189"/>
      <c r="K659" s="189"/>
      <c r="M659" s="189"/>
      <c r="N659" s="189"/>
      <c r="Q659" s="179"/>
      <c r="S659" s="189"/>
      <c r="T659" s="189"/>
      <c r="V659" s="189"/>
      <c r="W659" s="189"/>
      <c r="Z659" s="179"/>
      <c r="AA659" s="189"/>
      <c r="AB659" s="189"/>
      <c r="AD659" s="189"/>
      <c r="AE659" s="189"/>
      <c r="AH659" s="179"/>
      <c r="AJ659" s="191"/>
      <c r="AK659" s="191"/>
      <c r="AM659" s="191"/>
      <c r="AN659" s="191"/>
      <c r="AQ659" s="179"/>
      <c r="AR659" s="192"/>
      <c r="AS659" s="192"/>
      <c r="AU659" s="192"/>
      <c r="AV659" s="192"/>
      <c r="AY659" s="179"/>
      <c r="BA659" s="192"/>
      <c r="BB659" s="192"/>
      <c r="BD659" s="192"/>
      <c r="BE659" s="192"/>
      <c r="BH659" s="179"/>
      <c r="BI659" s="192"/>
      <c r="BJ659" s="192"/>
      <c r="BL659" s="192"/>
      <c r="BM659" s="192"/>
      <c r="BP659" s="179"/>
    </row>
    <row r="660">
      <c r="B660" s="189"/>
      <c r="C660" s="189"/>
      <c r="E660" s="189"/>
      <c r="F660" s="189"/>
      <c r="I660" s="179"/>
      <c r="J660" s="189"/>
      <c r="K660" s="189"/>
      <c r="M660" s="189"/>
      <c r="N660" s="189"/>
      <c r="Q660" s="179"/>
      <c r="S660" s="189"/>
      <c r="T660" s="189"/>
      <c r="V660" s="189"/>
      <c r="W660" s="189"/>
      <c r="Z660" s="179"/>
      <c r="AA660" s="189"/>
      <c r="AB660" s="189"/>
      <c r="AD660" s="189"/>
      <c r="AE660" s="189"/>
      <c r="AH660" s="179"/>
      <c r="AJ660" s="191"/>
      <c r="AK660" s="191"/>
      <c r="AM660" s="191"/>
      <c r="AN660" s="191"/>
      <c r="AQ660" s="179"/>
      <c r="AR660" s="192"/>
      <c r="AS660" s="192"/>
      <c r="AU660" s="192"/>
      <c r="AV660" s="192"/>
      <c r="AY660" s="179"/>
      <c r="BA660" s="192"/>
      <c r="BB660" s="192"/>
      <c r="BD660" s="192"/>
      <c r="BE660" s="192"/>
      <c r="BH660" s="179"/>
      <c r="BI660" s="192"/>
      <c r="BJ660" s="192"/>
      <c r="BL660" s="192"/>
      <c r="BM660" s="192"/>
      <c r="BP660" s="179"/>
    </row>
    <row r="661">
      <c r="B661" s="189"/>
      <c r="C661" s="189"/>
      <c r="E661" s="189"/>
      <c r="F661" s="189"/>
      <c r="I661" s="179"/>
      <c r="J661" s="189"/>
      <c r="K661" s="189"/>
      <c r="M661" s="189"/>
      <c r="N661" s="189"/>
      <c r="Q661" s="179"/>
      <c r="S661" s="189"/>
      <c r="T661" s="189"/>
      <c r="V661" s="189"/>
      <c r="W661" s="189"/>
      <c r="Z661" s="179"/>
      <c r="AA661" s="189"/>
      <c r="AB661" s="189"/>
      <c r="AD661" s="189"/>
      <c r="AE661" s="189"/>
      <c r="AH661" s="179"/>
      <c r="AJ661" s="191"/>
      <c r="AK661" s="191"/>
      <c r="AM661" s="191"/>
      <c r="AN661" s="191"/>
      <c r="AQ661" s="179"/>
      <c r="AR661" s="192"/>
      <c r="AS661" s="192"/>
      <c r="AU661" s="192"/>
      <c r="AV661" s="192"/>
      <c r="AY661" s="179"/>
      <c r="BA661" s="192"/>
      <c r="BB661" s="192"/>
      <c r="BD661" s="192"/>
      <c r="BE661" s="192"/>
      <c r="BH661" s="179"/>
      <c r="BI661" s="192"/>
      <c r="BJ661" s="192"/>
      <c r="BL661" s="192"/>
      <c r="BM661" s="192"/>
      <c r="BP661" s="179"/>
    </row>
    <row r="662">
      <c r="B662" s="189"/>
      <c r="C662" s="189"/>
      <c r="E662" s="189"/>
      <c r="F662" s="189"/>
      <c r="I662" s="179"/>
      <c r="J662" s="189"/>
      <c r="K662" s="189"/>
      <c r="M662" s="189"/>
      <c r="N662" s="189"/>
      <c r="Q662" s="179"/>
      <c r="S662" s="189"/>
      <c r="T662" s="189"/>
      <c r="V662" s="189"/>
      <c r="W662" s="189"/>
      <c r="Z662" s="179"/>
      <c r="AA662" s="189"/>
      <c r="AB662" s="189"/>
      <c r="AD662" s="189"/>
      <c r="AE662" s="189"/>
      <c r="AH662" s="179"/>
      <c r="AJ662" s="191"/>
      <c r="AK662" s="191"/>
      <c r="AM662" s="191"/>
      <c r="AN662" s="191"/>
      <c r="AQ662" s="179"/>
      <c r="AR662" s="192"/>
      <c r="AS662" s="192"/>
      <c r="AU662" s="192"/>
      <c r="AV662" s="192"/>
      <c r="AY662" s="179"/>
      <c r="BA662" s="192"/>
      <c r="BB662" s="192"/>
      <c r="BD662" s="192"/>
      <c r="BE662" s="192"/>
      <c r="BH662" s="179"/>
      <c r="BI662" s="192"/>
      <c r="BJ662" s="192"/>
      <c r="BL662" s="192"/>
      <c r="BM662" s="192"/>
      <c r="BP662" s="179"/>
    </row>
    <row r="663">
      <c r="B663" s="189"/>
      <c r="C663" s="189"/>
      <c r="E663" s="189"/>
      <c r="F663" s="189"/>
      <c r="I663" s="179"/>
      <c r="J663" s="189"/>
      <c r="K663" s="189"/>
      <c r="M663" s="189"/>
      <c r="N663" s="189"/>
      <c r="Q663" s="179"/>
      <c r="S663" s="189"/>
      <c r="T663" s="189"/>
      <c r="V663" s="189"/>
      <c r="W663" s="189"/>
      <c r="Z663" s="179"/>
      <c r="AA663" s="189"/>
      <c r="AB663" s="189"/>
      <c r="AD663" s="189"/>
      <c r="AE663" s="189"/>
      <c r="AH663" s="179"/>
      <c r="AJ663" s="191"/>
      <c r="AK663" s="191"/>
      <c r="AM663" s="191"/>
      <c r="AN663" s="191"/>
      <c r="AQ663" s="179"/>
      <c r="AR663" s="192"/>
      <c r="AS663" s="192"/>
      <c r="AU663" s="192"/>
      <c r="AV663" s="192"/>
      <c r="AY663" s="179"/>
      <c r="BA663" s="192"/>
      <c r="BB663" s="192"/>
      <c r="BD663" s="192"/>
      <c r="BE663" s="192"/>
      <c r="BH663" s="179"/>
      <c r="BI663" s="192"/>
      <c r="BJ663" s="192"/>
      <c r="BL663" s="192"/>
      <c r="BM663" s="192"/>
      <c r="BP663" s="179"/>
    </row>
    <row r="664">
      <c r="B664" s="189"/>
      <c r="C664" s="189"/>
      <c r="E664" s="189"/>
      <c r="F664" s="189"/>
      <c r="I664" s="179"/>
      <c r="J664" s="189"/>
      <c r="K664" s="189"/>
      <c r="M664" s="189"/>
      <c r="N664" s="189"/>
      <c r="Q664" s="179"/>
      <c r="S664" s="189"/>
      <c r="T664" s="189"/>
      <c r="V664" s="189"/>
      <c r="W664" s="189"/>
      <c r="Z664" s="179"/>
      <c r="AA664" s="189"/>
      <c r="AB664" s="189"/>
      <c r="AD664" s="189"/>
      <c r="AE664" s="189"/>
      <c r="AH664" s="179"/>
      <c r="AJ664" s="191"/>
      <c r="AK664" s="191"/>
      <c r="AM664" s="191"/>
      <c r="AN664" s="191"/>
      <c r="AQ664" s="179"/>
      <c r="AR664" s="192"/>
      <c r="AS664" s="192"/>
      <c r="AU664" s="192"/>
      <c r="AV664" s="192"/>
      <c r="AY664" s="179"/>
      <c r="BA664" s="192"/>
      <c r="BB664" s="192"/>
      <c r="BD664" s="192"/>
      <c r="BE664" s="192"/>
      <c r="BH664" s="179"/>
      <c r="BI664" s="192"/>
      <c r="BJ664" s="192"/>
      <c r="BL664" s="192"/>
      <c r="BM664" s="192"/>
      <c r="BP664" s="179"/>
    </row>
    <row r="665">
      <c r="B665" s="189"/>
      <c r="C665" s="189"/>
      <c r="E665" s="189"/>
      <c r="F665" s="189"/>
      <c r="I665" s="179"/>
      <c r="J665" s="189"/>
      <c r="K665" s="189"/>
      <c r="M665" s="189"/>
      <c r="N665" s="189"/>
      <c r="Q665" s="179"/>
      <c r="S665" s="189"/>
      <c r="T665" s="189"/>
      <c r="V665" s="189"/>
      <c r="W665" s="189"/>
      <c r="Z665" s="179"/>
      <c r="AA665" s="189"/>
      <c r="AB665" s="189"/>
      <c r="AD665" s="189"/>
      <c r="AE665" s="189"/>
      <c r="AH665" s="179"/>
      <c r="AJ665" s="191"/>
      <c r="AK665" s="191"/>
      <c r="AM665" s="191"/>
      <c r="AN665" s="191"/>
      <c r="AQ665" s="179"/>
      <c r="AR665" s="192"/>
      <c r="AS665" s="192"/>
      <c r="AU665" s="192"/>
      <c r="AV665" s="192"/>
      <c r="AY665" s="179"/>
      <c r="BA665" s="192"/>
      <c r="BB665" s="192"/>
      <c r="BD665" s="192"/>
      <c r="BE665" s="192"/>
      <c r="BH665" s="179"/>
      <c r="BI665" s="192"/>
      <c r="BJ665" s="192"/>
      <c r="BL665" s="192"/>
      <c r="BM665" s="192"/>
      <c r="BP665" s="179"/>
    </row>
    <row r="666">
      <c r="B666" s="189"/>
      <c r="C666" s="189"/>
      <c r="E666" s="189"/>
      <c r="F666" s="189"/>
      <c r="I666" s="179"/>
      <c r="J666" s="189"/>
      <c r="K666" s="189"/>
      <c r="M666" s="189"/>
      <c r="N666" s="189"/>
      <c r="Q666" s="179"/>
      <c r="S666" s="189"/>
      <c r="T666" s="189"/>
      <c r="V666" s="189"/>
      <c r="W666" s="189"/>
      <c r="Z666" s="179"/>
      <c r="AA666" s="189"/>
      <c r="AB666" s="189"/>
      <c r="AD666" s="189"/>
      <c r="AE666" s="189"/>
      <c r="AH666" s="179"/>
      <c r="AJ666" s="191"/>
      <c r="AK666" s="191"/>
      <c r="AM666" s="191"/>
      <c r="AN666" s="191"/>
      <c r="AQ666" s="179"/>
      <c r="AR666" s="192"/>
      <c r="AS666" s="192"/>
      <c r="AU666" s="192"/>
      <c r="AV666" s="192"/>
      <c r="AY666" s="179"/>
      <c r="BA666" s="192"/>
      <c r="BB666" s="192"/>
      <c r="BD666" s="192"/>
      <c r="BE666" s="192"/>
      <c r="BH666" s="179"/>
      <c r="BI666" s="192"/>
      <c r="BJ666" s="192"/>
      <c r="BL666" s="192"/>
      <c r="BM666" s="192"/>
      <c r="BP666" s="179"/>
    </row>
    <row r="667">
      <c r="B667" s="189"/>
      <c r="C667" s="189"/>
      <c r="E667" s="189"/>
      <c r="F667" s="189"/>
      <c r="I667" s="179"/>
      <c r="J667" s="189"/>
      <c r="K667" s="189"/>
      <c r="M667" s="189"/>
      <c r="N667" s="189"/>
      <c r="Q667" s="179"/>
      <c r="S667" s="189"/>
      <c r="T667" s="189"/>
      <c r="V667" s="189"/>
      <c r="W667" s="189"/>
      <c r="Z667" s="179"/>
      <c r="AA667" s="189"/>
      <c r="AB667" s="189"/>
      <c r="AD667" s="189"/>
      <c r="AE667" s="189"/>
      <c r="AH667" s="179"/>
      <c r="AJ667" s="191"/>
      <c r="AK667" s="191"/>
      <c r="AM667" s="191"/>
      <c r="AN667" s="191"/>
      <c r="AQ667" s="179"/>
      <c r="AR667" s="192"/>
      <c r="AS667" s="192"/>
      <c r="AU667" s="192"/>
      <c r="AV667" s="192"/>
      <c r="AY667" s="179"/>
      <c r="BA667" s="192"/>
      <c r="BB667" s="192"/>
      <c r="BD667" s="192"/>
      <c r="BE667" s="192"/>
      <c r="BH667" s="179"/>
      <c r="BI667" s="192"/>
      <c r="BJ667" s="192"/>
      <c r="BL667" s="192"/>
      <c r="BM667" s="192"/>
      <c r="BP667" s="179"/>
    </row>
    <row r="668">
      <c r="B668" s="189"/>
      <c r="C668" s="189"/>
      <c r="E668" s="189"/>
      <c r="F668" s="189"/>
      <c r="I668" s="179"/>
      <c r="J668" s="189"/>
      <c r="K668" s="189"/>
      <c r="M668" s="189"/>
      <c r="N668" s="189"/>
      <c r="Q668" s="179"/>
      <c r="S668" s="189"/>
      <c r="T668" s="189"/>
      <c r="V668" s="189"/>
      <c r="W668" s="189"/>
      <c r="Z668" s="179"/>
      <c r="AA668" s="189"/>
      <c r="AB668" s="189"/>
      <c r="AD668" s="189"/>
      <c r="AE668" s="189"/>
      <c r="AH668" s="179"/>
      <c r="AJ668" s="191"/>
      <c r="AK668" s="191"/>
      <c r="AM668" s="191"/>
      <c r="AN668" s="191"/>
      <c r="AQ668" s="179"/>
      <c r="AR668" s="192"/>
      <c r="AS668" s="192"/>
      <c r="AU668" s="192"/>
      <c r="AV668" s="192"/>
      <c r="AY668" s="179"/>
      <c r="BA668" s="192"/>
      <c r="BB668" s="192"/>
      <c r="BD668" s="192"/>
      <c r="BE668" s="192"/>
      <c r="BH668" s="179"/>
      <c r="BI668" s="192"/>
      <c r="BJ668" s="192"/>
      <c r="BL668" s="192"/>
      <c r="BM668" s="192"/>
      <c r="BP668" s="179"/>
    </row>
    <row r="669">
      <c r="B669" s="189"/>
      <c r="C669" s="189"/>
      <c r="E669" s="189"/>
      <c r="F669" s="189"/>
      <c r="I669" s="179"/>
      <c r="J669" s="189"/>
      <c r="K669" s="189"/>
      <c r="M669" s="189"/>
      <c r="N669" s="189"/>
      <c r="Q669" s="179"/>
      <c r="S669" s="189"/>
      <c r="T669" s="189"/>
      <c r="V669" s="189"/>
      <c r="W669" s="189"/>
      <c r="Z669" s="179"/>
      <c r="AA669" s="189"/>
      <c r="AB669" s="189"/>
      <c r="AD669" s="189"/>
      <c r="AE669" s="189"/>
      <c r="AH669" s="179"/>
      <c r="AJ669" s="191"/>
      <c r="AK669" s="191"/>
      <c r="AM669" s="191"/>
      <c r="AN669" s="191"/>
      <c r="AQ669" s="179"/>
      <c r="AR669" s="192"/>
      <c r="AS669" s="192"/>
      <c r="AU669" s="192"/>
      <c r="AV669" s="192"/>
      <c r="AY669" s="179"/>
      <c r="BA669" s="192"/>
      <c r="BB669" s="192"/>
      <c r="BD669" s="192"/>
      <c r="BE669" s="192"/>
      <c r="BH669" s="179"/>
      <c r="BI669" s="192"/>
      <c r="BJ669" s="192"/>
      <c r="BL669" s="192"/>
      <c r="BM669" s="192"/>
      <c r="BP669" s="179"/>
    </row>
    <row r="670">
      <c r="B670" s="189"/>
      <c r="C670" s="189"/>
      <c r="E670" s="189"/>
      <c r="F670" s="189"/>
      <c r="I670" s="179"/>
      <c r="J670" s="189"/>
      <c r="K670" s="189"/>
      <c r="M670" s="189"/>
      <c r="N670" s="189"/>
      <c r="Q670" s="179"/>
      <c r="S670" s="189"/>
      <c r="T670" s="189"/>
      <c r="V670" s="189"/>
      <c r="W670" s="189"/>
      <c r="Z670" s="179"/>
      <c r="AA670" s="189"/>
      <c r="AB670" s="189"/>
      <c r="AD670" s="189"/>
      <c r="AE670" s="189"/>
      <c r="AH670" s="179"/>
      <c r="AJ670" s="191"/>
      <c r="AK670" s="191"/>
      <c r="AM670" s="191"/>
      <c r="AN670" s="191"/>
      <c r="AQ670" s="179"/>
      <c r="AR670" s="192"/>
      <c r="AS670" s="192"/>
      <c r="AU670" s="192"/>
      <c r="AV670" s="192"/>
      <c r="AY670" s="179"/>
      <c r="BA670" s="192"/>
      <c r="BB670" s="192"/>
      <c r="BD670" s="192"/>
      <c r="BE670" s="192"/>
      <c r="BH670" s="179"/>
      <c r="BI670" s="192"/>
      <c r="BJ670" s="192"/>
      <c r="BL670" s="192"/>
      <c r="BM670" s="192"/>
      <c r="BP670" s="179"/>
    </row>
    <row r="671">
      <c r="B671" s="189"/>
      <c r="C671" s="189"/>
      <c r="E671" s="189"/>
      <c r="F671" s="189"/>
      <c r="I671" s="179"/>
      <c r="J671" s="189"/>
      <c r="K671" s="189"/>
      <c r="M671" s="189"/>
      <c r="N671" s="189"/>
      <c r="Q671" s="179"/>
      <c r="S671" s="189"/>
      <c r="T671" s="189"/>
      <c r="V671" s="189"/>
      <c r="W671" s="189"/>
      <c r="Z671" s="179"/>
      <c r="AA671" s="189"/>
      <c r="AB671" s="189"/>
      <c r="AD671" s="189"/>
      <c r="AE671" s="189"/>
      <c r="AH671" s="179"/>
      <c r="AJ671" s="191"/>
      <c r="AK671" s="191"/>
      <c r="AM671" s="191"/>
      <c r="AN671" s="191"/>
      <c r="AQ671" s="179"/>
      <c r="AR671" s="192"/>
      <c r="AS671" s="192"/>
      <c r="AU671" s="192"/>
      <c r="AV671" s="192"/>
      <c r="AY671" s="179"/>
      <c r="BA671" s="192"/>
      <c r="BB671" s="192"/>
      <c r="BD671" s="192"/>
      <c r="BE671" s="192"/>
      <c r="BH671" s="179"/>
      <c r="BI671" s="192"/>
      <c r="BJ671" s="192"/>
      <c r="BL671" s="192"/>
      <c r="BM671" s="192"/>
      <c r="BP671" s="179"/>
    </row>
    <row r="672">
      <c r="B672" s="189"/>
      <c r="C672" s="189"/>
      <c r="E672" s="189"/>
      <c r="F672" s="189"/>
      <c r="I672" s="179"/>
      <c r="J672" s="189"/>
      <c r="K672" s="189"/>
      <c r="M672" s="189"/>
      <c r="N672" s="189"/>
      <c r="Q672" s="179"/>
      <c r="S672" s="189"/>
      <c r="T672" s="189"/>
      <c r="V672" s="189"/>
      <c r="W672" s="189"/>
      <c r="Z672" s="179"/>
      <c r="AA672" s="189"/>
      <c r="AB672" s="189"/>
      <c r="AD672" s="189"/>
      <c r="AE672" s="189"/>
      <c r="AH672" s="179"/>
      <c r="AJ672" s="191"/>
      <c r="AK672" s="191"/>
      <c r="AM672" s="191"/>
      <c r="AN672" s="191"/>
      <c r="AQ672" s="179"/>
      <c r="AR672" s="192"/>
      <c r="AS672" s="192"/>
      <c r="AU672" s="192"/>
      <c r="AV672" s="192"/>
      <c r="AY672" s="179"/>
      <c r="BA672" s="192"/>
      <c r="BB672" s="192"/>
      <c r="BD672" s="192"/>
      <c r="BE672" s="192"/>
      <c r="BH672" s="179"/>
      <c r="BI672" s="192"/>
      <c r="BJ672" s="192"/>
      <c r="BL672" s="192"/>
      <c r="BM672" s="192"/>
      <c r="BP672" s="179"/>
    </row>
    <row r="673">
      <c r="B673" s="189"/>
      <c r="C673" s="189"/>
      <c r="E673" s="189"/>
      <c r="F673" s="189"/>
      <c r="I673" s="179"/>
      <c r="J673" s="189"/>
      <c r="K673" s="189"/>
      <c r="M673" s="189"/>
      <c r="N673" s="189"/>
      <c r="Q673" s="179"/>
      <c r="S673" s="189"/>
      <c r="T673" s="189"/>
      <c r="V673" s="189"/>
      <c r="W673" s="189"/>
      <c r="Z673" s="179"/>
      <c r="AA673" s="189"/>
      <c r="AB673" s="189"/>
      <c r="AD673" s="189"/>
      <c r="AE673" s="189"/>
      <c r="AH673" s="179"/>
      <c r="AJ673" s="191"/>
      <c r="AK673" s="191"/>
      <c r="AM673" s="191"/>
      <c r="AN673" s="191"/>
      <c r="AQ673" s="179"/>
      <c r="AR673" s="192"/>
      <c r="AS673" s="192"/>
      <c r="AU673" s="192"/>
      <c r="AV673" s="192"/>
      <c r="AY673" s="179"/>
      <c r="BA673" s="192"/>
      <c r="BB673" s="192"/>
      <c r="BD673" s="192"/>
      <c r="BE673" s="192"/>
      <c r="BH673" s="179"/>
      <c r="BI673" s="192"/>
      <c r="BJ673" s="192"/>
      <c r="BL673" s="192"/>
      <c r="BM673" s="192"/>
      <c r="BP673" s="179"/>
    </row>
    <row r="674">
      <c r="B674" s="189"/>
      <c r="C674" s="189"/>
      <c r="E674" s="189"/>
      <c r="F674" s="189"/>
      <c r="I674" s="179"/>
      <c r="J674" s="189"/>
      <c r="K674" s="189"/>
      <c r="M674" s="189"/>
      <c r="N674" s="189"/>
      <c r="Q674" s="179"/>
      <c r="S674" s="189"/>
      <c r="T674" s="189"/>
      <c r="V674" s="189"/>
      <c r="W674" s="189"/>
      <c r="Z674" s="179"/>
      <c r="AA674" s="189"/>
      <c r="AB674" s="189"/>
      <c r="AD674" s="189"/>
      <c r="AE674" s="189"/>
      <c r="AH674" s="179"/>
      <c r="AJ674" s="191"/>
      <c r="AK674" s="191"/>
      <c r="AM674" s="191"/>
      <c r="AN674" s="191"/>
      <c r="AQ674" s="179"/>
      <c r="AR674" s="192"/>
      <c r="AS674" s="192"/>
      <c r="AU674" s="192"/>
      <c r="AV674" s="192"/>
      <c r="AY674" s="179"/>
      <c r="BA674" s="192"/>
      <c r="BB674" s="192"/>
      <c r="BD674" s="192"/>
      <c r="BE674" s="192"/>
      <c r="BH674" s="179"/>
      <c r="BI674" s="192"/>
      <c r="BJ674" s="192"/>
      <c r="BL674" s="192"/>
      <c r="BM674" s="192"/>
      <c r="BP674" s="179"/>
    </row>
    <row r="675">
      <c r="B675" s="189"/>
      <c r="C675" s="189"/>
      <c r="E675" s="189"/>
      <c r="F675" s="189"/>
      <c r="I675" s="179"/>
      <c r="J675" s="189"/>
      <c r="K675" s="189"/>
      <c r="M675" s="189"/>
      <c r="N675" s="189"/>
      <c r="Q675" s="179"/>
      <c r="S675" s="189"/>
      <c r="T675" s="189"/>
      <c r="V675" s="189"/>
      <c r="W675" s="189"/>
      <c r="Z675" s="179"/>
      <c r="AA675" s="189"/>
      <c r="AB675" s="189"/>
      <c r="AD675" s="189"/>
      <c r="AE675" s="189"/>
      <c r="AH675" s="179"/>
      <c r="AJ675" s="191"/>
      <c r="AK675" s="191"/>
      <c r="AM675" s="191"/>
      <c r="AN675" s="191"/>
      <c r="AQ675" s="179"/>
      <c r="AR675" s="192"/>
      <c r="AS675" s="192"/>
      <c r="AU675" s="192"/>
      <c r="AV675" s="192"/>
      <c r="AY675" s="179"/>
      <c r="BA675" s="192"/>
      <c r="BB675" s="192"/>
      <c r="BD675" s="192"/>
      <c r="BE675" s="192"/>
      <c r="BH675" s="179"/>
      <c r="BI675" s="192"/>
      <c r="BJ675" s="192"/>
      <c r="BL675" s="192"/>
      <c r="BM675" s="192"/>
      <c r="BP675" s="179"/>
    </row>
    <row r="676">
      <c r="B676" s="189"/>
      <c r="C676" s="189"/>
      <c r="E676" s="189"/>
      <c r="F676" s="189"/>
      <c r="I676" s="179"/>
      <c r="J676" s="189"/>
      <c r="K676" s="189"/>
      <c r="M676" s="189"/>
      <c r="N676" s="189"/>
      <c r="Q676" s="179"/>
      <c r="S676" s="189"/>
      <c r="T676" s="189"/>
      <c r="V676" s="189"/>
      <c r="W676" s="189"/>
      <c r="Z676" s="179"/>
      <c r="AA676" s="189"/>
      <c r="AB676" s="189"/>
      <c r="AD676" s="189"/>
      <c r="AE676" s="189"/>
      <c r="AH676" s="179"/>
      <c r="AJ676" s="191"/>
      <c r="AK676" s="191"/>
      <c r="AM676" s="191"/>
      <c r="AN676" s="191"/>
      <c r="AQ676" s="179"/>
      <c r="AR676" s="192"/>
      <c r="AS676" s="192"/>
      <c r="AU676" s="192"/>
      <c r="AV676" s="192"/>
      <c r="AY676" s="179"/>
      <c r="BA676" s="192"/>
      <c r="BB676" s="192"/>
      <c r="BD676" s="192"/>
      <c r="BE676" s="192"/>
      <c r="BH676" s="179"/>
      <c r="BI676" s="192"/>
      <c r="BJ676" s="192"/>
      <c r="BL676" s="192"/>
      <c r="BM676" s="192"/>
      <c r="BP676" s="179"/>
    </row>
    <row r="677">
      <c r="B677" s="189"/>
      <c r="C677" s="189"/>
      <c r="E677" s="189"/>
      <c r="F677" s="189"/>
      <c r="I677" s="179"/>
      <c r="J677" s="189"/>
      <c r="K677" s="189"/>
      <c r="M677" s="189"/>
      <c r="N677" s="189"/>
      <c r="Q677" s="179"/>
      <c r="S677" s="189"/>
      <c r="T677" s="189"/>
      <c r="V677" s="189"/>
      <c r="W677" s="189"/>
      <c r="Z677" s="179"/>
      <c r="AA677" s="189"/>
      <c r="AB677" s="189"/>
      <c r="AD677" s="189"/>
      <c r="AE677" s="189"/>
      <c r="AH677" s="179"/>
      <c r="AJ677" s="191"/>
      <c r="AK677" s="191"/>
      <c r="AM677" s="191"/>
      <c r="AN677" s="191"/>
      <c r="AQ677" s="179"/>
      <c r="AR677" s="192"/>
      <c r="AS677" s="192"/>
      <c r="AU677" s="192"/>
      <c r="AV677" s="192"/>
      <c r="AY677" s="179"/>
      <c r="BA677" s="192"/>
      <c r="BB677" s="192"/>
      <c r="BD677" s="192"/>
      <c r="BE677" s="192"/>
      <c r="BH677" s="179"/>
      <c r="BI677" s="192"/>
      <c r="BJ677" s="192"/>
      <c r="BL677" s="192"/>
      <c r="BM677" s="192"/>
      <c r="BP677" s="179"/>
    </row>
    <row r="678">
      <c r="B678" s="189"/>
      <c r="C678" s="189"/>
      <c r="E678" s="189"/>
      <c r="F678" s="189"/>
      <c r="I678" s="179"/>
      <c r="J678" s="189"/>
      <c r="K678" s="189"/>
      <c r="M678" s="189"/>
      <c r="N678" s="189"/>
      <c r="Q678" s="179"/>
      <c r="S678" s="189"/>
      <c r="T678" s="189"/>
      <c r="V678" s="189"/>
      <c r="W678" s="189"/>
      <c r="Z678" s="179"/>
      <c r="AA678" s="189"/>
      <c r="AB678" s="189"/>
      <c r="AD678" s="189"/>
      <c r="AE678" s="189"/>
      <c r="AH678" s="179"/>
      <c r="AJ678" s="191"/>
      <c r="AK678" s="191"/>
      <c r="AM678" s="191"/>
      <c r="AN678" s="191"/>
      <c r="AQ678" s="179"/>
      <c r="AR678" s="192"/>
      <c r="AS678" s="192"/>
      <c r="AU678" s="192"/>
      <c r="AV678" s="192"/>
      <c r="AY678" s="179"/>
      <c r="BA678" s="192"/>
      <c r="BB678" s="192"/>
      <c r="BD678" s="192"/>
      <c r="BE678" s="192"/>
      <c r="BH678" s="179"/>
      <c r="BI678" s="192"/>
      <c r="BJ678" s="192"/>
      <c r="BL678" s="192"/>
      <c r="BM678" s="192"/>
      <c r="BP678" s="179"/>
    </row>
    <row r="679">
      <c r="B679" s="189"/>
      <c r="C679" s="189"/>
      <c r="E679" s="189"/>
      <c r="F679" s="189"/>
      <c r="I679" s="179"/>
      <c r="J679" s="189"/>
      <c r="K679" s="189"/>
      <c r="M679" s="189"/>
      <c r="N679" s="189"/>
      <c r="Q679" s="179"/>
      <c r="S679" s="189"/>
      <c r="T679" s="189"/>
      <c r="V679" s="189"/>
      <c r="W679" s="189"/>
      <c r="Z679" s="179"/>
      <c r="AA679" s="189"/>
      <c r="AB679" s="189"/>
      <c r="AD679" s="189"/>
      <c r="AE679" s="189"/>
      <c r="AH679" s="179"/>
      <c r="AJ679" s="191"/>
      <c r="AK679" s="191"/>
      <c r="AM679" s="191"/>
      <c r="AN679" s="191"/>
      <c r="AQ679" s="179"/>
      <c r="AR679" s="192"/>
      <c r="AS679" s="192"/>
      <c r="AU679" s="192"/>
      <c r="AV679" s="192"/>
      <c r="AY679" s="179"/>
      <c r="BA679" s="192"/>
      <c r="BB679" s="192"/>
      <c r="BD679" s="192"/>
      <c r="BE679" s="192"/>
      <c r="BH679" s="179"/>
      <c r="BI679" s="192"/>
      <c r="BJ679" s="192"/>
      <c r="BL679" s="192"/>
      <c r="BM679" s="192"/>
      <c r="BP679" s="179"/>
    </row>
    <row r="680">
      <c r="B680" s="189"/>
      <c r="C680" s="189"/>
      <c r="E680" s="189"/>
      <c r="F680" s="189"/>
      <c r="I680" s="179"/>
      <c r="J680" s="189"/>
      <c r="K680" s="189"/>
      <c r="M680" s="189"/>
      <c r="N680" s="189"/>
      <c r="Q680" s="179"/>
      <c r="S680" s="189"/>
      <c r="T680" s="189"/>
      <c r="V680" s="189"/>
      <c r="W680" s="189"/>
      <c r="Z680" s="179"/>
      <c r="AA680" s="189"/>
      <c r="AB680" s="189"/>
      <c r="AD680" s="189"/>
      <c r="AE680" s="189"/>
      <c r="AH680" s="179"/>
      <c r="AJ680" s="191"/>
      <c r="AK680" s="191"/>
      <c r="AM680" s="191"/>
      <c r="AN680" s="191"/>
      <c r="AQ680" s="179"/>
      <c r="AR680" s="192"/>
      <c r="AS680" s="192"/>
      <c r="AU680" s="192"/>
      <c r="AV680" s="192"/>
      <c r="AY680" s="179"/>
      <c r="BA680" s="192"/>
      <c r="BB680" s="192"/>
      <c r="BD680" s="192"/>
      <c r="BE680" s="192"/>
      <c r="BH680" s="179"/>
      <c r="BI680" s="192"/>
      <c r="BJ680" s="192"/>
      <c r="BL680" s="192"/>
      <c r="BM680" s="192"/>
      <c r="BP680" s="179"/>
    </row>
    <row r="681">
      <c r="B681" s="189"/>
      <c r="C681" s="189"/>
      <c r="E681" s="189"/>
      <c r="F681" s="189"/>
      <c r="I681" s="179"/>
      <c r="J681" s="189"/>
      <c r="K681" s="189"/>
      <c r="M681" s="189"/>
      <c r="N681" s="189"/>
      <c r="Q681" s="179"/>
      <c r="S681" s="189"/>
      <c r="T681" s="189"/>
      <c r="V681" s="189"/>
      <c r="W681" s="189"/>
      <c r="Z681" s="179"/>
      <c r="AA681" s="189"/>
      <c r="AB681" s="189"/>
      <c r="AD681" s="189"/>
      <c r="AE681" s="189"/>
      <c r="AH681" s="179"/>
      <c r="AJ681" s="191"/>
      <c r="AK681" s="191"/>
      <c r="AM681" s="191"/>
      <c r="AN681" s="191"/>
      <c r="AQ681" s="179"/>
      <c r="AR681" s="192"/>
      <c r="AS681" s="192"/>
      <c r="AU681" s="192"/>
      <c r="AV681" s="192"/>
      <c r="AY681" s="179"/>
      <c r="BA681" s="192"/>
      <c r="BB681" s="192"/>
      <c r="BD681" s="192"/>
      <c r="BE681" s="192"/>
      <c r="BH681" s="179"/>
      <c r="BI681" s="192"/>
      <c r="BJ681" s="192"/>
      <c r="BL681" s="192"/>
      <c r="BM681" s="192"/>
      <c r="BP681" s="179"/>
    </row>
    <row r="682">
      <c r="B682" s="189"/>
      <c r="C682" s="189"/>
      <c r="E682" s="189"/>
      <c r="F682" s="189"/>
      <c r="I682" s="179"/>
      <c r="J682" s="189"/>
      <c r="K682" s="189"/>
      <c r="M682" s="189"/>
      <c r="N682" s="189"/>
      <c r="Q682" s="179"/>
      <c r="S682" s="189"/>
      <c r="T682" s="189"/>
      <c r="V682" s="189"/>
      <c r="W682" s="189"/>
      <c r="Z682" s="179"/>
      <c r="AA682" s="189"/>
      <c r="AB682" s="189"/>
      <c r="AD682" s="189"/>
      <c r="AE682" s="189"/>
      <c r="AH682" s="179"/>
      <c r="AJ682" s="191"/>
      <c r="AK682" s="191"/>
      <c r="AM682" s="191"/>
      <c r="AN682" s="191"/>
      <c r="AQ682" s="179"/>
      <c r="AR682" s="192"/>
      <c r="AS682" s="192"/>
      <c r="AU682" s="192"/>
      <c r="AV682" s="192"/>
      <c r="AY682" s="179"/>
      <c r="BA682" s="192"/>
      <c r="BB682" s="192"/>
      <c r="BD682" s="192"/>
      <c r="BE682" s="192"/>
      <c r="BH682" s="179"/>
      <c r="BI682" s="192"/>
      <c r="BJ682" s="192"/>
      <c r="BL682" s="192"/>
      <c r="BM682" s="192"/>
      <c r="BP682" s="179"/>
    </row>
    <row r="683">
      <c r="B683" s="189"/>
      <c r="C683" s="189"/>
      <c r="E683" s="189"/>
      <c r="F683" s="189"/>
      <c r="I683" s="179"/>
      <c r="J683" s="189"/>
      <c r="K683" s="189"/>
      <c r="M683" s="189"/>
      <c r="N683" s="189"/>
      <c r="Q683" s="179"/>
      <c r="S683" s="189"/>
      <c r="T683" s="189"/>
      <c r="V683" s="189"/>
      <c r="W683" s="189"/>
      <c r="Z683" s="179"/>
      <c r="AA683" s="189"/>
      <c r="AB683" s="189"/>
      <c r="AD683" s="189"/>
      <c r="AE683" s="189"/>
      <c r="AH683" s="179"/>
      <c r="AJ683" s="191"/>
      <c r="AK683" s="191"/>
      <c r="AM683" s="191"/>
      <c r="AN683" s="191"/>
      <c r="AQ683" s="179"/>
      <c r="AR683" s="192"/>
      <c r="AS683" s="192"/>
      <c r="AU683" s="192"/>
      <c r="AV683" s="192"/>
      <c r="AY683" s="179"/>
      <c r="BA683" s="192"/>
      <c r="BB683" s="192"/>
      <c r="BD683" s="192"/>
      <c r="BE683" s="192"/>
      <c r="BH683" s="179"/>
      <c r="BI683" s="192"/>
      <c r="BJ683" s="192"/>
      <c r="BL683" s="192"/>
      <c r="BM683" s="192"/>
      <c r="BP683" s="179"/>
    </row>
    <row r="684">
      <c r="B684" s="189"/>
      <c r="C684" s="189"/>
      <c r="E684" s="189"/>
      <c r="F684" s="189"/>
      <c r="I684" s="179"/>
      <c r="J684" s="189"/>
      <c r="K684" s="189"/>
      <c r="M684" s="189"/>
      <c r="N684" s="189"/>
      <c r="Q684" s="179"/>
      <c r="S684" s="189"/>
      <c r="T684" s="189"/>
      <c r="V684" s="189"/>
      <c r="W684" s="189"/>
      <c r="Z684" s="179"/>
      <c r="AA684" s="189"/>
      <c r="AB684" s="189"/>
      <c r="AD684" s="189"/>
      <c r="AE684" s="189"/>
      <c r="AH684" s="179"/>
      <c r="AJ684" s="191"/>
      <c r="AK684" s="191"/>
      <c r="AM684" s="191"/>
      <c r="AN684" s="191"/>
      <c r="AQ684" s="179"/>
      <c r="AR684" s="192"/>
      <c r="AS684" s="192"/>
      <c r="AU684" s="192"/>
      <c r="AV684" s="192"/>
      <c r="AY684" s="179"/>
      <c r="BA684" s="192"/>
      <c r="BB684" s="192"/>
      <c r="BD684" s="192"/>
      <c r="BE684" s="192"/>
      <c r="BH684" s="179"/>
      <c r="BI684" s="192"/>
      <c r="BJ684" s="192"/>
      <c r="BL684" s="192"/>
      <c r="BM684" s="192"/>
      <c r="BP684" s="179"/>
    </row>
    <row r="685">
      <c r="B685" s="189"/>
      <c r="C685" s="189"/>
      <c r="E685" s="189"/>
      <c r="F685" s="189"/>
      <c r="I685" s="179"/>
      <c r="J685" s="189"/>
      <c r="K685" s="189"/>
      <c r="M685" s="189"/>
      <c r="N685" s="189"/>
      <c r="Q685" s="179"/>
      <c r="S685" s="189"/>
      <c r="T685" s="189"/>
      <c r="V685" s="189"/>
      <c r="W685" s="189"/>
      <c r="Z685" s="179"/>
      <c r="AA685" s="189"/>
      <c r="AB685" s="189"/>
      <c r="AD685" s="189"/>
      <c r="AE685" s="189"/>
      <c r="AH685" s="179"/>
      <c r="AJ685" s="191"/>
      <c r="AK685" s="191"/>
      <c r="AM685" s="191"/>
      <c r="AN685" s="191"/>
      <c r="AQ685" s="179"/>
      <c r="AR685" s="192"/>
      <c r="AS685" s="192"/>
      <c r="AU685" s="192"/>
      <c r="AV685" s="192"/>
      <c r="AY685" s="179"/>
      <c r="BA685" s="192"/>
      <c r="BB685" s="192"/>
      <c r="BD685" s="192"/>
      <c r="BE685" s="192"/>
      <c r="BH685" s="179"/>
      <c r="BI685" s="192"/>
      <c r="BJ685" s="192"/>
      <c r="BL685" s="192"/>
      <c r="BM685" s="192"/>
      <c r="BP685" s="179"/>
    </row>
    <row r="686">
      <c r="B686" s="189"/>
      <c r="C686" s="189"/>
      <c r="E686" s="189"/>
      <c r="F686" s="189"/>
      <c r="I686" s="179"/>
      <c r="J686" s="189"/>
      <c r="K686" s="189"/>
      <c r="M686" s="189"/>
      <c r="N686" s="189"/>
      <c r="Q686" s="179"/>
      <c r="S686" s="189"/>
      <c r="T686" s="189"/>
      <c r="V686" s="189"/>
      <c r="W686" s="189"/>
      <c r="Z686" s="179"/>
      <c r="AA686" s="189"/>
      <c r="AB686" s="189"/>
      <c r="AD686" s="189"/>
      <c r="AE686" s="189"/>
      <c r="AH686" s="179"/>
      <c r="AJ686" s="191"/>
      <c r="AK686" s="191"/>
      <c r="AM686" s="191"/>
      <c r="AN686" s="191"/>
      <c r="AQ686" s="179"/>
      <c r="AR686" s="192"/>
      <c r="AS686" s="192"/>
      <c r="AU686" s="192"/>
      <c r="AV686" s="192"/>
      <c r="AY686" s="179"/>
      <c r="BA686" s="192"/>
      <c r="BB686" s="192"/>
      <c r="BD686" s="192"/>
      <c r="BE686" s="192"/>
      <c r="BH686" s="179"/>
      <c r="BI686" s="192"/>
      <c r="BJ686" s="192"/>
      <c r="BL686" s="192"/>
      <c r="BM686" s="192"/>
      <c r="BP686" s="179"/>
    </row>
    <row r="687">
      <c r="B687" s="189"/>
      <c r="C687" s="189"/>
      <c r="E687" s="189"/>
      <c r="F687" s="189"/>
      <c r="I687" s="179"/>
      <c r="J687" s="189"/>
      <c r="K687" s="189"/>
      <c r="M687" s="189"/>
      <c r="N687" s="189"/>
      <c r="Q687" s="179"/>
      <c r="S687" s="189"/>
      <c r="T687" s="189"/>
      <c r="V687" s="189"/>
      <c r="W687" s="189"/>
      <c r="Z687" s="179"/>
      <c r="AA687" s="189"/>
      <c r="AB687" s="189"/>
      <c r="AD687" s="189"/>
      <c r="AE687" s="189"/>
      <c r="AH687" s="179"/>
      <c r="AJ687" s="191"/>
      <c r="AK687" s="191"/>
      <c r="AM687" s="191"/>
      <c r="AN687" s="191"/>
      <c r="AQ687" s="179"/>
      <c r="AR687" s="192"/>
      <c r="AS687" s="192"/>
      <c r="AU687" s="192"/>
      <c r="AV687" s="192"/>
      <c r="AY687" s="179"/>
      <c r="BA687" s="192"/>
      <c r="BB687" s="192"/>
      <c r="BD687" s="192"/>
      <c r="BE687" s="192"/>
      <c r="BH687" s="179"/>
      <c r="BI687" s="192"/>
      <c r="BJ687" s="192"/>
      <c r="BL687" s="192"/>
      <c r="BM687" s="192"/>
      <c r="BP687" s="179"/>
    </row>
    <row r="688">
      <c r="B688" s="189"/>
      <c r="C688" s="189"/>
      <c r="E688" s="189"/>
      <c r="F688" s="189"/>
      <c r="I688" s="179"/>
      <c r="J688" s="189"/>
      <c r="K688" s="189"/>
      <c r="M688" s="189"/>
      <c r="N688" s="189"/>
      <c r="Q688" s="179"/>
      <c r="S688" s="189"/>
      <c r="T688" s="189"/>
      <c r="V688" s="189"/>
      <c r="W688" s="189"/>
      <c r="Z688" s="179"/>
      <c r="AA688" s="189"/>
      <c r="AB688" s="189"/>
      <c r="AD688" s="189"/>
      <c r="AE688" s="189"/>
      <c r="AH688" s="179"/>
      <c r="AJ688" s="191"/>
      <c r="AK688" s="191"/>
      <c r="AM688" s="191"/>
      <c r="AN688" s="191"/>
      <c r="AQ688" s="179"/>
      <c r="AR688" s="192"/>
      <c r="AS688" s="192"/>
      <c r="AU688" s="192"/>
      <c r="AV688" s="192"/>
      <c r="AY688" s="179"/>
      <c r="BA688" s="192"/>
      <c r="BB688" s="192"/>
      <c r="BD688" s="192"/>
      <c r="BE688" s="192"/>
      <c r="BH688" s="179"/>
      <c r="BI688" s="192"/>
      <c r="BJ688" s="192"/>
      <c r="BL688" s="192"/>
      <c r="BM688" s="192"/>
      <c r="BP688" s="179"/>
    </row>
    <row r="689">
      <c r="B689" s="189"/>
      <c r="C689" s="189"/>
      <c r="E689" s="189"/>
      <c r="F689" s="189"/>
      <c r="I689" s="179"/>
      <c r="J689" s="189"/>
      <c r="K689" s="189"/>
      <c r="M689" s="189"/>
      <c r="N689" s="189"/>
      <c r="Q689" s="179"/>
      <c r="S689" s="189"/>
      <c r="T689" s="189"/>
      <c r="V689" s="189"/>
      <c r="W689" s="189"/>
      <c r="Z689" s="179"/>
      <c r="AA689" s="189"/>
      <c r="AB689" s="189"/>
      <c r="AD689" s="189"/>
      <c r="AE689" s="189"/>
      <c r="AH689" s="179"/>
      <c r="AJ689" s="191"/>
      <c r="AK689" s="191"/>
      <c r="AM689" s="191"/>
      <c r="AN689" s="191"/>
      <c r="AQ689" s="179"/>
      <c r="AR689" s="192"/>
      <c r="AS689" s="192"/>
      <c r="AU689" s="192"/>
      <c r="AV689" s="192"/>
      <c r="AY689" s="179"/>
      <c r="BA689" s="192"/>
      <c r="BB689" s="192"/>
      <c r="BD689" s="192"/>
      <c r="BE689" s="192"/>
      <c r="BH689" s="179"/>
      <c r="BI689" s="192"/>
      <c r="BJ689" s="192"/>
      <c r="BL689" s="192"/>
      <c r="BM689" s="192"/>
      <c r="BP689" s="179"/>
    </row>
    <row r="690">
      <c r="B690" s="189"/>
      <c r="C690" s="189"/>
      <c r="E690" s="189"/>
      <c r="F690" s="189"/>
      <c r="I690" s="179"/>
      <c r="J690" s="189"/>
      <c r="K690" s="189"/>
      <c r="M690" s="189"/>
      <c r="N690" s="189"/>
      <c r="Q690" s="179"/>
      <c r="S690" s="189"/>
      <c r="T690" s="189"/>
      <c r="V690" s="189"/>
      <c r="W690" s="189"/>
      <c r="Z690" s="179"/>
      <c r="AA690" s="189"/>
      <c r="AB690" s="189"/>
      <c r="AD690" s="189"/>
      <c r="AE690" s="189"/>
      <c r="AH690" s="179"/>
      <c r="AJ690" s="191"/>
      <c r="AK690" s="191"/>
      <c r="AM690" s="191"/>
      <c r="AN690" s="191"/>
      <c r="AQ690" s="179"/>
      <c r="AR690" s="192"/>
      <c r="AS690" s="192"/>
      <c r="AU690" s="192"/>
      <c r="AV690" s="192"/>
      <c r="AY690" s="179"/>
      <c r="BA690" s="192"/>
      <c r="BB690" s="192"/>
      <c r="BD690" s="192"/>
      <c r="BE690" s="192"/>
      <c r="BH690" s="179"/>
      <c r="BI690" s="192"/>
      <c r="BJ690" s="192"/>
      <c r="BL690" s="192"/>
      <c r="BM690" s="192"/>
      <c r="BP690" s="179"/>
    </row>
    <row r="691">
      <c r="B691" s="189"/>
      <c r="C691" s="189"/>
      <c r="E691" s="189"/>
      <c r="F691" s="189"/>
      <c r="I691" s="179"/>
      <c r="J691" s="189"/>
      <c r="K691" s="189"/>
      <c r="M691" s="189"/>
      <c r="N691" s="189"/>
      <c r="Q691" s="179"/>
      <c r="S691" s="189"/>
      <c r="T691" s="189"/>
      <c r="V691" s="189"/>
      <c r="W691" s="189"/>
      <c r="Z691" s="179"/>
      <c r="AA691" s="189"/>
      <c r="AB691" s="189"/>
      <c r="AD691" s="189"/>
      <c r="AE691" s="189"/>
      <c r="AH691" s="179"/>
      <c r="AJ691" s="191"/>
      <c r="AK691" s="191"/>
      <c r="AM691" s="191"/>
      <c r="AN691" s="191"/>
      <c r="AQ691" s="179"/>
      <c r="AR691" s="192"/>
      <c r="AS691" s="192"/>
      <c r="AU691" s="192"/>
      <c r="AV691" s="192"/>
      <c r="AY691" s="179"/>
      <c r="BA691" s="192"/>
      <c r="BB691" s="192"/>
      <c r="BD691" s="192"/>
      <c r="BE691" s="192"/>
      <c r="BH691" s="179"/>
      <c r="BI691" s="192"/>
      <c r="BJ691" s="192"/>
      <c r="BL691" s="192"/>
      <c r="BM691" s="192"/>
      <c r="BP691" s="179"/>
    </row>
    <row r="692">
      <c r="B692" s="189"/>
      <c r="C692" s="189"/>
      <c r="E692" s="189"/>
      <c r="F692" s="189"/>
      <c r="I692" s="179"/>
      <c r="J692" s="189"/>
      <c r="K692" s="189"/>
      <c r="M692" s="189"/>
      <c r="N692" s="189"/>
      <c r="Q692" s="179"/>
      <c r="S692" s="189"/>
      <c r="T692" s="189"/>
      <c r="V692" s="189"/>
      <c r="W692" s="189"/>
      <c r="Z692" s="179"/>
      <c r="AA692" s="189"/>
      <c r="AB692" s="189"/>
      <c r="AD692" s="189"/>
      <c r="AE692" s="189"/>
      <c r="AH692" s="179"/>
      <c r="AJ692" s="191"/>
      <c r="AK692" s="191"/>
      <c r="AM692" s="191"/>
      <c r="AN692" s="191"/>
      <c r="AQ692" s="179"/>
      <c r="AR692" s="192"/>
      <c r="AS692" s="192"/>
      <c r="AU692" s="192"/>
      <c r="AV692" s="192"/>
      <c r="AY692" s="179"/>
      <c r="BA692" s="192"/>
      <c r="BB692" s="192"/>
      <c r="BD692" s="192"/>
      <c r="BE692" s="192"/>
      <c r="BH692" s="179"/>
      <c r="BI692" s="192"/>
      <c r="BJ692" s="192"/>
      <c r="BL692" s="192"/>
      <c r="BM692" s="192"/>
      <c r="BP692" s="179"/>
    </row>
    <row r="693">
      <c r="B693" s="189"/>
      <c r="C693" s="189"/>
      <c r="E693" s="189"/>
      <c r="F693" s="189"/>
      <c r="I693" s="179"/>
      <c r="J693" s="189"/>
      <c r="K693" s="189"/>
      <c r="M693" s="189"/>
      <c r="N693" s="189"/>
      <c r="Q693" s="179"/>
      <c r="S693" s="189"/>
      <c r="T693" s="189"/>
      <c r="V693" s="189"/>
      <c r="W693" s="189"/>
      <c r="Z693" s="179"/>
      <c r="AA693" s="189"/>
      <c r="AB693" s="189"/>
      <c r="AD693" s="189"/>
      <c r="AE693" s="189"/>
      <c r="AH693" s="179"/>
      <c r="AJ693" s="191"/>
      <c r="AK693" s="191"/>
      <c r="AM693" s="191"/>
      <c r="AN693" s="191"/>
      <c r="AQ693" s="179"/>
      <c r="AR693" s="192"/>
      <c r="AS693" s="192"/>
      <c r="AU693" s="192"/>
      <c r="AV693" s="192"/>
      <c r="AY693" s="179"/>
      <c r="BA693" s="192"/>
      <c r="BB693" s="192"/>
      <c r="BD693" s="192"/>
      <c r="BE693" s="192"/>
      <c r="BH693" s="179"/>
      <c r="BI693" s="192"/>
      <c r="BJ693" s="192"/>
      <c r="BL693" s="192"/>
      <c r="BM693" s="192"/>
      <c r="BP693" s="179"/>
    </row>
    <row r="694">
      <c r="B694" s="189"/>
      <c r="C694" s="189"/>
      <c r="E694" s="189"/>
      <c r="F694" s="189"/>
      <c r="I694" s="179"/>
      <c r="J694" s="189"/>
      <c r="K694" s="189"/>
      <c r="M694" s="189"/>
      <c r="N694" s="189"/>
      <c r="Q694" s="179"/>
      <c r="S694" s="189"/>
      <c r="T694" s="189"/>
      <c r="V694" s="189"/>
      <c r="W694" s="189"/>
      <c r="Z694" s="179"/>
      <c r="AA694" s="189"/>
      <c r="AB694" s="189"/>
      <c r="AD694" s="189"/>
      <c r="AE694" s="189"/>
      <c r="AH694" s="179"/>
      <c r="AJ694" s="191"/>
      <c r="AK694" s="191"/>
      <c r="AM694" s="191"/>
      <c r="AN694" s="191"/>
      <c r="AQ694" s="179"/>
      <c r="AR694" s="192"/>
      <c r="AS694" s="192"/>
      <c r="AU694" s="192"/>
      <c r="AV694" s="192"/>
      <c r="AY694" s="179"/>
      <c r="BA694" s="192"/>
      <c r="BB694" s="192"/>
      <c r="BD694" s="192"/>
      <c r="BE694" s="192"/>
      <c r="BH694" s="179"/>
      <c r="BI694" s="192"/>
      <c r="BJ694" s="192"/>
      <c r="BL694" s="192"/>
      <c r="BM694" s="192"/>
      <c r="BP694" s="179"/>
    </row>
    <row r="695">
      <c r="B695" s="189"/>
      <c r="C695" s="189"/>
      <c r="E695" s="189"/>
      <c r="F695" s="189"/>
      <c r="I695" s="179"/>
      <c r="J695" s="189"/>
      <c r="K695" s="189"/>
      <c r="M695" s="189"/>
      <c r="N695" s="189"/>
      <c r="Q695" s="179"/>
      <c r="S695" s="189"/>
      <c r="T695" s="189"/>
      <c r="V695" s="189"/>
      <c r="W695" s="189"/>
      <c r="Z695" s="179"/>
      <c r="AA695" s="189"/>
      <c r="AB695" s="189"/>
      <c r="AD695" s="189"/>
      <c r="AE695" s="189"/>
      <c r="AH695" s="179"/>
      <c r="AJ695" s="191"/>
      <c r="AK695" s="191"/>
      <c r="AM695" s="191"/>
      <c r="AN695" s="191"/>
      <c r="AQ695" s="179"/>
      <c r="AR695" s="192"/>
      <c r="AS695" s="192"/>
      <c r="AU695" s="192"/>
      <c r="AV695" s="192"/>
      <c r="AY695" s="179"/>
      <c r="BA695" s="192"/>
      <c r="BB695" s="192"/>
      <c r="BD695" s="192"/>
      <c r="BE695" s="192"/>
      <c r="BH695" s="179"/>
      <c r="BI695" s="192"/>
      <c r="BJ695" s="192"/>
      <c r="BL695" s="192"/>
      <c r="BM695" s="192"/>
      <c r="BP695" s="179"/>
    </row>
    <row r="696">
      <c r="B696" s="189"/>
      <c r="C696" s="189"/>
      <c r="E696" s="189"/>
      <c r="F696" s="189"/>
      <c r="I696" s="179"/>
      <c r="J696" s="189"/>
      <c r="K696" s="189"/>
      <c r="M696" s="189"/>
      <c r="N696" s="189"/>
      <c r="Q696" s="179"/>
      <c r="S696" s="189"/>
      <c r="T696" s="189"/>
      <c r="V696" s="189"/>
      <c r="W696" s="189"/>
      <c r="Z696" s="179"/>
      <c r="AA696" s="189"/>
      <c r="AB696" s="189"/>
      <c r="AD696" s="189"/>
      <c r="AE696" s="189"/>
      <c r="AH696" s="179"/>
      <c r="AJ696" s="191"/>
      <c r="AK696" s="191"/>
      <c r="AM696" s="191"/>
      <c r="AN696" s="191"/>
      <c r="AQ696" s="179"/>
      <c r="AR696" s="192"/>
      <c r="AS696" s="192"/>
      <c r="AU696" s="192"/>
      <c r="AV696" s="192"/>
      <c r="AY696" s="179"/>
      <c r="BA696" s="192"/>
      <c r="BB696" s="192"/>
      <c r="BD696" s="192"/>
      <c r="BE696" s="192"/>
      <c r="BH696" s="179"/>
      <c r="BI696" s="192"/>
      <c r="BJ696" s="192"/>
      <c r="BL696" s="192"/>
      <c r="BM696" s="192"/>
      <c r="BP696" s="179"/>
    </row>
    <row r="697">
      <c r="B697" s="189"/>
      <c r="C697" s="189"/>
      <c r="E697" s="189"/>
      <c r="F697" s="189"/>
      <c r="I697" s="179"/>
      <c r="J697" s="189"/>
      <c r="K697" s="189"/>
      <c r="M697" s="189"/>
      <c r="N697" s="189"/>
      <c r="Q697" s="179"/>
      <c r="S697" s="189"/>
      <c r="T697" s="189"/>
      <c r="V697" s="189"/>
      <c r="W697" s="189"/>
      <c r="Z697" s="179"/>
      <c r="AA697" s="189"/>
      <c r="AB697" s="189"/>
      <c r="AD697" s="189"/>
      <c r="AE697" s="189"/>
      <c r="AH697" s="179"/>
      <c r="AJ697" s="191"/>
      <c r="AK697" s="191"/>
      <c r="AM697" s="191"/>
      <c r="AN697" s="191"/>
      <c r="AQ697" s="179"/>
      <c r="AR697" s="192"/>
      <c r="AS697" s="192"/>
      <c r="AU697" s="192"/>
      <c r="AV697" s="192"/>
      <c r="AY697" s="179"/>
      <c r="BA697" s="192"/>
      <c r="BB697" s="192"/>
      <c r="BD697" s="192"/>
      <c r="BE697" s="192"/>
      <c r="BH697" s="179"/>
      <c r="BI697" s="192"/>
      <c r="BJ697" s="192"/>
      <c r="BL697" s="192"/>
      <c r="BM697" s="192"/>
      <c r="BP697" s="179"/>
    </row>
    <row r="698">
      <c r="B698" s="189"/>
      <c r="C698" s="189"/>
      <c r="E698" s="189"/>
      <c r="F698" s="189"/>
      <c r="I698" s="179"/>
      <c r="J698" s="189"/>
      <c r="K698" s="189"/>
      <c r="M698" s="189"/>
      <c r="N698" s="189"/>
      <c r="Q698" s="179"/>
      <c r="S698" s="189"/>
      <c r="T698" s="189"/>
      <c r="V698" s="189"/>
      <c r="W698" s="189"/>
      <c r="Z698" s="179"/>
      <c r="AA698" s="189"/>
      <c r="AB698" s="189"/>
      <c r="AD698" s="189"/>
      <c r="AE698" s="189"/>
      <c r="AH698" s="179"/>
      <c r="AJ698" s="191"/>
      <c r="AK698" s="191"/>
      <c r="AM698" s="191"/>
      <c r="AN698" s="191"/>
      <c r="AQ698" s="179"/>
      <c r="AR698" s="192"/>
      <c r="AS698" s="192"/>
      <c r="AU698" s="192"/>
      <c r="AV698" s="192"/>
      <c r="AY698" s="179"/>
      <c r="BA698" s="192"/>
      <c r="BB698" s="192"/>
      <c r="BD698" s="192"/>
      <c r="BE698" s="192"/>
      <c r="BH698" s="179"/>
      <c r="BI698" s="192"/>
      <c r="BJ698" s="192"/>
      <c r="BL698" s="192"/>
      <c r="BM698" s="192"/>
      <c r="BP698" s="179"/>
    </row>
    <row r="699">
      <c r="B699" s="189"/>
      <c r="C699" s="189"/>
      <c r="E699" s="189"/>
      <c r="F699" s="189"/>
      <c r="I699" s="179"/>
      <c r="J699" s="189"/>
      <c r="K699" s="189"/>
      <c r="M699" s="189"/>
      <c r="N699" s="189"/>
      <c r="Q699" s="179"/>
      <c r="S699" s="189"/>
      <c r="T699" s="189"/>
      <c r="V699" s="189"/>
      <c r="W699" s="189"/>
      <c r="Z699" s="179"/>
      <c r="AA699" s="189"/>
      <c r="AB699" s="189"/>
      <c r="AD699" s="189"/>
      <c r="AE699" s="189"/>
      <c r="AH699" s="179"/>
      <c r="AJ699" s="191"/>
      <c r="AK699" s="191"/>
      <c r="AM699" s="191"/>
      <c r="AN699" s="191"/>
      <c r="AQ699" s="179"/>
      <c r="AR699" s="192"/>
      <c r="AS699" s="192"/>
      <c r="AU699" s="192"/>
      <c r="AV699" s="192"/>
      <c r="AY699" s="179"/>
      <c r="BA699" s="192"/>
      <c r="BB699" s="192"/>
      <c r="BD699" s="192"/>
      <c r="BE699" s="192"/>
      <c r="BH699" s="179"/>
      <c r="BI699" s="192"/>
      <c r="BJ699" s="192"/>
      <c r="BL699" s="192"/>
      <c r="BM699" s="192"/>
      <c r="BP699" s="179"/>
    </row>
    <row r="700">
      <c r="B700" s="189"/>
      <c r="C700" s="189"/>
      <c r="E700" s="189"/>
      <c r="F700" s="189"/>
      <c r="I700" s="179"/>
      <c r="J700" s="189"/>
      <c r="K700" s="189"/>
      <c r="M700" s="189"/>
      <c r="N700" s="189"/>
      <c r="Q700" s="179"/>
      <c r="S700" s="189"/>
      <c r="T700" s="189"/>
      <c r="V700" s="189"/>
      <c r="W700" s="189"/>
      <c r="Z700" s="179"/>
      <c r="AA700" s="189"/>
      <c r="AB700" s="189"/>
      <c r="AD700" s="189"/>
      <c r="AE700" s="189"/>
      <c r="AH700" s="179"/>
      <c r="AJ700" s="191"/>
      <c r="AK700" s="191"/>
      <c r="AM700" s="191"/>
      <c r="AN700" s="191"/>
      <c r="AQ700" s="179"/>
      <c r="AR700" s="192"/>
      <c r="AS700" s="192"/>
      <c r="AU700" s="192"/>
      <c r="AV700" s="192"/>
      <c r="AY700" s="179"/>
      <c r="BA700" s="192"/>
      <c r="BB700" s="192"/>
      <c r="BD700" s="192"/>
      <c r="BE700" s="192"/>
      <c r="BH700" s="179"/>
      <c r="BI700" s="192"/>
      <c r="BJ700" s="192"/>
      <c r="BL700" s="192"/>
      <c r="BM700" s="192"/>
      <c r="BP700" s="179"/>
    </row>
    <row r="701">
      <c r="B701" s="189"/>
      <c r="C701" s="189"/>
      <c r="E701" s="189"/>
      <c r="F701" s="189"/>
      <c r="I701" s="179"/>
      <c r="J701" s="189"/>
      <c r="K701" s="189"/>
      <c r="M701" s="189"/>
      <c r="N701" s="189"/>
      <c r="Q701" s="179"/>
      <c r="S701" s="189"/>
      <c r="T701" s="189"/>
      <c r="V701" s="189"/>
      <c r="W701" s="189"/>
      <c r="Z701" s="179"/>
      <c r="AA701" s="189"/>
      <c r="AB701" s="189"/>
      <c r="AD701" s="189"/>
      <c r="AE701" s="189"/>
      <c r="AH701" s="179"/>
      <c r="AJ701" s="191"/>
      <c r="AK701" s="191"/>
      <c r="AM701" s="191"/>
      <c r="AN701" s="191"/>
      <c r="AQ701" s="179"/>
      <c r="AR701" s="192"/>
      <c r="AS701" s="192"/>
      <c r="AU701" s="192"/>
      <c r="AV701" s="192"/>
      <c r="AY701" s="179"/>
      <c r="BA701" s="192"/>
      <c r="BB701" s="192"/>
      <c r="BD701" s="192"/>
      <c r="BE701" s="192"/>
      <c r="BH701" s="179"/>
      <c r="BI701" s="192"/>
      <c r="BJ701" s="192"/>
      <c r="BL701" s="192"/>
      <c r="BM701" s="192"/>
      <c r="BP701" s="179"/>
    </row>
    <row r="702">
      <c r="B702" s="189"/>
      <c r="C702" s="189"/>
      <c r="E702" s="189"/>
      <c r="F702" s="189"/>
      <c r="I702" s="179"/>
      <c r="J702" s="189"/>
      <c r="K702" s="189"/>
      <c r="M702" s="189"/>
      <c r="N702" s="189"/>
      <c r="Q702" s="179"/>
      <c r="S702" s="189"/>
      <c r="T702" s="189"/>
      <c r="V702" s="189"/>
      <c r="W702" s="189"/>
      <c r="Z702" s="179"/>
      <c r="AA702" s="189"/>
      <c r="AB702" s="189"/>
      <c r="AD702" s="189"/>
      <c r="AE702" s="189"/>
      <c r="AH702" s="179"/>
      <c r="AJ702" s="191"/>
      <c r="AK702" s="191"/>
      <c r="AM702" s="191"/>
      <c r="AN702" s="191"/>
      <c r="AQ702" s="179"/>
      <c r="AR702" s="192"/>
      <c r="AS702" s="192"/>
      <c r="AU702" s="192"/>
      <c r="AV702" s="192"/>
      <c r="AY702" s="179"/>
      <c r="BA702" s="192"/>
      <c r="BB702" s="192"/>
      <c r="BD702" s="192"/>
      <c r="BE702" s="192"/>
      <c r="BH702" s="179"/>
      <c r="BI702" s="192"/>
      <c r="BJ702" s="192"/>
      <c r="BL702" s="192"/>
      <c r="BM702" s="192"/>
      <c r="BP702" s="179"/>
    </row>
    <row r="703">
      <c r="B703" s="189"/>
      <c r="C703" s="189"/>
      <c r="E703" s="189"/>
      <c r="F703" s="189"/>
      <c r="I703" s="179"/>
      <c r="J703" s="189"/>
      <c r="K703" s="189"/>
      <c r="M703" s="189"/>
      <c r="N703" s="189"/>
      <c r="Q703" s="179"/>
      <c r="S703" s="189"/>
      <c r="T703" s="189"/>
      <c r="V703" s="189"/>
      <c r="W703" s="189"/>
      <c r="Z703" s="179"/>
      <c r="AA703" s="189"/>
      <c r="AB703" s="189"/>
      <c r="AD703" s="189"/>
      <c r="AE703" s="189"/>
      <c r="AH703" s="179"/>
      <c r="AJ703" s="191"/>
      <c r="AK703" s="191"/>
      <c r="AM703" s="191"/>
      <c r="AN703" s="191"/>
      <c r="AQ703" s="179"/>
      <c r="AR703" s="192"/>
      <c r="AS703" s="192"/>
      <c r="AU703" s="192"/>
      <c r="AV703" s="192"/>
      <c r="AY703" s="179"/>
      <c r="BA703" s="192"/>
      <c r="BB703" s="192"/>
      <c r="BD703" s="192"/>
      <c r="BE703" s="192"/>
      <c r="BH703" s="179"/>
      <c r="BI703" s="192"/>
      <c r="BJ703" s="192"/>
      <c r="BL703" s="192"/>
      <c r="BM703" s="192"/>
      <c r="BP703" s="179"/>
    </row>
    <row r="704">
      <c r="B704" s="189"/>
      <c r="C704" s="189"/>
      <c r="E704" s="189"/>
      <c r="F704" s="189"/>
      <c r="I704" s="179"/>
      <c r="J704" s="189"/>
      <c r="K704" s="189"/>
      <c r="M704" s="189"/>
      <c r="N704" s="189"/>
      <c r="Q704" s="179"/>
      <c r="S704" s="189"/>
      <c r="T704" s="189"/>
      <c r="V704" s="189"/>
      <c r="W704" s="189"/>
      <c r="Z704" s="179"/>
      <c r="AA704" s="189"/>
      <c r="AB704" s="189"/>
      <c r="AD704" s="189"/>
      <c r="AE704" s="189"/>
      <c r="AH704" s="179"/>
      <c r="AJ704" s="191"/>
      <c r="AK704" s="191"/>
      <c r="AM704" s="191"/>
      <c r="AN704" s="191"/>
      <c r="AQ704" s="179"/>
      <c r="AR704" s="192"/>
      <c r="AS704" s="192"/>
      <c r="AU704" s="192"/>
      <c r="AV704" s="192"/>
      <c r="AY704" s="179"/>
      <c r="BA704" s="192"/>
      <c r="BB704" s="192"/>
      <c r="BD704" s="192"/>
      <c r="BE704" s="192"/>
      <c r="BH704" s="179"/>
      <c r="BI704" s="192"/>
      <c r="BJ704" s="192"/>
      <c r="BL704" s="192"/>
      <c r="BM704" s="192"/>
      <c r="BP704" s="179"/>
    </row>
    <row r="705">
      <c r="B705" s="189"/>
      <c r="C705" s="189"/>
      <c r="E705" s="189"/>
      <c r="F705" s="189"/>
      <c r="I705" s="179"/>
      <c r="J705" s="189"/>
      <c r="K705" s="189"/>
      <c r="M705" s="189"/>
      <c r="N705" s="189"/>
      <c r="Q705" s="179"/>
      <c r="S705" s="189"/>
      <c r="T705" s="189"/>
      <c r="V705" s="189"/>
      <c r="W705" s="189"/>
      <c r="Z705" s="179"/>
      <c r="AA705" s="189"/>
      <c r="AB705" s="189"/>
      <c r="AD705" s="189"/>
      <c r="AE705" s="189"/>
      <c r="AH705" s="179"/>
      <c r="AJ705" s="191"/>
      <c r="AK705" s="191"/>
      <c r="AM705" s="191"/>
      <c r="AN705" s="191"/>
      <c r="AQ705" s="179"/>
      <c r="AR705" s="192"/>
      <c r="AS705" s="192"/>
      <c r="AU705" s="192"/>
      <c r="AV705" s="192"/>
      <c r="AY705" s="179"/>
      <c r="BA705" s="192"/>
      <c r="BB705" s="192"/>
      <c r="BD705" s="192"/>
      <c r="BE705" s="192"/>
      <c r="BH705" s="179"/>
      <c r="BI705" s="192"/>
      <c r="BJ705" s="192"/>
      <c r="BL705" s="192"/>
      <c r="BM705" s="192"/>
      <c r="BP705" s="179"/>
    </row>
    <row r="706">
      <c r="B706" s="189"/>
      <c r="C706" s="189"/>
      <c r="E706" s="189"/>
      <c r="F706" s="189"/>
      <c r="I706" s="179"/>
      <c r="J706" s="189"/>
      <c r="K706" s="189"/>
      <c r="M706" s="189"/>
      <c r="N706" s="189"/>
      <c r="Q706" s="179"/>
      <c r="S706" s="189"/>
      <c r="T706" s="189"/>
      <c r="V706" s="189"/>
      <c r="W706" s="189"/>
      <c r="Z706" s="179"/>
      <c r="AA706" s="189"/>
      <c r="AB706" s="189"/>
      <c r="AD706" s="189"/>
      <c r="AE706" s="189"/>
      <c r="AH706" s="179"/>
      <c r="AJ706" s="191"/>
      <c r="AK706" s="191"/>
      <c r="AM706" s="191"/>
      <c r="AN706" s="191"/>
      <c r="AQ706" s="179"/>
      <c r="AR706" s="192"/>
      <c r="AS706" s="192"/>
      <c r="AU706" s="192"/>
      <c r="AV706" s="192"/>
      <c r="AY706" s="179"/>
      <c r="BA706" s="192"/>
      <c r="BB706" s="192"/>
      <c r="BD706" s="192"/>
      <c r="BE706" s="192"/>
      <c r="BH706" s="179"/>
      <c r="BI706" s="192"/>
      <c r="BJ706" s="192"/>
      <c r="BL706" s="192"/>
      <c r="BM706" s="192"/>
      <c r="BP706" s="179"/>
    </row>
    <row r="707">
      <c r="B707" s="189"/>
      <c r="C707" s="189"/>
      <c r="E707" s="189"/>
      <c r="F707" s="189"/>
      <c r="I707" s="179"/>
      <c r="J707" s="189"/>
      <c r="K707" s="189"/>
      <c r="M707" s="189"/>
      <c r="N707" s="189"/>
      <c r="Q707" s="179"/>
      <c r="S707" s="189"/>
      <c r="T707" s="189"/>
      <c r="V707" s="189"/>
      <c r="W707" s="189"/>
      <c r="Z707" s="179"/>
      <c r="AA707" s="189"/>
      <c r="AB707" s="189"/>
      <c r="AD707" s="189"/>
      <c r="AE707" s="189"/>
      <c r="AH707" s="179"/>
      <c r="AJ707" s="191"/>
      <c r="AK707" s="191"/>
      <c r="AM707" s="191"/>
      <c r="AN707" s="191"/>
      <c r="AQ707" s="179"/>
      <c r="AR707" s="192"/>
      <c r="AS707" s="192"/>
      <c r="AU707" s="192"/>
      <c r="AV707" s="192"/>
      <c r="AY707" s="179"/>
      <c r="BA707" s="192"/>
      <c r="BB707" s="192"/>
      <c r="BD707" s="192"/>
      <c r="BE707" s="192"/>
      <c r="BH707" s="179"/>
      <c r="BI707" s="192"/>
      <c r="BJ707" s="192"/>
      <c r="BL707" s="192"/>
      <c r="BM707" s="192"/>
      <c r="BP707" s="179"/>
    </row>
    <row r="708">
      <c r="B708" s="189"/>
      <c r="C708" s="189"/>
      <c r="E708" s="189"/>
      <c r="F708" s="189"/>
      <c r="I708" s="179"/>
      <c r="J708" s="189"/>
      <c r="K708" s="189"/>
      <c r="M708" s="189"/>
      <c r="N708" s="189"/>
      <c r="Q708" s="179"/>
      <c r="S708" s="189"/>
      <c r="T708" s="189"/>
      <c r="V708" s="189"/>
      <c r="W708" s="189"/>
      <c r="Z708" s="179"/>
      <c r="AA708" s="189"/>
      <c r="AB708" s="189"/>
      <c r="AD708" s="189"/>
      <c r="AE708" s="189"/>
      <c r="AH708" s="179"/>
      <c r="AJ708" s="191"/>
      <c r="AK708" s="191"/>
      <c r="AM708" s="191"/>
      <c r="AN708" s="191"/>
      <c r="AQ708" s="179"/>
      <c r="AR708" s="192"/>
      <c r="AS708" s="192"/>
      <c r="AU708" s="192"/>
      <c r="AV708" s="192"/>
      <c r="AY708" s="179"/>
      <c r="BA708" s="192"/>
      <c r="BB708" s="192"/>
      <c r="BD708" s="192"/>
      <c r="BE708" s="192"/>
      <c r="BH708" s="179"/>
      <c r="BI708" s="192"/>
      <c r="BJ708" s="192"/>
      <c r="BL708" s="192"/>
      <c r="BM708" s="192"/>
      <c r="BP708" s="179"/>
    </row>
    <row r="709">
      <c r="B709" s="189"/>
      <c r="C709" s="189"/>
      <c r="E709" s="189"/>
      <c r="F709" s="189"/>
      <c r="I709" s="179"/>
      <c r="J709" s="189"/>
      <c r="K709" s="189"/>
      <c r="M709" s="189"/>
      <c r="N709" s="189"/>
      <c r="Q709" s="179"/>
      <c r="S709" s="189"/>
      <c r="T709" s="189"/>
      <c r="V709" s="189"/>
      <c r="W709" s="189"/>
      <c r="Z709" s="179"/>
      <c r="AA709" s="189"/>
      <c r="AB709" s="189"/>
      <c r="AD709" s="189"/>
      <c r="AE709" s="189"/>
      <c r="AH709" s="179"/>
      <c r="AJ709" s="191"/>
      <c r="AK709" s="191"/>
      <c r="AM709" s="191"/>
      <c r="AN709" s="191"/>
      <c r="AQ709" s="179"/>
      <c r="AR709" s="192"/>
      <c r="AS709" s="192"/>
      <c r="AU709" s="192"/>
      <c r="AV709" s="192"/>
      <c r="AY709" s="179"/>
      <c r="BA709" s="192"/>
      <c r="BB709" s="192"/>
      <c r="BD709" s="192"/>
      <c r="BE709" s="192"/>
      <c r="BH709" s="179"/>
      <c r="BI709" s="192"/>
      <c r="BJ709" s="192"/>
      <c r="BL709" s="192"/>
      <c r="BM709" s="192"/>
      <c r="BP709" s="179"/>
    </row>
    <row r="710">
      <c r="B710" s="189"/>
      <c r="C710" s="189"/>
      <c r="E710" s="189"/>
      <c r="F710" s="189"/>
      <c r="I710" s="179"/>
      <c r="J710" s="189"/>
      <c r="K710" s="189"/>
      <c r="M710" s="189"/>
      <c r="N710" s="189"/>
      <c r="Q710" s="179"/>
      <c r="S710" s="189"/>
      <c r="T710" s="189"/>
      <c r="V710" s="189"/>
      <c r="W710" s="189"/>
      <c r="Z710" s="179"/>
      <c r="AA710" s="189"/>
      <c r="AB710" s="189"/>
      <c r="AD710" s="189"/>
      <c r="AE710" s="189"/>
      <c r="AH710" s="179"/>
      <c r="AJ710" s="191"/>
      <c r="AK710" s="191"/>
      <c r="AM710" s="191"/>
      <c r="AN710" s="191"/>
      <c r="AQ710" s="179"/>
      <c r="AR710" s="192"/>
      <c r="AS710" s="192"/>
      <c r="AU710" s="192"/>
      <c r="AV710" s="192"/>
      <c r="AY710" s="179"/>
      <c r="BA710" s="192"/>
      <c r="BB710" s="192"/>
      <c r="BD710" s="192"/>
      <c r="BE710" s="192"/>
      <c r="BH710" s="179"/>
      <c r="BI710" s="192"/>
      <c r="BJ710" s="192"/>
      <c r="BL710" s="192"/>
      <c r="BM710" s="192"/>
      <c r="BP710" s="179"/>
    </row>
    <row r="711">
      <c r="B711" s="189"/>
      <c r="C711" s="189"/>
      <c r="E711" s="189"/>
      <c r="F711" s="189"/>
      <c r="I711" s="179"/>
      <c r="J711" s="189"/>
      <c r="K711" s="189"/>
      <c r="M711" s="189"/>
      <c r="N711" s="189"/>
      <c r="Q711" s="179"/>
      <c r="S711" s="189"/>
      <c r="T711" s="189"/>
      <c r="V711" s="189"/>
      <c r="W711" s="189"/>
      <c r="Z711" s="179"/>
      <c r="AA711" s="189"/>
      <c r="AB711" s="189"/>
      <c r="AD711" s="189"/>
      <c r="AE711" s="189"/>
      <c r="AH711" s="179"/>
      <c r="AJ711" s="191"/>
      <c r="AK711" s="191"/>
      <c r="AM711" s="191"/>
      <c r="AN711" s="191"/>
      <c r="AQ711" s="179"/>
      <c r="AR711" s="192"/>
      <c r="AS711" s="192"/>
      <c r="AU711" s="192"/>
      <c r="AV711" s="192"/>
      <c r="AY711" s="179"/>
      <c r="BA711" s="192"/>
      <c r="BB711" s="192"/>
      <c r="BD711" s="192"/>
      <c r="BE711" s="192"/>
      <c r="BH711" s="179"/>
      <c r="BI711" s="192"/>
      <c r="BJ711" s="192"/>
      <c r="BL711" s="192"/>
      <c r="BM711" s="192"/>
      <c r="BP711" s="179"/>
    </row>
    <row r="712">
      <c r="B712" s="189"/>
      <c r="C712" s="189"/>
      <c r="E712" s="189"/>
      <c r="F712" s="189"/>
      <c r="I712" s="179"/>
      <c r="J712" s="189"/>
      <c r="K712" s="189"/>
      <c r="M712" s="189"/>
      <c r="N712" s="189"/>
      <c r="Q712" s="179"/>
      <c r="S712" s="189"/>
      <c r="T712" s="189"/>
      <c r="V712" s="189"/>
      <c r="W712" s="189"/>
      <c r="Z712" s="179"/>
      <c r="AA712" s="189"/>
      <c r="AB712" s="189"/>
      <c r="AD712" s="189"/>
      <c r="AE712" s="189"/>
      <c r="AH712" s="179"/>
      <c r="AJ712" s="191"/>
      <c r="AK712" s="191"/>
      <c r="AM712" s="191"/>
      <c r="AN712" s="191"/>
      <c r="AQ712" s="179"/>
      <c r="AR712" s="192"/>
      <c r="AS712" s="192"/>
      <c r="AU712" s="192"/>
      <c r="AV712" s="192"/>
      <c r="AY712" s="179"/>
      <c r="BA712" s="192"/>
      <c r="BB712" s="192"/>
      <c r="BD712" s="192"/>
      <c r="BE712" s="192"/>
      <c r="BH712" s="179"/>
      <c r="BI712" s="192"/>
      <c r="BJ712" s="192"/>
      <c r="BL712" s="192"/>
      <c r="BM712" s="192"/>
      <c r="BP712" s="179"/>
    </row>
    <row r="713">
      <c r="B713" s="189"/>
      <c r="C713" s="189"/>
      <c r="E713" s="189"/>
      <c r="F713" s="189"/>
      <c r="I713" s="179"/>
      <c r="J713" s="189"/>
      <c r="K713" s="189"/>
      <c r="M713" s="189"/>
      <c r="N713" s="189"/>
      <c r="Q713" s="179"/>
      <c r="S713" s="189"/>
      <c r="T713" s="189"/>
      <c r="V713" s="189"/>
      <c r="W713" s="189"/>
      <c r="Z713" s="179"/>
      <c r="AA713" s="189"/>
      <c r="AB713" s="189"/>
      <c r="AD713" s="189"/>
      <c r="AE713" s="189"/>
      <c r="AH713" s="179"/>
      <c r="AJ713" s="191"/>
      <c r="AK713" s="191"/>
      <c r="AM713" s="191"/>
      <c r="AN713" s="191"/>
      <c r="AQ713" s="179"/>
      <c r="AR713" s="192"/>
      <c r="AS713" s="192"/>
      <c r="AU713" s="192"/>
      <c r="AV713" s="192"/>
      <c r="AY713" s="179"/>
      <c r="BA713" s="192"/>
      <c r="BB713" s="192"/>
      <c r="BD713" s="192"/>
      <c r="BE713" s="192"/>
      <c r="BH713" s="179"/>
      <c r="BI713" s="192"/>
      <c r="BJ713" s="192"/>
      <c r="BL713" s="192"/>
      <c r="BM713" s="192"/>
      <c r="BP713" s="179"/>
    </row>
    <row r="714">
      <c r="B714" s="189"/>
      <c r="C714" s="189"/>
      <c r="E714" s="189"/>
      <c r="F714" s="189"/>
      <c r="I714" s="179"/>
      <c r="J714" s="189"/>
      <c r="K714" s="189"/>
      <c r="M714" s="189"/>
      <c r="N714" s="189"/>
      <c r="Q714" s="179"/>
      <c r="S714" s="189"/>
      <c r="T714" s="189"/>
      <c r="V714" s="189"/>
      <c r="W714" s="189"/>
      <c r="Z714" s="179"/>
      <c r="AA714" s="189"/>
      <c r="AB714" s="189"/>
      <c r="AD714" s="189"/>
      <c r="AE714" s="189"/>
      <c r="AH714" s="179"/>
      <c r="AJ714" s="191"/>
      <c r="AK714" s="191"/>
      <c r="AM714" s="191"/>
      <c r="AN714" s="191"/>
      <c r="AQ714" s="179"/>
      <c r="AR714" s="192"/>
      <c r="AS714" s="192"/>
      <c r="AU714" s="192"/>
      <c r="AV714" s="192"/>
      <c r="AY714" s="179"/>
      <c r="BA714" s="192"/>
      <c r="BB714" s="192"/>
      <c r="BD714" s="192"/>
      <c r="BE714" s="192"/>
      <c r="BH714" s="179"/>
      <c r="BI714" s="192"/>
      <c r="BJ714" s="192"/>
      <c r="BL714" s="192"/>
      <c r="BM714" s="192"/>
      <c r="BP714" s="179"/>
    </row>
    <row r="715">
      <c r="B715" s="189"/>
      <c r="C715" s="189"/>
      <c r="E715" s="189"/>
      <c r="F715" s="189"/>
      <c r="I715" s="179"/>
      <c r="J715" s="189"/>
      <c r="K715" s="189"/>
      <c r="M715" s="189"/>
      <c r="N715" s="189"/>
      <c r="Q715" s="179"/>
      <c r="S715" s="189"/>
      <c r="T715" s="189"/>
      <c r="V715" s="189"/>
      <c r="W715" s="189"/>
      <c r="Z715" s="179"/>
      <c r="AA715" s="189"/>
      <c r="AB715" s="189"/>
      <c r="AD715" s="189"/>
      <c r="AE715" s="189"/>
      <c r="AH715" s="179"/>
      <c r="AJ715" s="191"/>
      <c r="AK715" s="191"/>
      <c r="AM715" s="191"/>
      <c r="AN715" s="191"/>
      <c r="AQ715" s="179"/>
      <c r="AR715" s="192"/>
      <c r="AS715" s="192"/>
      <c r="AU715" s="192"/>
      <c r="AV715" s="192"/>
      <c r="AY715" s="179"/>
      <c r="BA715" s="192"/>
      <c r="BB715" s="192"/>
      <c r="BD715" s="192"/>
      <c r="BE715" s="192"/>
      <c r="BH715" s="179"/>
      <c r="BI715" s="192"/>
      <c r="BJ715" s="192"/>
      <c r="BL715" s="192"/>
      <c r="BM715" s="192"/>
      <c r="BP715" s="179"/>
    </row>
    <row r="716">
      <c r="B716" s="189"/>
      <c r="C716" s="189"/>
      <c r="E716" s="189"/>
      <c r="F716" s="189"/>
      <c r="I716" s="179"/>
      <c r="J716" s="189"/>
      <c r="K716" s="189"/>
      <c r="M716" s="189"/>
      <c r="N716" s="189"/>
      <c r="Q716" s="179"/>
      <c r="S716" s="189"/>
      <c r="T716" s="189"/>
      <c r="V716" s="189"/>
      <c r="W716" s="189"/>
      <c r="Z716" s="179"/>
      <c r="AA716" s="189"/>
      <c r="AB716" s="189"/>
      <c r="AD716" s="189"/>
      <c r="AE716" s="189"/>
      <c r="AH716" s="179"/>
      <c r="AJ716" s="191"/>
      <c r="AK716" s="191"/>
      <c r="AM716" s="191"/>
      <c r="AN716" s="191"/>
      <c r="AQ716" s="179"/>
      <c r="AR716" s="192"/>
      <c r="AS716" s="192"/>
      <c r="AU716" s="192"/>
      <c r="AV716" s="192"/>
      <c r="AY716" s="179"/>
      <c r="BA716" s="192"/>
      <c r="BB716" s="192"/>
      <c r="BD716" s="192"/>
      <c r="BE716" s="192"/>
      <c r="BH716" s="179"/>
      <c r="BI716" s="192"/>
      <c r="BJ716" s="192"/>
      <c r="BL716" s="192"/>
      <c r="BM716" s="192"/>
      <c r="BP716" s="179"/>
    </row>
    <row r="717">
      <c r="B717" s="189"/>
      <c r="C717" s="189"/>
      <c r="E717" s="189"/>
      <c r="F717" s="189"/>
      <c r="I717" s="179"/>
      <c r="J717" s="189"/>
      <c r="K717" s="189"/>
      <c r="M717" s="189"/>
      <c r="N717" s="189"/>
      <c r="Q717" s="179"/>
      <c r="S717" s="189"/>
      <c r="T717" s="189"/>
      <c r="V717" s="189"/>
      <c r="W717" s="189"/>
      <c r="Z717" s="179"/>
      <c r="AA717" s="189"/>
      <c r="AB717" s="189"/>
      <c r="AD717" s="189"/>
      <c r="AE717" s="189"/>
      <c r="AH717" s="179"/>
      <c r="AJ717" s="191"/>
      <c r="AK717" s="191"/>
      <c r="AM717" s="191"/>
      <c r="AN717" s="191"/>
      <c r="AQ717" s="179"/>
      <c r="AR717" s="192"/>
      <c r="AS717" s="192"/>
      <c r="AU717" s="192"/>
      <c r="AV717" s="192"/>
      <c r="AY717" s="179"/>
      <c r="BA717" s="192"/>
      <c r="BB717" s="192"/>
      <c r="BD717" s="192"/>
      <c r="BE717" s="192"/>
      <c r="BH717" s="179"/>
      <c r="BI717" s="192"/>
      <c r="BJ717" s="192"/>
      <c r="BL717" s="192"/>
      <c r="BM717" s="192"/>
      <c r="BP717" s="179"/>
    </row>
    <row r="718">
      <c r="B718" s="189"/>
      <c r="C718" s="189"/>
      <c r="E718" s="189"/>
      <c r="F718" s="189"/>
      <c r="I718" s="179"/>
      <c r="J718" s="189"/>
      <c r="K718" s="189"/>
      <c r="M718" s="189"/>
      <c r="N718" s="189"/>
      <c r="Q718" s="179"/>
      <c r="S718" s="189"/>
      <c r="T718" s="189"/>
      <c r="V718" s="189"/>
      <c r="W718" s="189"/>
      <c r="Z718" s="179"/>
      <c r="AA718" s="189"/>
      <c r="AB718" s="189"/>
      <c r="AD718" s="189"/>
      <c r="AE718" s="189"/>
      <c r="AH718" s="179"/>
      <c r="AJ718" s="191"/>
      <c r="AK718" s="191"/>
      <c r="AM718" s="191"/>
      <c r="AN718" s="191"/>
      <c r="AQ718" s="179"/>
      <c r="AR718" s="192"/>
      <c r="AS718" s="192"/>
      <c r="AU718" s="192"/>
      <c r="AV718" s="192"/>
      <c r="AY718" s="179"/>
      <c r="BA718" s="192"/>
      <c r="BB718" s="192"/>
      <c r="BD718" s="192"/>
      <c r="BE718" s="192"/>
      <c r="BH718" s="179"/>
      <c r="BI718" s="192"/>
      <c r="BJ718" s="192"/>
      <c r="BL718" s="192"/>
      <c r="BM718" s="192"/>
      <c r="BP718" s="179"/>
    </row>
    <row r="719">
      <c r="B719" s="189"/>
      <c r="C719" s="189"/>
      <c r="E719" s="189"/>
      <c r="F719" s="189"/>
      <c r="I719" s="179"/>
      <c r="J719" s="189"/>
      <c r="K719" s="189"/>
      <c r="M719" s="189"/>
      <c r="N719" s="189"/>
      <c r="Q719" s="179"/>
      <c r="S719" s="189"/>
      <c r="T719" s="189"/>
      <c r="V719" s="189"/>
      <c r="W719" s="189"/>
      <c r="Z719" s="179"/>
      <c r="AA719" s="189"/>
      <c r="AB719" s="189"/>
      <c r="AD719" s="189"/>
      <c r="AE719" s="189"/>
      <c r="AH719" s="179"/>
      <c r="AJ719" s="191"/>
      <c r="AK719" s="191"/>
      <c r="AM719" s="191"/>
      <c r="AN719" s="191"/>
      <c r="AQ719" s="179"/>
      <c r="AR719" s="192"/>
      <c r="AS719" s="192"/>
      <c r="AU719" s="192"/>
      <c r="AV719" s="192"/>
      <c r="AY719" s="179"/>
      <c r="BA719" s="192"/>
      <c r="BB719" s="192"/>
      <c r="BD719" s="192"/>
      <c r="BE719" s="192"/>
      <c r="BH719" s="179"/>
      <c r="BI719" s="192"/>
      <c r="BJ719" s="192"/>
      <c r="BL719" s="192"/>
      <c r="BM719" s="192"/>
      <c r="BP719" s="179"/>
    </row>
    <row r="720">
      <c r="B720" s="189"/>
      <c r="C720" s="189"/>
      <c r="E720" s="189"/>
      <c r="F720" s="189"/>
      <c r="I720" s="179"/>
      <c r="J720" s="189"/>
      <c r="K720" s="189"/>
      <c r="M720" s="189"/>
      <c r="N720" s="189"/>
      <c r="Q720" s="179"/>
      <c r="S720" s="189"/>
      <c r="T720" s="189"/>
      <c r="V720" s="189"/>
      <c r="W720" s="189"/>
      <c r="Z720" s="179"/>
      <c r="AA720" s="189"/>
      <c r="AB720" s="189"/>
      <c r="AD720" s="189"/>
      <c r="AE720" s="189"/>
      <c r="AH720" s="179"/>
      <c r="AJ720" s="191"/>
      <c r="AK720" s="191"/>
      <c r="AM720" s="191"/>
      <c r="AN720" s="191"/>
      <c r="AQ720" s="179"/>
      <c r="AR720" s="192"/>
      <c r="AS720" s="192"/>
      <c r="AU720" s="192"/>
      <c r="AV720" s="192"/>
      <c r="AY720" s="179"/>
      <c r="BA720" s="192"/>
      <c r="BB720" s="192"/>
      <c r="BD720" s="192"/>
      <c r="BE720" s="192"/>
      <c r="BH720" s="179"/>
      <c r="BI720" s="192"/>
      <c r="BJ720" s="192"/>
      <c r="BL720" s="192"/>
      <c r="BM720" s="192"/>
      <c r="BP720" s="179"/>
    </row>
    <row r="721">
      <c r="B721" s="189"/>
      <c r="C721" s="189"/>
      <c r="E721" s="189"/>
      <c r="F721" s="189"/>
      <c r="I721" s="179"/>
      <c r="J721" s="189"/>
      <c r="K721" s="189"/>
      <c r="M721" s="189"/>
      <c r="N721" s="189"/>
      <c r="Q721" s="179"/>
      <c r="S721" s="189"/>
      <c r="T721" s="189"/>
      <c r="V721" s="189"/>
      <c r="W721" s="189"/>
      <c r="Z721" s="179"/>
      <c r="AA721" s="189"/>
      <c r="AB721" s="189"/>
      <c r="AD721" s="189"/>
      <c r="AE721" s="189"/>
      <c r="AH721" s="179"/>
      <c r="AJ721" s="191"/>
      <c r="AK721" s="191"/>
      <c r="AM721" s="191"/>
      <c r="AN721" s="191"/>
      <c r="AQ721" s="179"/>
      <c r="AR721" s="192"/>
      <c r="AS721" s="192"/>
      <c r="AU721" s="192"/>
      <c r="AV721" s="192"/>
      <c r="AY721" s="179"/>
      <c r="BA721" s="192"/>
      <c r="BB721" s="192"/>
      <c r="BD721" s="192"/>
      <c r="BE721" s="192"/>
      <c r="BH721" s="179"/>
      <c r="BI721" s="192"/>
      <c r="BJ721" s="192"/>
      <c r="BL721" s="192"/>
      <c r="BM721" s="192"/>
      <c r="BP721" s="179"/>
    </row>
    <row r="722">
      <c r="B722" s="189"/>
      <c r="C722" s="189"/>
      <c r="E722" s="189"/>
      <c r="F722" s="189"/>
      <c r="I722" s="179"/>
      <c r="J722" s="189"/>
      <c r="K722" s="189"/>
      <c r="M722" s="189"/>
      <c r="N722" s="189"/>
      <c r="Q722" s="179"/>
      <c r="S722" s="189"/>
      <c r="T722" s="189"/>
      <c r="V722" s="189"/>
      <c r="W722" s="189"/>
      <c r="Z722" s="179"/>
      <c r="AA722" s="189"/>
      <c r="AB722" s="189"/>
      <c r="AD722" s="189"/>
      <c r="AE722" s="189"/>
      <c r="AH722" s="179"/>
      <c r="AJ722" s="191"/>
      <c r="AK722" s="191"/>
      <c r="AM722" s="191"/>
      <c r="AN722" s="191"/>
      <c r="AQ722" s="179"/>
      <c r="AR722" s="192"/>
      <c r="AS722" s="192"/>
      <c r="AU722" s="192"/>
      <c r="AV722" s="192"/>
      <c r="AY722" s="179"/>
      <c r="BA722" s="192"/>
      <c r="BB722" s="192"/>
      <c r="BD722" s="192"/>
      <c r="BE722" s="192"/>
      <c r="BH722" s="179"/>
      <c r="BI722" s="192"/>
      <c r="BJ722" s="192"/>
      <c r="BL722" s="192"/>
      <c r="BM722" s="192"/>
      <c r="BP722" s="179"/>
    </row>
    <row r="723">
      <c r="B723" s="189"/>
      <c r="C723" s="189"/>
      <c r="E723" s="189"/>
      <c r="F723" s="189"/>
      <c r="I723" s="179"/>
      <c r="J723" s="189"/>
      <c r="K723" s="189"/>
      <c r="M723" s="189"/>
      <c r="N723" s="189"/>
      <c r="Q723" s="179"/>
      <c r="S723" s="189"/>
      <c r="T723" s="189"/>
      <c r="V723" s="189"/>
      <c r="W723" s="189"/>
      <c r="Z723" s="179"/>
      <c r="AA723" s="189"/>
      <c r="AB723" s="189"/>
      <c r="AD723" s="189"/>
      <c r="AE723" s="189"/>
      <c r="AH723" s="179"/>
      <c r="AJ723" s="191"/>
      <c r="AK723" s="191"/>
      <c r="AM723" s="191"/>
      <c r="AN723" s="191"/>
      <c r="AQ723" s="179"/>
      <c r="AR723" s="192"/>
      <c r="AS723" s="192"/>
      <c r="AU723" s="192"/>
      <c r="AV723" s="192"/>
      <c r="AY723" s="179"/>
      <c r="BA723" s="192"/>
      <c r="BB723" s="192"/>
      <c r="BD723" s="192"/>
      <c r="BE723" s="192"/>
      <c r="BH723" s="179"/>
      <c r="BI723" s="192"/>
      <c r="BJ723" s="192"/>
      <c r="BL723" s="192"/>
      <c r="BM723" s="192"/>
      <c r="BP723" s="179"/>
    </row>
    <row r="724">
      <c r="B724" s="189"/>
      <c r="C724" s="189"/>
      <c r="E724" s="189"/>
      <c r="F724" s="189"/>
      <c r="I724" s="179"/>
      <c r="J724" s="189"/>
      <c r="K724" s="189"/>
      <c r="M724" s="189"/>
      <c r="N724" s="189"/>
      <c r="Q724" s="179"/>
      <c r="S724" s="189"/>
      <c r="T724" s="189"/>
      <c r="V724" s="189"/>
      <c r="W724" s="189"/>
      <c r="Z724" s="179"/>
      <c r="AA724" s="189"/>
      <c r="AB724" s="189"/>
      <c r="AD724" s="189"/>
      <c r="AE724" s="189"/>
      <c r="AH724" s="179"/>
      <c r="AJ724" s="191"/>
      <c r="AK724" s="191"/>
      <c r="AM724" s="191"/>
      <c r="AN724" s="191"/>
      <c r="AQ724" s="179"/>
      <c r="AR724" s="192"/>
      <c r="AS724" s="192"/>
      <c r="AU724" s="192"/>
      <c r="AV724" s="192"/>
      <c r="AY724" s="179"/>
      <c r="BA724" s="192"/>
      <c r="BB724" s="192"/>
      <c r="BD724" s="192"/>
      <c r="BE724" s="192"/>
      <c r="BH724" s="179"/>
      <c r="BI724" s="192"/>
      <c r="BJ724" s="192"/>
      <c r="BL724" s="192"/>
      <c r="BM724" s="192"/>
      <c r="BP724" s="179"/>
    </row>
    <row r="725">
      <c r="B725" s="189"/>
      <c r="C725" s="189"/>
      <c r="E725" s="189"/>
      <c r="F725" s="189"/>
      <c r="I725" s="179"/>
      <c r="J725" s="189"/>
      <c r="K725" s="189"/>
      <c r="M725" s="189"/>
      <c r="N725" s="189"/>
      <c r="Q725" s="179"/>
      <c r="S725" s="189"/>
      <c r="T725" s="189"/>
      <c r="V725" s="189"/>
      <c r="W725" s="189"/>
      <c r="Z725" s="179"/>
      <c r="AA725" s="189"/>
      <c r="AB725" s="189"/>
      <c r="AD725" s="189"/>
      <c r="AE725" s="189"/>
      <c r="AH725" s="179"/>
      <c r="AJ725" s="191"/>
      <c r="AK725" s="191"/>
      <c r="AM725" s="191"/>
      <c r="AN725" s="191"/>
      <c r="AQ725" s="179"/>
      <c r="AR725" s="192"/>
      <c r="AS725" s="192"/>
      <c r="AU725" s="192"/>
      <c r="AV725" s="192"/>
      <c r="AY725" s="179"/>
      <c r="BA725" s="192"/>
      <c r="BB725" s="192"/>
      <c r="BD725" s="192"/>
      <c r="BE725" s="192"/>
      <c r="BH725" s="179"/>
      <c r="BI725" s="192"/>
      <c r="BJ725" s="192"/>
      <c r="BL725" s="192"/>
      <c r="BM725" s="192"/>
      <c r="BP725" s="179"/>
    </row>
    <row r="726">
      <c r="B726" s="189"/>
      <c r="C726" s="189"/>
      <c r="E726" s="189"/>
      <c r="F726" s="189"/>
      <c r="I726" s="179"/>
      <c r="J726" s="189"/>
      <c r="K726" s="189"/>
      <c r="M726" s="189"/>
      <c r="N726" s="189"/>
      <c r="Q726" s="179"/>
      <c r="S726" s="189"/>
      <c r="T726" s="189"/>
      <c r="V726" s="189"/>
      <c r="W726" s="189"/>
      <c r="Z726" s="179"/>
      <c r="AA726" s="189"/>
      <c r="AB726" s="189"/>
      <c r="AD726" s="189"/>
      <c r="AE726" s="189"/>
      <c r="AH726" s="179"/>
      <c r="AJ726" s="191"/>
      <c r="AK726" s="191"/>
      <c r="AM726" s="191"/>
      <c r="AN726" s="191"/>
      <c r="AQ726" s="179"/>
      <c r="AR726" s="192"/>
      <c r="AS726" s="192"/>
      <c r="AU726" s="192"/>
      <c r="AV726" s="192"/>
      <c r="AY726" s="179"/>
      <c r="BA726" s="192"/>
      <c r="BB726" s="192"/>
      <c r="BD726" s="192"/>
      <c r="BE726" s="192"/>
      <c r="BH726" s="179"/>
      <c r="BI726" s="192"/>
      <c r="BJ726" s="192"/>
      <c r="BL726" s="192"/>
      <c r="BM726" s="192"/>
      <c r="BP726" s="179"/>
    </row>
    <row r="727">
      <c r="B727" s="189"/>
      <c r="C727" s="189"/>
      <c r="E727" s="189"/>
      <c r="F727" s="189"/>
      <c r="I727" s="179"/>
      <c r="J727" s="189"/>
      <c r="K727" s="189"/>
      <c r="M727" s="189"/>
      <c r="N727" s="189"/>
      <c r="Q727" s="179"/>
      <c r="S727" s="189"/>
      <c r="T727" s="189"/>
      <c r="V727" s="189"/>
      <c r="W727" s="189"/>
      <c r="Z727" s="179"/>
      <c r="AA727" s="189"/>
      <c r="AB727" s="189"/>
      <c r="AD727" s="189"/>
      <c r="AE727" s="189"/>
      <c r="AH727" s="179"/>
      <c r="AJ727" s="191"/>
      <c r="AK727" s="191"/>
      <c r="AM727" s="191"/>
      <c r="AN727" s="191"/>
      <c r="AQ727" s="179"/>
      <c r="AR727" s="192"/>
      <c r="AS727" s="192"/>
      <c r="AU727" s="192"/>
      <c r="AV727" s="192"/>
      <c r="AY727" s="179"/>
      <c r="BA727" s="192"/>
      <c r="BB727" s="192"/>
      <c r="BD727" s="192"/>
      <c r="BE727" s="192"/>
      <c r="BH727" s="179"/>
      <c r="BI727" s="192"/>
      <c r="BJ727" s="192"/>
      <c r="BL727" s="192"/>
      <c r="BM727" s="192"/>
      <c r="BP727" s="179"/>
    </row>
    <row r="728">
      <c r="B728" s="189"/>
      <c r="C728" s="189"/>
      <c r="E728" s="189"/>
      <c r="F728" s="189"/>
      <c r="I728" s="179"/>
      <c r="J728" s="189"/>
      <c r="K728" s="189"/>
      <c r="M728" s="189"/>
      <c r="N728" s="189"/>
      <c r="Q728" s="179"/>
      <c r="S728" s="189"/>
      <c r="T728" s="189"/>
      <c r="V728" s="189"/>
      <c r="W728" s="189"/>
      <c r="Z728" s="179"/>
      <c r="AA728" s="189"/>
      <c r="AB728" s="189"/>
      <c r="AD728" s="189"/>
      <c r="AE728" s="189"/>
      <c r="AH728" s="179"/>
      <c r="AJ728" s="191"/>
      <c r="AK728" s="191"/>
      <c r="AM728" s="191"/>
      <c r="AN728" s="191"/>
      <c r="AQ728" s="179"/>
      <c r="AR728" s="192"/>
      <c r="AS728" s="192"/>
      <c r="AU728" s="192"/>
      <c r="AV728" s="192"/>
      <c r="AY728" s="179"/>
      <c r="BA728" s="192"/>
      <c r="BB728" s="192"/>
      <c r="BD728" s="192"/>
      <c r="BE728" s="192"/>
      <c r="BH728" s="179"/>
      <c r="BI728" s="192"/>
      <c r="BJ728" s="192"/>
      <c r="BL728" s="192"/>
      <c r="BM728" s="192"/>
      <c r="BP728" s="179"/>
    </row>
    <row r="729">
      <c r="B729" s="189"/>
      <c r="C729" s="189"/>
      <c r="E729" s="189"/>
      <c r="F729" s="189"/>
      <c r="I729" s="179"/>
      <c r="J729" s="189"/>
      <c r="K729" s="189"/>
      <c r="M729" s="189"/>
      <c r="N729" s="189"/>
      <c r="Q729" s="179"/>
      <c r="S729" s="189"/>
      <c r="T729" s="189"/>
      <c r="V729" s="189"/>
      <c r="W729" s="189"/>
      <c r="Z729" s="179"/>
      <c r="AA729" s="189"/>
      <c r="AB729" s="189"/>
      <c r="AD729" s="189"/>
      <c r="AE729" s="189"/>
      <c r="AH729" s="179"/>
      <c r="AJ729" s="191"/>
      <c r="AK729" s="191"/>
      <c r="AM729" s="191"/>
      <c r="AN729" s="191"/>
      <c r="AQ729" s="179"/>
      <c r="AR729" s="192"/>
      <c r="AS729" s="192"/>
      <c r="AU729" s="192"/>
      <c r="AV729" s="192"/>
      <c r="AY729" s="179"/>
      <c r="BA729" s="192"/>
      <c r="BB729" s="192"/>
      <c r="BD729" s="192"/>
      <c r="BE729" s="192"/>
      <c r="BH729" s="179"/>
      <c r="BI729" s="192"/>
      <c r="BJ729" s="192"/>
      <c r="BL729" s="192"/>
      <c r="BM729" s="192"/>
      <c r="BP729" s="179"/>
    </row>
    <row r="730">
      <c r="B730" s="189"/>
      <c r="C730" s="189"/>
      <c r="E730" s="189"/>
      <c r="F730" s="189"/>
      <c r="I730" s="179"/>
      <c r="J730" s="189"/>
      <c r="K730" s="189"/>
      <c r="M730" s="189"/>
      <c r="N730" s="189"/>
      <c r="Q730" s="179"/>
      <c r="S730" s="189"/>
      <c r="T730" s="189"/>
      <c r="V730" s="189"/>
      <c r="W730" s="189"/>
      <c r="Z730" s="179"/>
      <c r="AA730" s="189"/>
      <c r="AB730" s="189"/>
      <c r="AD730" s="189"/>
      <c r="AE730" s="189"/>
      <c r="AH730" s="179"/>
      <c r="AJ730" s="191"/>
      <c r="AK730" s="191"/>
      <c r="AM730" s="191"/>
      <c r="AN730" s="191"/>
      <c r="AQ730" s="179"/>
      <c r="AR730" s="192"/>
      <c r="AS730" s="192"/>
      <c r="AU730" s="192"/>
      <c r="AV730" s="192"/>
      <c r="AY730" s="179"/>
      <c r="BA730" s="192"/>
      <c r="BB730" s="192"/>
      <c r="BD730" s="192"/>
      <c r="BE730" s="192"/>
      <c r="BH730" s="179"/>
      <c r="BI730" s="192"/>
      <c r="BJ730" s="192"/>
      <c r="BL730" s="192"/>
      <c r="BM730" s="192"/>
      <c r="BP730" s="179"/>
    </row>
    <row r="731">
      <c r="B731" s="189"/>
      <c r="C731" s="189"/>
      <c r="E731" s="189"/>
      <c r="F731" s="189"/>
      <c r="I731" s="179"/>
      <c r="J731" s="189"/>
      <c r="K731" s="189"/>
      <c r="M731" s="189"/>
      <c r="N731" s="189"/>
      <c r="Q731" s="179"/>
      <c r="S731" s="189"/>
      <c r="T731" s="189"/>
      <c r="V731" s="189"/>
      <c r="W731" s="189"/>
      <c r="Z731" s="179"/>
      <c r="AA731" s="189"/>
      <c r="AB731" s="189"/>
      <c r="AD731" s="189"/>
      <c r="AE731" s="189"/>
      <c r="AH731" s="179"/>
      <c r="AJ731" s="191"/>
      <c r="AK731" s="191"/>
      <c r="AM731" s="191"/>
      <c r="AN731" s="191"/>
      <c r="AQ731" s="179"/>
      <c r="AR731" s="192"/>
      <c r="AS731" s="192"/>
      <c r="AU731" s="192"/>
      <c r="AV731" s="192"/>
      <c r="AY731" s="179"/>
      <c r="BA731" s="192"/>
      <c r="BB731" s="192"/>
      <c r="BD731" s="192"/>
      <c r="BE731" s="192"/>
      <c r="BH731" s="179"/>
      <c r="BI731" s="192"/>
      <c r="BJ731" s="192"/>
      <c r="BL731" s="192"/>
      <c r="BM731" s="192"/>
      <c r="BP731" s="179"/>
    </row>
    <row r="732">
      <c r="B732" s="189"/>
      <c r="C732" s="189"/>
      <c r="E732" s="189"/>
      <c r="F732" s="189"/>
      <c r="I732" s="179"/>
      <c r="J732" s="189"/>
      <c r="K732" s="189"/>
      <c r="M732" s="189"/>
      <c r="N732" s="189"/>
      <c r="Q732" s="179"/>
      <c r="S732" s="189"/>
      <c r="T732" s="189"/>
      <c r="V732" s="189"/>
      <c r="W732" s="189"/>
      <c r="Z732" s="179"/>
      <c r="AA732" s="189"/>
      <c r="AB732" s="189"/>
      <c r="AD732" s="189"/>
      <c r="AE732" s="189"/>
      <c r="AH732" s="179"/>
      <c r="AJ732" s="191"/>
      <c r="AK732" s="191"/>
      <c r="AM732" s="191"/>
      <c r="AN732" s="191"/>
      <c r="AQ732" s="179"/>
      <c r="AR732" s="192"/>
      <c r="AS732" s="192"/>
      <c r="AU732" s="192"/>
      <c r="AV732" s="192"/>
      <c r="AY732" s="179"/>
      <c r="BA732" s="192"/>
      <c r="BB732" s="192"/>
      <c r="BD732" s="192"/>
      <c r="BE732" s="192"/>
      <c r="BH732" s="179"/>
      <c r="BI732" s="192"/>
      <c r="BJ732" s="192"/>
      <c r="BL732" s="192"/>
      <c r="BM732" s="192"/>
      <c r="BP732" s="179"/>
    </row>
    <row r="733">
      <c r="B733" s="189"/>
      <c r="C733" s="189"/>
      <c r="E733" s="189"/>
      <c r="F733" s="189"/>
      <c r="I733" s="179"/>
      <c r="J733" s="189"/>
      <c r="K733" s="189"/>
      <c r="M733" s="189"/>
      <c r="N733" s="189"/>
      <c r="Q733" s="179"/>
      <c r="S733" s="189"/>
      <c r="T733" s="189"/>
      <c r="V733" s="189"/>
      <c r="W733" s="189"/>
      <c r="Z733" s="179"/>
      <c r="AA733" s="189"/>
      <c r="AB733" s="189"/>
      <c r="AD733" s="189"/>
      <c r="AE733" s="189"/>
      <c r="AH733" s="179"/>
      <c r="AJ733" s="191"/>
      <c r="AK733" s="191"/>
      <c r="AM733" s="191"/>
      <c r="AN733" s="191"/>
      <c r="AQ733" s="179"/>
      <c r="AR733" s="192"/>
      <c r="AS733" s="192"/>
      <c r="AU733" s="192"/>
      <c r="AV733" s="192"/>
      <c r="AY733" s="179"/>
      <c r="BA733" s="192"/>
      <c r="BB733" s="192"/>
      <c r="BD733" s="192"/>
      <c r="BE733" s="192"/>
      <c r="BH733" s="179"/>
      <c r="BI733" s="192"/>
      <c r="BJ733" s="192"/>
      <c r="BL733" s="192"/>
      <c r="BM733" s="192"/>
      <c r="BP733" s="179"/>
    </row>
    <row r="734">
      <c r="B734" s="189"/>
      <c r="C734" s="189"/>
      <c r="E734" s="189"/>
      <c r="F734" s="189"/>
      <c r="I734" s="179"/>
      <c r="J734" s="189"/>
      <c r="K734" s="189"/>
      <c r="M734" s="189"/>
      <c r="N734" s="189"/>
      <c r="Q734" s="179"/>
      <c r="S734" s="189"/>
      <c r="T734" s="189"/>
      <c r="V734" s="189"/>
      <c r="W734" s="189"/>
      <c r="Z734" s="179"/>
      <c r="AA734" s="189"/>
      <c r="AB734" s="189"/>
      <c r="AD734" s="189"/>
      <c r="AE734" s="189"/>
      <c r="AH734" s="179"/>
      <c r="AJ734" s="191"/>
      <c r="AK734" s="191"/>
      <c r="AM734" s="191"/>
      <c r="AN734" s="191"/>
      <c r="AQ734" s="179"/>
      <c r="AR734" s="192"/>
      <c r="AS734" s="192"/>
      <c r="AU734" s="192"/>
      <c r="AV734" s="192"/>
      <c r="AY734" s="179"/>
      <c r="BA734" s="192"/>
      <c r="BB734" s="192"/>
      <c r="BD734" s="192"/>
      <c r="BE734" s="192"/>
      <c r="BH734" s="179"/>
      <c r="BI734" s="192"/>
      <c r="BJ734" s="192"/>
      <c r="BL734" s="192"/>
      <c r="BM734" s="192"/>
      <c r="BP734" s="179"/>
    </row>
    <row r="735">
      <c r="B735" s="189"/>
      <c r="C735" s="189"/>
      <c r="E735" s="189"/>
      <c r="F735" s="189"/>
      <c r="I735" s="179"/>
      <c r="J735" s="189"/>
      <c r="K735" s="189"/>
      <c r="M735" s="189"/>
      <c r="N735" s="189"/>
      <c r="Q735" s="179"/>
      <c r="S735" s="189"/>
      <c r="T735" s="189"/>
      <c r="V735" s="189"/>
      <c r="W735" s="189"/>
      <c r="Z735" s="179"/>
      <c r="AA735" s="189"/>
      <c r="AB735" s="189"/>
      <c r="AD735" s="189"/>
      <c r="AE735" s="189"/>
      <c r="AH735" s="179"/>
      <c r="AJ735" s="191"/>
      <c r="AK735" s="191"/>
      <c r="AM735" s="191"/>
      <c r="AN735" s="191"/>
      <c r="AQ735" s="179"/>
      <c r="AR735" s="192"/>
      <c r="AS735" s="192"/>
      <c r="AU735" s="192"/>
      <c r="AV735" s="192"/>
      <c r="AY735" s="179"/>
      <c r="BA735" s="192"/>
      <c r="BB735" s="192"/>
      <c r="BD735" s="192"/>
      <c r="BE735" s="192"/>
      <c r="BH735" s="179"/>
      <c r="BI735" s="192"/>
      <c r="BJ735" s="192"/>
      <c r="BL735" s="192"/>
      <c r="BM735" s="192"/>
      <c r="BP735" s="179"/>
    </row>
    <row r="736">
      <c r="B736" s="189"/>
      <c r="C736" s="189"/>
      <c r="E736" s="189"/>
      <c r="F736" s="189"/>
      <c r="I736" s="179"/>
      <c r="J736" s="189"/>
      <c r="K736" s="189"/>
      <c r="M736" s="189"/>
      <c r="N736" s="189"/>
      <c r="Q736" s="179"/>
      <c r="S736" s="189"/>
      <c r="T736" s="189"/>
      <c r="V736" s="189"/>
      <c r="W736" s="189"/>
      <c r="Z736" s="179"/>
      <c r="AA736" s="189"/>
      <c r="AB736" s="189"/>
      <c r="AD736" s="189"/>
      <c r="AE736" s="189"/>
      <c r="AH736" s="179"/>
      <c r="AJ736" s="191"/>
      <c r="AK736" s="191"/>
      <c r="AM736" s="191"/>
      <c r="AN736" s="191"/>
      <c r="AQ736" s="179"/>
      <c r="AR736" s="192"/>
      <c r="AS736" s="192"/>
      <c r="AU736" s="192"/>
      <c r="AV736" s="192"/>
      <c r="AY736" s="179"/>
      <c r="BA736" s="192"/>
      <c r="BB736" s="192"/>
      <c r="BD736" s="192"/>
      <c r="BE736" s="192"/>
      <c r="BH736" s="179"/>
      <c r="BI736" s="192"/>
      <c r="BJ736" s="192"/>
      <c r="BL736" s="192"/>
      <c r="BM736" s="192"/>
      <c r="BP736" s="179"/>
    </row>
    <row r="737">
      <c r="B737" s="189"/>
      <c r="C737" s="189"/>
      <c r="E737" s="189"/>
      <c r="F737" s="189"/>
      <c r="I737" s="179"/>
      <c r="J737" s="189"/>
      <c r="K737" s="189"/>
      <c r="M737" s="189"/>
      <c r="N737" s="189"/>
      <c r="Q737" s="179"/>
      <c r="S737" s="189"/>
      <c r="T737" s="189"/>
      <c r="V737" s="189"/>
      <c r="W737" s="189"/>
      <c r="Z737" s="179"/>
      <c r="AA737" s="189"/>
      <c r="AB737" s="189"/>
      <c r="AD737" s="189"/>
      <c r="AE737" s="189"/>
      <c r="AH737" s="179"/>
      <c r="AJ737" s="191"/>
      <c r="AK737" s="191"/>
      <c r="AM737" s="191"/>
      <c r="AN737" s="191"/>
      <c r="AQ737" s="179"/>
      <c r="AR737" s="192"/>
      <c r="AS737" s="192"/>
      <c r="AU737" s="192"/>
      <c r="AV737" s="192"/>
      <c r="AY737" s="179"/>
      <c r="BA737" s="192"/>
      <c r="BB737" s="192"/>
      <c r="BD737" s="192"/>
      <c r="BE737" s="192"/>
      <c r="BH737" s="179"/>
      <c r="BI737" s="192"/>
      <c r="BJ737" s="192"/>
      <c r="BL737" s="192"/>
      <c r="BM737" s="192"/>
      <c r="BP737" s="179"/>
    </row>
    <row r="738">
      <c r="B738" s="189"/>
      <c r="C738" s="189"/>
      <c r="E738" s="189"/>
      <c r="F738" s="189"/>
      <c r="I738" s="179"/>
      <c r="J738" s="189"/>
      <c r="K738" s="189"/>
      <c r="M738" s="189"/>
      <c r="N738" s="189"/>
      <c r="Q738" s="179"/>
      <c r="S738" s="189"/>
      <c r="T738" s="189"/>
      <c r="V738" s="189"/>
      <c r="W738" s="189"/>
      <c r="Z738" s="179"/>
      <c r="AA738" s="189"/>
      <c r="AB738" s="189"/>
      <c r="AD738" s="189"/>
      <c r="AE738" s="189"/>
      <c r="AH738" s="179"/>
      <c r="AJ738" s="191"/>
      <c r="AK738" s="191"/>
      <c r="AM738" s="191"/>
      <c r="AN738" s="191"/>
      <c r="AQ738" s="179"/>
      <c r="AR738" s="192"/>
      <c r="AS738" s="192"/>
      <c r="AU738" s="192"/>
      <c r="AV738" s="192"/>
      <c r="AY738" s="179"/>
      <c r="BA738" s="192"/>
      <c r="BB738" s="192"/>
      <c r="BD738" s="192"/>
      <c r="BE738" s="192"/>
      <c r="BH738" s="179"/>
      <c r="BI738" s="192"/>
      <c r="BJ738" s="192"/>
      <c r="BL738" s="192"/>
      <c r="BM738" s="192"/>
      <c r="BP738" s="179"/>
    </row>
    <row r="739">
      <c r="B739" s="189"/>
      <c r="C739" s="189"/>
      <c r="E739" s="189"/>
      <c r="F739" s="189"/>
      <c r="I739" s="179"/>
      <c r="J739" s="189"/>
      <c r="K739" s="189"/>
      <c r="M739" s="189"/>
      <c r="N739" s="189"/>
      <c r="Q739" s="179"/>
      <c r="S739" s="189"/>
      <c r="T739" s="189"/>
      <c r="V739" s="189"/>
      <c r="W739" s="189"/>
      <c r="Z739" s="179"/>
      <c r="AA739" s="189"/>
      <c r="AB739" s="189"/>
      <c r="AD739" s="189"/>
      <c r="AE739" s="189"/>
      <c r="AH739" s="179"/>
      <c r="AJ739" s="191"/>
      <c r="AK739" s="191"/>
      <c r="AM739" s="191"/>
      <c r="AN739" s="191"/>
      <c r="AQ739" s="179"/>
      <c r="AR739" s="192"/>
      <c r="AS739" s="192"/>
      <c r="AU739" s="192"/>
      <c r="AV739" s="192"/>
      <c r="AY739" s="179"/>
      <c r="BA739" s="192"/>
      <c r="BB739" s="192"/>
      <c r="BD739" s="192"/>
      <c r="BE739" s="192"/>
      <c r="BH739" s="179"/>
      <c r="BI739" s="192"/>
      <c r="BJ739" s="192"/>
      <c r="BL739" s="192"/>
      <c r="BM739" s="192"/>
      <c r="BP739" s="179"/>
    </row>
    <row r="740">
      <c r="B740" s="189"/>
      <c r="C740" s="189"/>
      <c r="E740" s="189"/>
      <c r="F740" s="189"/>
      <c r="I740" s="179"/>
      <c r="J740" s="189"/>
      <c r="K740" s="189"/>
      <c r="M740" s="189"/>
      <c r="N740" s="189"/>
      <c r="Q740" s="179"/>
      <c r="S740" s="189"/>
      <c r="T740" s="189"/>
      <c r="V740" s="189"/>
      <c r="W740" s="189"/>
      <c r="Z740" s="179"/>
      <c r="AA740" s="189"/>
      <c r="AB740" s="189"/>
      <c r="AD740" s="189"/>
      <c r="AE740" s="189"/>
      <c r="AH740" s="179"/>
      <c r="AJ740" s="191"/>
      <c r="AK740" s="191"/>
      <c r="AM740" s="191"/>
      <c r="AN740" s="191"/>
      <c r="AQ740" s="179"/>
      <c r="AR740" s="192"/>
      <c r="AS740" s="192"/>
      <c r="AU740" s="192"/>
      <c r="AV740" s="192"/>
      <c r="AY740" s="179"/>
      <c r="BA740" s="192"/>
      <c r="BB740" s="192"/>
      <c r="BD740" s="192"/>
      <c r="BE740" s="192"/>
      <c r="BH740" s="179"/>
      <c r="BI740" s="192"/>
      <c r="BJ740" s="192"/>
      <c r="BL740" s="192"/>
      <c r="BM740" s="192"/>
      <c r="BP740" s="179"/>
    </row>
    <row r="741">
      <c r="B741" s="189"/>
      <c r="C741" s="189"/>
      <c r="E741" s="189"/>
      <c r="F741" s="189"/>
      <c r="I741" s="179"/>
      <c r="J741" s="189"/>
      <c r="K741" s="189"/>
      <c r="M741" s="189"/>
      <c r="N741" s="189"/>
      <c r="Q741" s="179"/>
      <c r="S741" s="189"/>
      <c r="T741" s="189"/>
      <c r="V741" s="189"/>
      <c r="W741" s="189"/>
      <c r="Z741" s="179"/>
      <c r="AA741" s="189"/>
      <c r="AB741" s="189"/>
      <c r="AD741" s="189"/>
      <c r="AE741" s="189"/>
      <c r="AH741" s="179"/>
      <c r="AJ741" s="191"/>
      <c r="AK741" s="191"/>
      <c r="AM741" s="191"/>
      <c r="AN741" s="191"/>
      <c r="AQ741" s="179"/>
      <c r="AR741" s="192"/>
      <c r="AS741" s="192"/>
      <c r="AU741" s="192"/>
      <c r="AV741" s="192"/>
      <c r="AY741" s="179"/>
      <c r="BA741" s="192"/>
      <c r="BB741" s="192"/>
      <c r="BD741" s="192"/>
      <c r="BE741" s="192"/>
      <c r="BH741" s="179"/>
      <c r="BI741" s="192"/>
      <c r="BJ741" s="192"/>
      <c r="BL741" s="192"/>
      <c r="BM741" s="192"/>
      <c r="BP741" s="179"/>
    </row>
    <row r="742">
      <c r="B742" s="189"/>
      <c r="C742" s="189"/>
      <c r="E742" s="189"/>
      <c r="F742" s="189"/>
      <c r="I742" s="179"/>
      <c r="J742" s="189"/>
      <c r="K742" s="189"/>
      <c r="M742" s="189"/>
      <c r="N742" s="189"/>
      <c r="Q742" s="179"/>
      <c r="S742" s="189"/>
      <c r="T742" s="189"/>
      <c r="V742" s="189"/>
      <c r="W742" s="189"/>
      <c r="Z742" s="179"/>
      <c r="AA742" s="189"/>
      <c r="AB742" s="189"/>
      <c r="AD742" s="189"/>
      <c r="AE742" s="189"/>
      <c r="AH742" s="179"/>
      <c r="AJ742" s="191"/>
      <c r="AK742" s="191"/>
      <c r="AM742" s="191"/>
      <c r="AN742" s="191"/>
      <c r="AQ742" s="179"/>
      <c r="AR742" s="192"/>
      <c r="AS742" s="192"/>
      <c r="AU742" s="192"/>
      <c r="AV742" s="192"/>
      <c r="AY742" s="179"/>
      <c r="BA742" s="192"/>
      <c r="BB742" s="192"/>
      <c r="BD742" s="192"/>
      <c r="BE742" s="192"/>
      <c r="BH742" s="179"/>
      <c r="BI742" s="192"/>
      <c r="BJ742" s="192"/>
      <c r="BL742" s="192"/>
      <c r="BM742" s="192"/>
      <c r="BP742" s="179"/>
    </row>
    <row r="743">
      <c r="B743" s="189"/>
      <c r="C743" s="189"/>
      <c r="E743" s="189"/>
      <c r="F743" s="189"/>
      <c r="I743" s="179"/>
      <c r="J743" s="189"/>
      <c r="K743" s="189"/>
      <c r="M743" s="189"/>
      <c r="N743" s="189"/>
      <c r="Q743" s="179"/>
      <c r="S743" s="189"/>
      <c r="T743" s="189"/>
      <c r="V743" s="189"/>
      <c r="W743" s="189"/>
      <c r="Z743" s="179"/>
      <c r="AA743" s="189"/>
      <c r="AB743" s="189"/>
      <c r="AD743" s="189"/>
      <c r="AE743" s="189"/>
      <c r="AH743" s="179"/>
      <c r="AJ743" s="191"/>
      <c r="AK743" s="191"/>
      <c r="AM743" s="191"/>
      <c r="AN743" s="191"/>
      <c r="AQ743" s="179"/>
      <c r="AR743" s="192"/>
      <c r="AS743" s="192"/>
      <c r="AU743" s="192"/>
      <c r="AV743" s="192"/>
      <c r="AY743" s="179"/>
      <c r="BA743" s="192"/>
      <c r="BB743" s="192"/>
      <c r="BD743" s="192"/>
      <c r="BE743" s="192"/>
      <c r="BH743" s="179"/>
      <c r="BI743" s="192"/>
      <c r="BJ743" s="192"/>
      <c r="BL743" s="192"/>
      <c r="BM743" s="192"/>
      <c r="BP743" s="179"/>
    </row>
    <row r="744">
      <c r="B744" s="189"/>
      <c r="C744" s="189"/>
      <c r="E744" s="189"/>
      <c r="F744" s="189"/>
      <c r="I744" s="179"/>
      <c r="J744" s="189"/>
      <c r="K744" s="189"/>
      <c r="M744" s="189"/>
      <c r="N744" s="189"/>
      <c r="Q744" s="179"/>
      <c r="S744" s="189"/>
      <c r="T744" s="189"/>
      <c r="V744" s="189"/>
      <c r="W744" s="189"/>
      <c r="Z744" s="179"/>
      <c r="AA744" s="189"/>
      <c r="AB744" s="189"/>
      <c r="AD744" s="189"/>
      <c r="AE744" s="189"/>
      <c r="AH744" s="179"/>
      <c r="AJ744" s="191"/>
      <c r="AK744" s="191"/>
      <c r="AM744" s="191"/>
      <c r="AN744" s="191"/>
      <c r="AQ744" s="179"/>
      <c r="AR744" s="192"/>
      <c r="AS744" s="192"/>
      <c r="AU744" s="192"/>
      <c r="AV744" s="192"/>
      <c r="AY744" s="179"/>
      <c r="BA744" s="192"/>
      <c r="BB744" s="192"/>
      <c r="BD744" s="192"/>
      <c r="BE744" s="192"/>
      <c r="BH744" s="179"/>
      <c r="BI744" s="192"/>
      <c r="BJ744" s="192"/>
      <c r="BL744" s="192"/>
      <c r="BM744" s="192"/>
      <c r="BP744" s="179"/>
    </row>
    <row r="745">
      <c r="B745" s="189"/>
      <c r="C745" s="189"/>
      <c r="E745" s="189"/>
      <c r="F745" s="189"/>
      <c r="I745" s="179"/>
      <c r="J745" s="189"/>
      <c r="K745" s="189"/>
      <c r="M745" s="189"/>
      <c r="N745" s="189"/>
      <c r="Q745" s="179"/>
      <c r="S745" s="189"/>
      <c r="T745" s="189"/>
      <c r="V745" s="189"/>
      <c r="W745" s="189"/>
      <c r="Z745" s="179"/>
      <c r="AA745" s="189"/>
      <c r="AB745" s="189"/>
      <c r="AD745" s="189"/>
      <c r="AE745" s="189"/>
      <c r="AH745" s="179"/>
      <c r="AJ745" s="191"/>
      <c r="AK745" s="191"/>
      <c r="AM745" s="191"/>
      <c r="AN745" s="191"/>
      <c r="AQ745" s="179"/>
      <c r="AR745" s="192"/>
      <c r="AS745" s="192"/>
      <c r="AU745" s="192"/>
      <c r="AV745" s="192"/>
      <c r="AY745" s="179"/>
      <c r="BA745" s="192"/>
      <c r="BB745" s="192"/>
      <c r="BD745" s="192"/>
      <c r="BE745" s="192"/>
      <c r="BH745" s="179"/>
      <c r="BI745" s="192"/>
      <c r="BJ745" s="192"/>
      <c r="BL745" s="192"/>
      <c r="BM745" s="192"/>
      <c r="BP745" s="179"/>
    </row>
    <row r="746">
      <c r="B746" s="189"/>
      <c r="C746" s="189"/>
      <c r="E746" s="189"/>
      <c r="F746" s="189"/>
      <c r="I746" s="179"/>
      <c r="J746" s="189"/>
      <c r="K746" s="189"/>
      <c r="M746" s="189"/>
      <c r="N746" s="189"/>
      <c r="Q746" s="179"/>
      <c r="S746" s="189"/>
      <c r="T746" s="189"/>
      <c r="V746" s="189"/>
      <c r="W746" s="189"/>
      <c r="Z746" s="179"/>
      <c r="AA746" s="189"/>
      <c r="AB746" s="189"/>
      <c r="AD746" s="189"/>
      <c r="AE746" s="189"/>
      <c r="AH746" s="179"/>
      <c r="AJ746" s="191"/>
      <c r="AK746" s="191"/>
      <c r="AM746" s="191"/>
      <c r="AN746" s="191"/>
      <c r="AQ746" s="179"/>
      <c r="AR746" s="192"/>
      <c r="AS746" s="192"/>
      <c r="AU746" s="192"/>
      <c r="AV746" s="192"/>
      <c r="AY746" s="179"/>
      <c r="BA746" s="192"/>
      <c r="BB746" s="192"/>
      <c r="BD746" s="192"/>
      <c r="BE746" s="192"/>
      <c r="BH746" s="179"/>
      <c r="BI746" s="192"/>
      <c r="BJ746" s="192"/>
      <c r="BL746" s="192"/>
      <c r="BM746" s="192"/>
      <c r="BP746" s="179"/>
    </row>
    <row r="747">
      <c r="B747" s="189"/>
      <c r="C747" s="189"/>
      <c r="E747" s="189"/>
      <c r="F747" s="189"/>
      <c r="I747" s="179"/>
      <c r="J747" s="189"/>
      <c r="K747" s="189"/>
      <c r="M747" s="189"/>
      <c r="N747" s="189"/>
      <c r="Q747" s="179"/>
      <c r="S747" s="189"/>
      <c r="T747" s="189"/>
      <c r="V747" s="189"/>
      <c r="W747" s="189"/>
      <c r="Z747" s="179"/>
      <c r="AA747" s="189"/>
      <c r="AB747" s="189"/>
      <c r="AD747" s="189"/>
      <c r="AE747" s="189"/>
      <c r="AH747" s="179"/>
      <c r="AJ747" s="191"/>
      <c r="AK747" s="191"/>
      <c r="AM747" s="191"/>
      <c r="AN747" s="191"/>
      <c r="AQ747" s="179"/>
      <c r="AR747" s="192"/>
      <c r="AS747" s="192"/>
      <c r="AU747" s="192"/>
      <c r="AV747" s="192"/>
      <c r="AY747" s="179"/>
      <c r="BA747" s="192"/>
      <c r="BB747" s="192"/>
      <c r="BD747" s="192"/>
      <c r="BE747" s="192"/>
      <c r="BH747" s="179"/>
      <c r="BI747" s="192"/>
      <c r="BJ747" s="192"/>
      <c r="BL747" s="192"/>
      <c r="BM747" s="192"/>
      <c r="BP747" s="179"/>
    </row>
    <row r="748">
      <c r="B748" s="189"/>
      <c r="C748" s="189"/>
      <c r="E748" s="189"/>
      <c r="F748" s="189"/>
      <c r="I748" s="179"/>
      <c r="J748" s="189"/>
      <c r="K748" s="189"/>
      <c r="M748" s="189"/>
      <c r="N748" s="189"/>
      <c r="Q748" s="179"/>
      <c r="S748" s="189"/>
      <c r="T748" s="189"/>
      <c r="V748" s="189"/>
      <c r="W748" s="189"/>
      <c r="Z748" s="179"/>
      <c r="AA748" s="189"/>
      <c r="AB748" s="189"/>
      <c r="AD748" s="189"/>
      <c r="AE748" s="189"/>
      <c r="AH748" s="179"/>
      <c r="AJ748" s="191"/>
      <c r="AK748" s="191"/>
      <c r="AM748" s="191"/>
      <c r="AN748" s="191"/>
      <c r="AQ748" s="179"/>
      <c r="AR748" s="192"/>
      <c r="AS748" s="192"/>
      <c r="AU748" s="192"/>
      <c r="AV748" s="192"/>
      <c r="AY748" s="179"/>
      <c r="BA748" s="192"/>
      <c r="BB748" s="192"/>
      <c r="BD748" s="192"/>
      <c r="BE748" s="192"/>
      <c r="BH748" s="179"/>
      <c r="BI748" s="192"/>
      <c r="BJ748" s="192"/>
      <c r="BL748" s="192"/>
      <c r="BM748" s="192"/>
      <c r="BP748" s="179"/>
    </row>
    <row r="749">
      <c r="B749" s="189"/>
      <c r="C749" s="189"/>
      <c r="E749" s="189"/>
      <c r="F749" s="189"/>
      <c r="I749" s="179"/>
      <c r="J749" s="189"/>
      <c r="K749" s="189"/>
      <c r="M749" s="189"/>
      <c r="N749" s="189"/>
      <c r="Q749" s="179"/>
      <c r="S749" s="189"/>
      <c r="T749" s="189"/>
      <c r="V749" s="189"/>
      <c r="W749" s="189"/>
      <c r="Z749" s="179"/>
      <c r="AA749" s="189"/>
      <c r="AB749" s="189"/>
      <c r="AD749" s="189"/>
      <c r="AE749" s="189"/>
      <c r="AH749" s="179"/>
      <c r="AJ749" s="191"/>
      <c r="AK749" s="191"/>
      <c r="AM749" s="191"/>
      <c r="AN749" s="191"/>
      <c r="AQ749" s="179"/>
      <c r="AR749" s="192"/>
      <c r="AS749" s="192"/>
      <c r="AU749" s="192"/>
      <c r="AV749" s="192"/>
      <c r="AY749" s="179"/>
      <c r="BA749" s="192"/>
      <c r="BB749" s="192"/>
      <c r="BD749" s="192"/>
      <c r="BE749" s="192"/>
      <c r="BH749" s="179"/>
      <c r="BI749" s="192"/>
      <c r="BJ749" s="192"/>
      <c r="BL749" s="192"/>
      <c r="BM749" s="192"/>
      <c r="BP749" s="179"/>
    </row>
    <row r="750">
      <c r="B750" s="189"/>
      <c r="C750" s="189"/>
      <c r="E750" s="189"/>
      <c r="F750" s="189"/>
      <c r="I750" s="179"/>
      <c r="J750" s="189"/>
      <c r="K750" s="189"/>
      <c r="M750" s="189"/>
      <c r="N750" s="189"/>
      <c r="Q750" s="179"/>
      <c r="S750" s="189"/>
      <c r="T750" s="189"/>
      <c r="V750" s="189"/>
      <c r="W750" s="189"/>
      <c r="Z750" s="179"/>
      <c r="AA750" s="189"/>
      <c r="AB750" s="189"/>
      <c r="AD750" s="189"/>
      <c r="AE750" s="189"/>
      <c r="AH750" s="179"/>
      <c r="AJ750" s="191"/>
      <c r="AK750" s="191"/>
      <c r="AM750" s="191"/>
      <c r="AN750" s="191"/>
      <c r="AQ750" s="179"/>
      <c r="AR750" s="192"/>
      <c r="AS750" s="192"/>
      <c r="AU750" s="192"/>
      <c r="AV750" s="192"/>
      <c r="AY750" s="179"/>
      <c r="BA750" s="192"/>
      <c r="BB750" s="192"/>
      <c r="BD750" s="192"/>
      <c r="BE750" s="192"/>
      <c r="BH750" s="179"/>
      <c r="BI750" s="192"/>
      <c r="BJ750" s="192"/>
      <c r="BL750" s="192"/>
      <c r="BM750" s="192"/>
      <c r="BP750" s="179"/>
    </row>
    <row r="751">
      <c r="B751" s="189"/>
      <c r="C751" s="189"/>
      <c r="E751" s="189"/>
      <c r="F751" s="189"/>
      <c r="I751" s="179"/>
      <c r="J751" s="189"/>
      <c r="K751" s="189"/>
      <c r="M751" s="189"/>
      <c r="N751" s="189"/>
      <c r="Q751" s="179"/>
      <c r="S751" s="189"/>
      <c r="T751" s="189"/>
      <c r="V751" s="189"/>
      <c r="W751" s="189"/>
      <c r="Z751" s="179"/>
      <c r="AA751" s="189"/>
      <c r="AB751" s="189"/>
      <c r="AD751" s="189"/>
      <c r="AE751" s="189"/>
      <c r="AH751" s="179"/>
      <c r="AJ751" s="191"/>
      <c r="AK751" s="191"/>
      <c r="AM751" s="191"/>
      <c r="AN751" s="191"/>
      <c r="AQ751" s="179"/>
      <c r="AR751" s="192"/>
      <c r="AS751" s="192"/>
      <c r="AU751" s="192"/>
      <c r="AV751" s="192"/>
      <c r="AY751" s="179"/>
      <c r="BA751" s="192"/>
      <c r="BB751" s="192"/>
      <c r="BD751" s="192"/>
      <c r="BE751" s="192"/>
      <c r="BH751" s="179"/>
      <c r="BI751" s="192"/>
      <c r="BJ751" s="192"/>
      <c r="BL751" s="192"/>
      <c r="BM751" s="192"/>
      <c r="BP751" s="179"/>
    </row>
    <row r="752">
      <c r="B752" s="189"/>
      <c r="C752" s="189"/>
      <c r="E752" s="189"/>
      <c r="F752" s="189"/>
      <c r="I752" s="179"/>
      <c r="J752" s="189"/>
      <c r="K752" s="189"/>
      <c r="M752" s="189"/>
      <c r="N752" s="189"/>
      <c r="Q752" s="179"/>
      <c r="S752" s="189"/>
      <c r="T752" s="189"/>
      <c r="V752" s="189"/>
      <c r="W752" s="189"/>
      <c r="Z752" s="179"/>
      <c r="AA752" s="189"/>
      <c r="AB752" s="189"/>
      <c r="AD752" s="189"/>
      <c r="AE752" s="189"/>
      <c r="AH752" s="179"/>
      <c r="AJ752" s="191"/>
      <c r="AK752" s="191"/>
      <c r="AM752" s="191"/>
      <c r="AN752" s="191"/>
      <c r="AQ752" s="179"/>
      <c r="AR752" s="192"/>
      <c r="AS752" s="192"/>
      <c r="AU752" s="192"/>
      <c r="AV752" s="192"/>
      <c r="AY752" s="179"/>
      <c r="BA752" s="192"/>
      <c r="BB752" s="192"/>
      <c r="BD752" s="192"/>
      <c r="BE752" s="192"/>
      <c r="BH752" s="179"/>
      <c r="BI752" s="192"/>
      <c r="BJ752" s="192"/>
      <c r="BL752" s="192"/>
      <c r="BM752" s="192"/>
      <c r="BP752" s="179"/>
    </row>
    <row r="753">
      <c r="B753" s="189"/>
      <c r="C753" s="189"/>
      <c r="E753" s="189"/>
      <c r="F753" s="189"/>
      <c r="I753" s="179"/>
      <c r="J753" s="189"/>
      <c r="K753" s="189"/>
      <c r="M753" s="189"/>
      <c r="N753" s="189"/>
      <c r="Q753" s="179"/>
      <c r="S753" s="189"/>
      <c r="T753" s="189"/>
      <c r="V753" s="189"/>
      <c r="W753" s="189"/>
      <c r="Z753" s="179"/>
      <c r="AA753" s="189"/>
      <c r="AB753" s="189"/>
      <c r="AD753" s="189"/>
      <c r="AE753" s="189"/>
      <c r="AH753" s="179"/>
      <c r="AJ753" s="191"/>
      <c r="AK753" s="191"/>
      <c r="AM753" s="191"/>
      <c r="AN753" s="191"/>
      <c r="AQ753" s="179"/>
      <c r="AR753" s="192"/>
      <c r="AS753" s="192"/>
      <c r="AU753" s="192"/>
      <c r="AV753" s="192"/>
      <c r="AY753" s="179"/>
      <c r="BA753" s="192"/>
      <c r="BB753" s="192"/>
      <c r="BD753" s="192"/>
      <c r="BE753" s="192"/>
      <c r="BH753" s="179"/>
      <c r="BI753" s="192"/>
      <c r="BJ753" s="192"/>
      <c r="BL753" s="192"/>
      <c r="BM753" s="192"/>
      <c r="BP753" s="179"/>
    </row>
    <row r="754">
      <c r="B754" s="189"/>
      <c r="C754" s="189"/>
      <c r="E754" s="189"/>
      <c r="F754" s="189"/>
      <c r="I754" s="179"/>
      <c r="J754" s="189"/>
      <c r="K754" s="189"/>
      <c r="M754" s="189"/>
      <c r="N754" s="189"/>
      <c r="Q754" s="179"/>
      <c r="S754" s="189"/>
      <c r="T754" s="189"/>
      <c r="V754" s="189"/>
      <c r="W754" s="189"/>
      <c r="Z754" s="179"/>
      <c r="AA754" s="189"/>
      <c r="AB754" s="189"/>
      <c r="AD754" s="189"/>
      <c r="AE754" s="189"/>
      <c r="AH754" s="179"/>
      <c r="AJ754" s="191"/>
      <c r="AK754" s="191"/>
      <c r="AM754" s="191"/>
      <c r="AN754" s="191"/>
      <c r="AQ754" s="179"/>
      <c r="AR754" s="192"/>
      <c r="AS754" s="192"/>
      <c r="AU754" s="192"/>
      <c r="AV754" s="192"/>
      <c r="AY754" s="179"/>
      <c r="BA754" s="192"/>
      <c r="BB754" s="192"/>
      <c r="BD754" s="192"/>
      <c r="BE754" s="192"/>
      <c r="BH754" s="179"/>
      <c r="BI754" s="192"/>
      <c r="BJ754" s="192"/>
      <c r="BL754" s="192"/>
      <c r="BM754" s="192"/>
      <c r="BP754" s="179"/>
    </row>
    <row r="755">
      <c r="B755" s="189"/>
      <c r="C755" s="189"/>
      <c r="E755" s="189"/>
      <c r="F755" s="189"/>
      <c r="I755" s="179"/>
      <c r="J755" s="189"/>
      <c r="K755" s="189"/>
      <c r="M755" s="189"/>
      <c r="N755" s="189"/>
      <c r="Q755" s="179"/>
      <c r="S755" s="189"/>
      <c r="T755" s="189"/>
      <c r="V755" s="189"/>
      <c r="W755" s="189"/>
      <c r="Z755" s="179"/>
      <c r="AA755" s="189"/>
      <c r="AB755" s="189"/>
      <c r="AD755" s="189"/>
      <c r="AE755" s="189"/>
      <c r="AH755" s="179"/>
      <c r="AJ755" s="191"/>
      <c r="AK755" s="191"/>
      <c r="AM755" s="191"/>
      <c r="AN755" s="191"/>
      <c r="AQ755" s="179"/>
      <c r="AR755" s="192"/>
      <c r="AS755" s="192"/>
      <c r="AU755" s="192"/>
      <c r="AV755" s="192"/>
      <c r="AY755" s="179"/>
      <c r="BA755" s="192"/>
      <c r="BB755" s="192"/>
      <c r="BD755" s="192"/>
      <c r="BE755" s="192"/>
      <c r="BH755" s="179"/>
      <c r="BI755" s="192"/>
      <c r="BJ755" s="192"/>
      <c r="BL755" s="192"/>
      <c r="BM755" s="192"/>
      <c r="BP755" s="179"/>
    </row>
    <row r="756">
      <c r="B756" s="189"/>
      <c r="C756" s="189"/>
      <c r="E756" s="189"/>
      <c r="F756" s="189"/>
      <c r="I756" s="179"/>
      <c r="J756" s="189"/>
      <c r="K756" s="189"/>
      <c r="M756" s="189"/>
      <c r="N756" s="189"/>
      <c r="Q756" s="179"/>
      <c r="S756" s="189"/>
      <c r="T756" s="189"/>
      <c r="V756" s="189"/>
      <c r="W756" s="189"/>
      <c r="Z756" s="179"/>
      <c r="AA756" s="189"/>
      <c r="AB756" s="189"/>
      <c r="AD756" s="189"/>
      <c r="AE756" s="189"/>
      <c r="AH756" s="179"/>
      <c r="AJ756" s="191"/>
      <c r="AK756" s="191"/>
      <c r="AM756" s="191"/>
      <c r="AN756" s="191"/>
      <c r="AQ756" s="179"/>
      <c r="AR756" s="192"/>
      <c r="AS756" s="192"/>
      <c r="AU756" s="192"/>
      <c r="AV756" s="192"/>
      <c r="AY756" s="179"/>
      <c r="BA756" s="192"/>
      <c r="BB756" s="192"/>
      <c r="BD756" s="192"/>
      <c r="BE756" s="192"/>
      <c r="BH756" s="179"/>
      <c r="BI756" s="192"/>
      <c r="BJ756" s="192"/>
      <c r="BL756" s="192"/>
      <c r="BM756" s="192"/>
      <c r="BP756" s="179"/>
    </row>
    <row r="757">
      <c r="B757" s="189"/>
      <c r="C757" s="189"/>
      <c r="E757" s="189"/>
      <c r="F757" s="189"/>
      <c r="I757" s="179"/>
      <c r="J757" s="189"/>
      <c r="K757" s="189"/>
      <c r="M757" s="189"/>
      <c r="N757" s="189"/>
      <c r="Q757" s="179"/>
      <c r="S757" s="189"/>
      <c r="T757" s="189"/>
      <c r="V757" s="189"/>
      <c r="W757" s="189"/>
      <c r="Z757" s="179"/>
      <c r="AA757" s="189"/>
      <c r="AB757" s="189"/>
      <c r="AD757" s="189"/>
      <c r="AE757" s="189"/>
      <c r="AH757" s="179"/>
      <c r="AJ757" s="191"/>
      <c r="AK757" s="191"/>
      <c r="AM757" s="191"/>
      <c r="AN757" s="191"/>
      <c r="AQ757" s="179"/>
      <c r="AR757" s="192"/>
      <c r="AS757" s="192"/>
      <c r="AU757" s="192"/>
      <c r="AV757" s="192"/>
      <c r="AY757" s="179"/>
      <c r="BA757" s="192"/>
      <c r="BB757" s="192"/>
      <c r="BD757" s="192"/>
      <c r="BE757" s="192"/>
      <c r="BH757" s="179"/>
      <c r="BI757" s="192"/>
      <c r="BJ757" s="192"/>
      <c r="BL757" s="192"/>
      <c r="BM757" s="192"/>
      <c r="BP757" s="179"/>
    </row>
    <row r="758">
      <c r="B758" s="189"/>
      <c r="C758" s="189"/>
      <c r="E758" s="189"/>
      <c r="F758" s="189"/>
      <c r="I758" s="179"/>
      <c r="J758" s="189"/>
      <c r="K758" s="189"/>
      <c r="M758" s="189"/>
      <c r="N758" s="189"/>
      <c r="Q758" s="179"/>
      <c r="S758" s="189"/>
      <c r="T758" s="189"/>
      <c r="V758" s="189"/>
      <c r="W758" s="189"/>
      <c r="Z758" s="179"/>
      <c r="AA758" s="189"/>
      <c r="AB758" s="189"/>
      <c r="AD758" s="189"/>
      <c r="AE758" s="189"/>
      <c r="AH758" s="179"/>
      <c r="AJ758" s="191"/>
      <c r="AK758" s="191"/>
      <c r="AM758" s="191"/>
      <c r="AN758" s="191"/>
      <c r="AQ758" s="179"/>
      <c r="AR758" s="192"/>
      <c r="AS758" s="192"/>
      <c r="AU758" s="192"/>
      <c r="AV758" s="192"/>
      <c r="AY758" s="179"/>
      <c r="BA758" s="192"/>
      <c r="BB758" s="192"/>
      <c r="BD758" s="192"/>
      <c r="BE758" s="192"/>
      <c r="BH758" s="179"/>
      <c r="BI758" s="192"/>
      <c r="BJ758" s="192"/>
      <c r="BL758" s="192"/>
      <c r="BM758" s="192"/>
      <c r="BP758" s="179"/>
    </row>
    <row r="759">
      <c r="B759" s="189"/>
      <c r="C759" s="189"/>
      <c r="E759" s="189"/>
      <c r="F759" s="189"/>
      <c r="I759" s="179"/>
      <c r="J759" s="189"/>
      <c r="K759" s="189"/>
      <c r="M759" s="189"/>
      <c r="N759" s="189"/>
      <c r="Q759" s="179"/>
      <c r="S759" s="189"/>
      <c r="T759" s="189"/>
      <c r="V759" s="189"/>
      <c r="W759" s="189"/>
      <c r="Z759" s="179"/>
      <c r="AA759" s="189"/>
      <c r="AB759" s="189"/>
      <c r="AD759" s="189"/>
      <c r="AE759" s="189"/>
      <c r="AH759" s="179"/>
      <c r="AJ759" s="191"/>
      <c r="AK759" s="191"/>
      <c r="AM759" s="191"/>
      <c r="AN759" s="191"/>
      <c r="AQ759" s="179"/>
      <c r="AR759" s="192"/>
      <c r="AS759" s="192"/>
      <c r="AU759" s="192"/>
      <c r="AV759" s="192"/>
      <c r="AY759" s="179"/>
      <c r="BA759" s="192"/>
      <c r="BB759" s="192"/>
      <c r="BD759" s="192"/>
      <c r="BE759" s="192"/>
      <c r="BH759" s="179"/>
      <c r="BI759" s="192"/>
      <c r="BJ759" s="192"/>
      <c r="BL759" s="192"/>
      <c r="BM759" s="192"/>
      <c r="BP759" s="179"/>
    </row>
    <row r="760">
      <c r="B760" s="189"/>
      <c r="C760" s="189"/>
      <c r="E760" s="189"/>
      <c r="F760" s="189"/>
      <c r="I760" s="179"/>
      <c r="J760" s="189"/>
      <c r="K760" s="189"/>
      <c r="M760" s="189"/>
      <c r="N760" s="189"/>
      <c r="Q760" s="179"/>
      <c r="S760" s="189"/>
      <c r="T760" s="189"/>
      <c r="V760" s="189"/>
      <c r="W760" s="189"/>
      <c r="Z760" s="179"/>
      <c r="AA760" s="189"/>
      <c r="AB760" s="189"/>
      <c r="AD760" s="189"/>
      <c r="AE760" s="189"/>
      <c r="AH760" s="179"/>
      <c r="AJ760" s="191"/>
      <c r="AK760" s="191"/>
      <c r="AM760" s="191"/>
      <c r="AN760" s="191"/>
      <c r="AQ760" s="179"/>
      <c r="AR760" s="192"/>
      <c r="AS760" s="192"/>
      <c r="AU760" s="192"/>
      <c r="AV760" s="192"/>
      <c r="AY760" s="179"/>
      <c r="BA760" s="192"/>
      <c r="BB760" s="192"/>
      <c r="BD760" s="192"/>
      <c r="BE760" s="192"/>
      <c r="BH760" s="179"/>
      <c r="BI760" s="192"/>
      <c r="BJ760" s="192"/>
      <c r="BL760" s="192"/>
      <c r="BM760" s="192"/>
      <c r="BP760" s="179"/>
    </row>
    <row r="761">
      <c r="B761" s="189"/>
      <c r="C761" s="189"/>
      <c r="E761" s="189"/>
      <c r="F761" s="189"/>
      <c r="I761" s="179"/>
      <c r="J761" s="189"/>
      <c r="K761" s="189"/>
      <c r="M761" s="189"/>
      <c r="N761" s="189"/>
      <c r="Q761" s="179"/>
      <c r="S761" s="189"/>
      <c r="T761" s="189"/>
      <c r="V761" s="189"/>
      <c r="W761" s="189"/>
      <c r="Z761" s="179"/>
      <c r="AA761" s="189"/>
      <c r="AB761" s="189"/>
      <c r="AD761" s="189"/>
      <c r="AE761" s="189"/>
      <c r="AH761" s="179"/>
      <c r="AJ761" s="191"/>
      <c r="AK761" s="191"/>
      <c r="AM761" s="191"/>
      <c r="AN761" s="191"/>
      <c r="AQ761" s="179"/>
      <c r="AR761" s="192"/>
      <c r="AS761" s="192"/>
      <c r="AU761" s="192"/>
      <c r="AV761" s="192"/>
      <c r="AY761" s="179"/>
      <c r="BA761" s="192"/>
      <c r="BB761" s="192"/>
      <c r="BD761" s="192"/>
      <c r="BE761" s="192"/>
      <c r="BH761" s="179"/>
      <c r="BI761" s="192"/>
      <c r="BJ761" s="192"/>
      <c r="BL761" s="192"/>
      <c r="BM761" s="192"/>
      <c r="BP761" s="179"/>
    </row>
    <row r="762">
      <c r="B762" s="189"/>
      <c r="C762" s="189"/>
      <c r="E762" s="189"/>
      <c r="F762" s="189"/>
      <c r="I762" s="179"/>
      <c r="J762" s="189"/>
      <c r="K762" s="189"/>
      <c r="M762" s="189"/>
      <c r="N762" s="189"/>
      <c r="Q762" s="179"/>
      <c r="S762" s="189"/>
      <c r="T762" s="189"/>
      <c r="V762" s="189"/>
      <c r="W762" s="189"/>
      <c r="Z762" s="179"/>
      <c r="AA762" s="189"/>
      <c r="AB762" s="189"/>
      <c r="AD762" s="189"/>
      <c r="AE762" s="189"/>
      <c r="AH762" s="179"/>
      <c r="AJ762" s="191"/>
      <c r="AK762" s="191"/>
      <c r="AM762" s="191"/>
      <c r="AN762" s="191"/>
      <c r="AQ762" s="179"/>
      <c r="AR762" s="192"/>
      <c r="AS762" s="192"/>
      <c r="AU762" s="192"/>
      <c r="AV762" s="192"/>
      <c r="AY762" s="179"/>
      <c r="BA762" s="192"/>
      <c r="BB762" s="192"/>
      <c r="BD762" s="192"/>
      <c r="BE762" s="192"/>
      <c r="BH762" s="179"/>
      <c r="BI762" s="192"/>
      <c r="BJ762" s="192"/>
      <c r="BL762" s="192"/>
      <c r="BM762" s="192"/>
      <c r="BP762" s="179"/>
    </row>
    <row r="763">
      <c r="B763" s="189"/>
      <c r="C763" s="189"/>
      <c r="E763" s="189"/>
      <c r="F763" s="189"/>
      <c r="I763" s="179"/>
      <c r="J763" s="189"/>
      <c r="K763" s="189"/>
      <c r="M763" s="189"/>
      <c r="N763" s="189"/>
      <c r="Q763" s="179"/>
      <c r="S763" s="189"/>
      <c r="T763" s="189"/>
      <c r="V763" s="189"/>
      <c r="W763" s="189"/>
      <c r="Z763" s="179"/>
      <c r="AA763" s="189"/>
      <c r="AB763" s="189"/>
      <c r="AD763" s="189"/>
      <c r="AE763" s="189"/>
      <c r="AH763" s="179"/>
      <c r="AJ763" s="191"/>
      <c r="AK763" s="191"/>
      <c r="AM763" s="191"/>
      <c r="AN763" s="191"/>
      <c r="AQ763" s="179"/>
      <c r="AR763" s="192"/>
      <c r="AS763" s="192"/>
      <c r="AU763" s="192"/>
      <c r="AV763" s="192"/>
      <c r="AY763" s="179"/>
      <c r="BA763" s="192"/>
      <c r="BB763" s="192"/>
      <c r="BD763" s="192"/>
      <c r="BE763" s="192"/>
      <c r="BH763" s="179"/>
      <c r="BI763" s="192"/>
      <c r="BJ763" s="192"/>
      <c r="BL763" s="192"/>
      <c r="BM763" s="192"/>
      <c r="BP763" s="179"/>
    </row>
    <row r="764">
      <c r="B764" s="189"/>
      <c r="C764" s="189"/>
      <c r="E764" s="189"/>
      <c r="F764" s="189"/>
      <c r="I764" s="179"/>
      <c r="J764" s="189"/>
      <c r="K764" s="189"/>
      <c r="M764" s="189"/>
      <c r="N764" s="189"/>
      <c r="Q764" s="179"/>
      <c r="S764" s="189"/>
      <c r="T764" s="189"/>
      <c r="V764" s="189"/>
      <c r="W764" s="189"/>
      <c r="Z764" s="179"/>
      <c r="AA764" s="189"/>
      <c r="AB764" s="189"/>
      <c r="AD764" s="189"/>
      <c r="AE764" s="189"/>
      <c r="AH764" s="179"/>
      <c r="AJ764" s="191"/>
      <c r="AK764" s="191"/>
      <c r="AM764" s="191"/>
      <c r="AN764" s="191"/>
      <c r="AQ764" s="179"/>
      <c r="AR764" s="192"/>
      <c r="AS764" s="192"/>
      <c r="AU764" s="192"/>
      <c r="AV764" s="192"/>
      <c r="AY764" s="179"/>
      <c r="BA764" s="192"/>
      <c r="BB764" s="192"/>
      <c r="BD764" s="192"/>
      <c r="BE764" s="192"/>
      <c r="BH764" s="179"/>
      <c r="BI764" s="192"/>
      <c r="BJ764" s="192"/>
      <c r="BL764" s="192"/>
      <c r="BM764" s="192"/>
      <c r="BP764" s="179"/>
    </row>
    <row r="765">
      <c r="B765" s="189"/>
      <c r="C765" s="189"/>
      <c r="E765" s="189"/>
      <c r="F765" s="189"/>
      <c r="I765" s="179"/>
      <c r="J765" s="189"/>
      <c r="K765" s="189"/>
      <c r="M765" s="189"/>
      <c r="N765" s="189"/>
      <c r="Q765" s="179"/>
      <c r="S765" s="189"/>
      <c r="T765" s="189"/>
      <c r="V765" s="189"/>
      <c r="W765" s="189"/>
      <c r="Z765" s="179"/>
      <c r="AA765" s="189"/>
      <c r="AB765" s="189"/>
      <c r="AD765" s="189"/>
      <c r="AE765" s="189"/>
      <c r="AH765" s="179"/>
      <c r="AJ765" s="191"/>
      <c r="AK765" s="191"/>
      <c r="AM765" s="191"/>
      <c r="AN765" s="191"/>
      <c r="AQ765" s="179"/>
      <c r="AR765" s="192"/>
      <c r="AS765" s="192"/>
      <c r="AU765" s="192"/>
      <c r="AV765" s="192"/>
      <c r="AY765" s="179"/>
      <c r="BA765" s="192"/>
      <c r="BB765" s="192"/>
      <c r="BD765" s="192"/>
      <c r="BE765" s="192"/>
      <c r="BH765" s="179"/>
      <c r="BI765" s="192"/>
      <c r="BJ765" s="192"/>
      <c r="BL765" s="192"/>
      <c r="BM765" s="192"/>
      <c r="BP765" s="179"/>
    </row>
    <row r="766">
      <c r="B766" s="189"/>
      <c r="C766" s="189"/>
      <c r="E766" s="189"/>
      <c r="F766" s="189"/>
      <c r="I766" s="179"/>
      <c r="J766" s="189"/>
      <c r="K766" s="189"/>
      <c r="M766" s="189"/>
      <c r="N766" s="189"/>
      <c r="Q766" s="179"/>
      <c r="S766" s="189"/>
      <c r="T766" s="189"/>
      <c r="V766" s="189"/>
      <c r="W766" s="189"/>
      <c r="Z766" s="179"/>
      <c r="AA766" s="189"/>
      <c r="AB766" s="189"/>
      <c r="AD766" s="189"/>
      <c r="AE766" s="189"/>
      <c r="AH766" s="179"/>
      <c r="AJ766" s="191"/>
      <c r="AK766" s="191"/>
      <c r="AM766" s="191"/>
      <c r="AN766" s="191"/>
      <c r="AQ766" s="179"/>
      <c r="AR766" s="192"/>
      <c r="AS766" s="192"/>
      <c r="AU766" s="192"/>
      <c r="AV766" s="192"/>
      <c r="AY766" s="179"/>
      <c r="BA766" s="192"/>
      <c r="BB766" s="192"/>
      <c r="BD766" s="192"/>
      <c r="BE766" s="192"/>
      <c r="BH766" s="179"/>
      <c r="BI766" s="192"/>
      <c r="BJ766" s="192"/>
      <c r="BL766" s="192"/>
      <c r="BM766" s="192"/>
      <c r="BP766" s="179"/>
    </row>
    <row r="767">
      <c r="B767" s="189"/>
      <c r="C767" s="189"/>
      <c r="E767" s="189"/>
      <c r="F767" s="189"/>
      <c r="I767" s="179"/>
      <c r="J767" s="189"/>
      <c r="K767" s="189"/>
      <c r="M767" s="189"/>
      <c r="N767" s="189"/>
      <c r="Q767" s="179"/>
      <c r="S767" s="189"/>
      <c r="T767" s="189"/>
      <c r="V767" s="189"/>
      <c r="W767" s="189"/>
      <c r="Z767" s="179"/>
      <c r="AA767" s="189"/>
      <c r="AB767" s="189"/>
      <c r="AD767" s="189"/>
      <c r="AE767" s="189"/>
      <c r="AH767" s="179"/>
      <c r="AJ767" s="191"/>
      <c r="AK767" s="191"/>
      <c r="AM767" s="191"/>
      <c r="AN767" s="191"/>
      <c r="AQ767" s="179"/>
      <c r="AR767" s="192"/>
      <c r="AS767" s="192"/>
      <c r="AU767" s="192"/>
      <c r="AV767" s="192"/>
      <c r="AY767" s="179"/>
      <c r="BA767" s="192"/>
      <c r="BB767" s="192"/>
      <c r="BD767" s="192"/>
      <c r="BE767" s="192"/>
      <c r="BH767" s="179"/>
      <c r="BI767" s="192"/>
      <c r="BJ767" s="192"/>
      <c r="BL767" s="192"/>
      <c r="BM767" s="192"/>
      <c r="BP767" s="179"/>
    </row>
    <row r="768">
      <c r="B768" s="189"/>
      <c r="C768" s="189"/>
      <c r="E768" s="189"/>
      <c r="F768" s="189"/>
      <c r="I768" s="179"/>
      <c r="J768" s="189"/>
      <c r="K768" s="189"/>
      <c r="M768" s="189"/>
      <c r="N768" s="189"/>
      <c r="Q768" s="179"/>
      <c r="S768" s="189"/>
      <c r="T768" s="189"/>
      <c r="V768" s="189"/>
      <c r="W768" s="189"/>
      <c r="Z768" s="179"/>
      <c r="AA768" s="189"/>
      <c r="AB768" s="189"/>
      <c r="AD768" s="189"/>
      <c r="AE768" s="189"/>
      <c r="AH768" s="179"/>
      <c r="AJ768" s="191"/>
      <c r="AK768" s="191"/>
      <c r="AM768" s="191"/>
      <c r="AN768" s="191"/>
      <c r="AQ768" s="179"/>
      <c r="AR768" s="192"/>
      <c r="AS768" s="192"/>
      <c r="AU768" s="192"/>
      <c r="AV768" s="192"/>
      <c r="AY768" s="179"/>
      <c r="BA768" s="192"/>
      <c r="BB768" s="192"/>
      <c r="BD768" s="192"/>
      <c r="BE768" s="192"/>
      <c r="BH768" s="179"/>
      <c r="BI768" s="192"/>
      <c r="BJ768" s="192"/>
      <c r="BL768" s="192"/>
      <c r="BM768" s="192"/>
      <c r="BP768" s="179"/>
    </row>
    <row r="769">
      <c r="B769" s="189"/>
      <c r="C769" s="189"/>
      <c r="E769" s="189"/>
      <c r="F769" s="189"/>
      <c r="I769" s="179"/>
      <c r="J769" s="189"/>
      <c r="K769" s="189"/>
      <c r="M769" s="189"/>
      <c r="N769" s="189"/>
      <c r="Q769" s="179"/>
      <c r="S769" s="189"/>
      <c r="T769" s="189"/>
      <c r="V769" s="189"/>
      <c r="W769" s="189"/>
      <c r="Z769" s="179"/>
      <c r="AA769" s="189"/>
      <c r="AB769" s="189"/>
      <c r="AD769" s="189"/>
      <c r="AE769" s="189"/>
      <c r="AH769" s="179"/>
      <c r="AJ769" s="191"/>
      <c r="AK769" s="191"/>
      <c r="AM769" s="191"/>
      <c r="AN769" s="191"/>
      <c r="AQ769" s="179"/>
      <c r="AR769" s="192"/>
      <c r="AS769" s="192"/>
      <c r="AU769" s="192"/>
      <c r="AV769" s="192"/>
      <c r="AY769" s="179"/>
      <c r="BA769" s="192"/>
      <c r="BB769" s="192"/>
      <c r="BD769" s="192"/>
      <c r="BE769" s="192"/>
      <c r="BH769" s="179"/>
      <c r="BI769" s="192"/>
      <c r="BJ769" s="192"/>
      <c r="BL769" s="192"/>
      <c r="BM769" s="192"/>
      <c r="BP769" s="179"/>
    </row>
    <row r="770">
      <c r="B770" s="189"/>
      <c r="C770" s="189"/>
      <c r="E770" s="189"/>
      <c r="F770" s="189"/>
      <c r="I770" s="179"/>
      <c r="J770" s="189"/>
      <c r="K770" s="189"/>
      <c r="M770" s="189"/>
      <c r="N770" s="189"/>
      <c r="Q770" s="179"/>
      <c r="S770" s="189"/>
      <c r="T770" s="189"/>
      <c r="V770" s="189"/>
      <c r="W770" s="189"/>
      <c r="Z770" s="179"/>
      <c r="AA770" s="189"/>
      <c r="AB770" s="189"/>
      <c r="AD770" s="189"/>
      <c r="AE770" s="189"/>
      <c r="AH770" s="179"/>
      <c r="AJ770" s="191"/>
      <c r="AK770" s="191"/>
      <c r="AM770" s="191"/>
      <c r="AN770" s="191"/>
      <c r="AQ770" s="179"/>
      <c r="AR770" s="192"/>
      <c r="AS770" s="192"/>
      <c r="AU770" s="192"/>
      <c r="AV770" s="192"/>
      <c r="AY770" s="179"/>
      <c r="BA770" s="192"/>
      <c r="BB770" s="192"/>
      <c r="BD770" s="192"/>
      <c r="BE770" s="192"/>
      <c r="BH770" s="179"/>
      <c r="BI770" s="192"/>
      <c r="BJ770" s="192"/>
      <c r="BL770" s="192"/>
      <c r="BM770" s="192"/>
      <c r="BP770" s="179"/>
    </row>
    <row r="771">
      <c r="B771" s="189"/>
      <c r="C771" s="189"/>
      <c r="E771" s="189"/>
      <c r="F771" s="189"/>
      <c r="I771" s="179"/>
      <c r="J771" s="189"/>
      <c r="K771" s="189"/>
      <c r="M771" s="189"/>
      <c r="N771" s="189"/>
      <c r="Q771" s="179"/>
      <c r="S771" s="189"/>
      <c r="T771" s="189"/>
      <c r="V771" s="189"/>
      <c r="W771" s="189"/>
      <c r="Z771" s="179"/>
      <c r="AA771" s="189"/>
      <c r="AB771" s="189"/>
      <c r="AD771" s="189"/>
      <c r="AE771" s="189"/>
      <c r="AH771" s="179"/>
      <c r="AJ771" s="191"/>
      <c r="AK771" s="191"/>
      <c r="AM771" s="191"/>
      <c r="AN771" s="191"/>
      <c r="AQ771" s="179"/>
      <c r="AR771" s="192"/>
      <c r="AS771" s="192"/>
      <c r="AU771" s="192"/>
      <c r="AV771" s="192"/>
      <c r="AY771" s="179"/>
      <c r="BA771" s="192"/>
      <c r="BB771" s="192"/>
      <c r="BD771" s="192"/>
      <c r="BE771" s="192"/>
      <c r="BH771" s="179"/>
      <c r="BI771" s="192"/>
      <c r="BJ771" s="192"/>
      <c r="BL771" s="192"/>
      <c r="BM771" s="192"/>
      <c r="BP771" s="179"/>
    </row>
    <row r="772">
      <c r="B772" s="189"/>
      <c r="C772" s="189"/>
      <c r="E772" s="189"/>
      <c r="F772" s="189"/>
      <c r="I772" s="179"/>
      <c r="J772" s="189"/>
      <c r="K772" s="189"/>
      <c r="M772" s="189"/>
      <c r="N772" s="189"/>
      <c r="Q772" s="179"/>
      <c r="S772" s="189"/>
      <c r="T772" s="189"/>
      <c r="V772" s="189"/>
      <c r="W772" s="189"/>
      <c r="Z772" s="179"/>
      <c r="AA772" s="189"/>
      <c r="AB772" s="189"/>
      <c r="AD772" s="189"/>
      <c r="AE772" s="189"/>
      <c r="AH772" s="179"/>
      <c r="AJ772" s="191"/>
      <c r="AK772" s="191"/>
      <c r="AM772" s="191"/>
      <c r="AN772" s="191"/>
      <c r="AQ772" s="179"/>
      <c r="AR772" s="192"/>
      <c r="AS772" s="192"/>
      <c r="AU772" s="192"/>
      <c r="AV772" s="192"/>
      <c r="AY772" s="179"/>
      <c r="BA772" s="192"/>
      <c r="BB772" s="192"/>
      <c r="BD772" s="192"/>
      <c r="BE772" s="192"/>
      <c r="BH772" s="179"/>
      <c r="BI772" s="192"/>
      <c r="BJ772" s="192"/>
      <c r="BL772" s="192"/>
      <c r="BM772" s="192"/>
      <c r="BP772" s="179"/>
    </row>
    <row r="773">
      <c r="B773" s="189"/>
      <c r="C773" s="189"/>
      <c r="E773" s="189"/>
      <c r="F773" s="189"/>
      <c r="I773" s="179"/>
      <c r="J773" s="189"/>
      <c r="K773" s="189"/>
      <c r="M773" s="189"/>
      <c r="N773" s="189"/>
      <c r="Q773" s="179"/>
      <c r="S773" s="189"/>
      <c r="T773" s="189"/>
      <c r="V773" s="189"/>
      <c r="W773" s="189"/>
      <c r="Z773" s="179"/>
      <c r="AA773" s="189"/>
      <c r="AB773" s="189"/>
      <c r="AD773" s="189"/>
      <c r="AE773" s="189"/>
      <c r="AH773" s="179"/>
      <c r="AJ773" s="191"/>
      <c r="AK773" s="191"/>
      <c r="AM773" s="191"/>
      <c r="AN773" s="191"/>
      <c r="AQ773" s="179"/>
      <c r="AR773" s="192"/>
      <c r="AS773" s="192"/>
      <c r="AU773" s="192"/>
      <c r="AV773" s="192"/>
      <c r="AY773" s="179"/>
      <c r="BA773" s="192"/>
      <c r="BB773" s="192"/>
      <c r="BD773" s="192"/>
      <c r="BE773" s="192"/>
      <c r="BH773" s="179"/>
      <c r="BI773" s="192"/>
      <c r="BJ773" s="192"/>
      <c r="BL773" s="192"/>
      <c r="BM773" s="192"/>
      <c r="BP773" s="179"/>
    </row>
    <row r="774">
      <c r="B774" s="189"/>
      <c r="C774" s="189"/>
      <c r="E774" s="189"/>
      <c r="F774" s="189"/>
      <c r="I774" s="179"/>
      <c r="J774" s="189"/>
      <c r="K774" s="189"/>
      <c r="M774" s="189"/>
      <c r="N774" s="189"/>
      <c r="Q774" s="179"/>
      <c r="S774" s="189"/>
      <c r="T774" s="189"/>
      <c r="V774" s="189"/>
      <c r="W774" s="189"/>
      <c r="Z774" s="179"/>
      <c r="AA774" s="189"/>
      <c r="AB774" s="189"/>
      <c r="AD774" s="189"/>
      <c r="AE774" s="189"/>
      <c r="AH774" s="179"/>
      <c r="AJ774" s="191"/>
      <c r="AK774" s="191"/>
      <c r="AM774" s="191"/>
      <c r="AN774" s="191"/>
      <c r="AQ774" s="179"/>
      <c r="AR774" s="192"/>
      <c r="AS774" s="192"/>
      <c r="AU774" s="192"/>
      <c r="AV774" s="192"/>
      <c r="AY774" s="179"/>
      <c r="BA774" s="192"/>
      <c r="BB774" s="192"/>
      <c r="BD774" s="192"/>
      <c r="BE774" s="192"/>
      <c r="BH774" s="179"/>
      <c r="BI774" s="192"/>
      <c r="BJ774" s="192"/>
      <c r="BL774" s="192"/>
      <c r="BM774" s="192"/>
      <c r="BP774" s="179"/>
    </row>
    <row r="775">
      <c r="B775" s="189"/>
      <c r="C775" s="189"/>
      <c r="E775" s="189"/>
      <c r="F775" s="189"/>
      <c r="I775" s="179"/>
      <c r="J775" s="189"/>
      <c r="K775" s="189"/>
      <c r="M775" s="189"/>
      <c r="N775" s="189"/>
      <c r="Q775" s="179"/>
      <c r="S775" s="189"/>
      <c r="T775" s="189"/>
      <c r="V775" s="189"/>
      <c r="W775" s="189"/>
      <c r="Z775" s="179"/>
      <c r="AA775" s="189"/>
      <c r="AB775" s="189"/>
      <c r="AD775" s="189"/>
      <c r="AE775" s="189"/>
      <c r="AH775" s="179"/>
      <c r="AJ775" s="191"/>
      <c r="AK775" s="191"/>
      <c r="AM775" s="191"/>
      <c r="AN775" s="191"/>
      <c r="AQ775" s="179"/>
      <c r="AR775" s="192"/>
      <c r="AS775" s="192"/>
      <c r="AU775" s="192"/>
      <c r="AV775" s="192"/>
      <c r="AY775" s="179"/>
      <c r="BA775" s="192"/>
      <c r="BB775" s="192"/>
      <c r="BD775" s="192"/>
      <c r="BE775" s="192"/>
      <c r="BH775" s="179"/>
      <c r="BI775" s="192"/>
      <c r="BJ775" s="192"/>
      <c r="BL775" s="192"/>
      <c r="BM775" s="192"/>
      <c r="BP775" s="179"/>
    </row>
    <row r="776">
      <c r="B776" s="189"/>
      <c r="C776" s="189"/>
      <c r="E776" s="189"/>
      <c r="F776" s="189"/>
      <c r="I776" s="179"/>
      <c r="J776" s="189"/>
      <c r="K776" s="189"/>
      <c r="M776" s="189"/>
      <c r="N776" s="189"/>
      <c r="Q776" s="179"/>
      <c r="S776" s="189"/>
      <c r="T776" s="189"/>
      <c r="V776" s="189"/>
      <c r="W776" s="189"/>
      <c r="Z776" s="179"/>
      <c r="AA776" s="189"/>
      <c r="AB776" s="189"/>
      <c r="AD776" s="189"/>
      <c r="AE776" s="189"/>
      <c r="AH776" s="179"/>
      <c r="AJ776" s="191"/>
      <c r="AK776" s="191"/>
      <c r="AM776" s="191"/>
      <c r="AN776" s="191"/>
      <c r="AQ776" s="179"/>
      <c r="AR776" s="192"/>
      <c r="AS776" s="192"/>
      <c r="AU776" s="192"/>
      <c r="AV776" s="192"/>
      <c r="AY776" s="179"/>
      <c r="BA776" s="192"/>
      <c r="BB776" s="192"/>
      <c r="BD776" s="192"/>
      <c r="BE776" s="192"/>
      <c r="BH776" s="179"/>
      <c r="BI776" s="192"/>
      <c r="BJ776" s="192"/>
      <c r="BL776" s="192"/>
      <c r="BM776" s="192"/>
      <c r="BP776" s="179"/>
    </row>
    <row r="777">
      <c r="B777" s="189"/>
      <c r="C777" s="189"/>
      <c r="E777" s="189"/>
      <c r="F777" s="189"/>
      <c r="I777" s="179"/>
      <c r="J777" s="189"/>
      <c r="K777" s="189"/>
      <c r="M777" s="189"/>
      <c r="N777" s="189"/>
      <c r="Q777" s="179"/>
      <c r="S777" s="189"/>
      <c r="T777" s="189"/>
      <c r="V777" s="189"/>
      <c r="W777" s="189"/>
      <c r="Z777" s="179"/>
      <c r="AA777" s="189"/>
      <c r="AB777" s="189"/>
      <c r="AD777" s="189"/>
      <c r="AE777" s="189"/>
      <c r="AH777" s="179"/>
      <c r="AJ777" s="191"/>
      <c r="AK777" s="191"/>
      <c r="AM777" s="191"/>
      <c r="AN777" s="191"/>
      <c r="AQ777" s="179"/>
      <c r="AR777" s="192"/>
      <c r="AS777" s="192"/>
      <c r="AU777" s="192"/>
      <c r="AV777" s="192"/>
      <c r="AY777" s="179"/>
      <c r="BA777" s="192"/>
      <c r="BB777" s="192"/>
      <c r="BD777" s="192"/>
      <c r="BE777" s="192"/>
      <c r="BH777" s="179"/>
      <c r="BI777" s="192"/>
      <c r="BJ777" s="192"/>
      <c r="BL777" s="192"/>
      <c r="BM777" s="192"/>
      <c r="BP777" s="179"/>
    </row>
    <row r="778">
      <c r="B778" s="189"/>
      <c r="C778" s="189"/>
      <c r="E778" s="189"/>
      <c r="F778" s="189"/>
      <c r="I778" s="179"/>
      <c r="J778" s="189"/>
      <c r="K778" s="189"/>
      <c r="M778" s="189"/>
      <c r="N778" s="189"/>
      <c r="Q778" s="179"/>
      <c r="S778" s="189"/>
      <c r="T778" s="189"/>
      <c r="V778" s="189"/>
      <c r="W778" s="189"/>
      <c r="Z778" s="179"/>
      <c r="AA778" s="189"/>
      <c r="AB778" s="189"/>
      <c r="AD778" s="189"/>
      <c r="AE778" s="189"/>
      <c r="AH778" s="179"/>
      <c r="AJ778" s="191"/>
      <c r="AK778" s="191"/>
      <c r="AM778" s="191"/>
      <c r="AN778" s="191"/>
      <c r="AQ778" s="179"/>
      <c r="AR778" s="192"/>
      <c r="AS778" s="192"/>
      <c r="AU778" s="192"/>
      <c r="AV778" s="192"/>
      <c r="AY778" s="179"/>
      <c r="BA778" s="192"/>
      <c r="BB778" s="192"/>
      <c r="BD778" s="192"/>
      <c r="BE778" s="192"/>
      <c r="BH778" s="179"/>
      <c r="BI778" s="192"/>
      <c r="BJ778" s="192"/>
      <c r="BL778" s="192"/>
      <c r="BM778" s="192"/>
      <c r="BP778" s="179"/>
    </row>
    <row r="779">
      <c r="B779" s="189"/>
      <c r="C779" s="189"/>
      <c r="E779" s="189"/>
      <c r="F779" s="189"/>
      <c r="I779" s="179"/>
      <c r="J779" s="189"/>
      <c r="K779" s="189"/>
      <c r="M779" s="189"/>
      <c r="N779" s="189"/>
      <c r="Q779" s="179"/>
      <c r="S779" s="189"/>
      <c r="T779" s="189"/>
      <c r="V779" s="189"/>
      <c r="W779" s="189"/>
      <c r="Z779" s="179"/>
      <c r="AA779" s="189"/>
      <c r="AB779" s="189"/>
      <c r="AD779" s="189"/>
      <c r="AE779" s="189"/>
      <c r="AH779" s="179"/>
      <c r="AJ779" s="191"/>
      <c r="AK779" s="191"/>
      <c r="AM779" s="191"/>
      <c r="AN779" s="191"/>
      <c r="AQ779" s="179"/>
      <c r="AR779" s="192"/>
      <c r="AS779" s="192"/>
      <c r="AU779" s="192"/>
      <c r="AV779" s="192"/>
      <c r="AY779" s="179"/>
      <c r="BA779" s="192"/>
      <c r="BB779" s="192"/>
      <c r="BD779" s="192"/>
      <c r="BE779" s="192"/>
      <c r="BH779" s="179"/>
      <c r="BI779" s="192"/>
      <c r="BJ779" s="192"/>
      <c r="BL779" s="192"/>
      <c r="BM779" s="192"/>
      <c r="BP779" s="179"/>
    </row>
    <row r="780">
      <c r="B780" s="189"/>
      <c r="C780" s="189"/>
      <c r="E780" s="189"/>
      <c r="F780" s="189"/>
      <c r="I780" s="179"/>
      <c r="J780" s="189"/>
      <c r="K780" s="189"/>
      <c r="M780" s="189"/>
      <c r="N780" s="189"/>
      <c r="Q780" s="179"/>
      <c r="S780" s="189"/>
      <c r="T780" s="189"/>
      <c r="V780" s="189"/>
      <c r="W780" s="189"/>
      <c r="Z780" s="179"/>
      <c r="AA780" s="189"/>
      <c r="AB780" s="189"/>
      <c r="AD780" s="189"/>
      <c r="AE780" s="189"/>
      <c r="AH780" s="179"/>
      <c r="AJ780" s="191"/>
      <c r="AK780" s="191"/>
      <c r="AM780" s="191"/>
      <c r="AN780" s="191"/>
      <c r="AQ780" s="179"/>
      <c r="AR780" s="192"/>
      <c r="AS780" s="192"/>
      <c r="AU780" s="192"/>
      <c r="AV780" s="192"/>
      <c r="AY780" s="179"/>
      <c r="BA780" s="192"/>
      <c r="BB780" s="192"/>
      <c r="BD780" s="192"/>
      <c r="BE780" s="192"/>
      <c r="BH780" s="179"/>
      <c r="BI780" s="192"/>
      <c r="BJ780" s="192"/>
      <c r="BL780" s="192"/>
      <c r="BM780" s="192"/>
      <c r="BP780" s="179"/>
    </row>
    <row r="781">
      <c r="B781" s="189"/>
      <c r="C781" s="189"/>
      <c r="E781" s="189"/>
      <c r="F781" s="189"/>
      <c r="I781" s="179"/>
      <c r="J781" s="189"/>
      <c r="K781" s="189"/>
      <c r="M781" s="189"/>
      <c r="N781" s="189"/>
      <c r="Q781" s="179"/>
      <c r="S781" s="189"/>
      <c r="T781" s="189"/>
      <c r="V781" s="189"/>
      <c r="W781" s="189"/>
      <c r="Z781" s="179"/>
      <c r="AA781" s="189"/>
      <c r="AB781" s="189"/>
      <c r="AD781" s="189"/>
      <c r="AE781" s="189"/>
      <c r="AH781" s="179"/>
      <c r="AJ781" s="191"/>
      <c r="AK781" s="191"/>
      <c r="AM781" s="191"/>
      <c r="AN781" s="191"/>
      <c r="AQ781" s="179"/>
      <c r="AR781" s="192"/>
      <c r="AS781" s="192"/>
      <c r="AU781" s="192"/>
      <c r="AV781" s="192"/>
      <c r="AY781" s="179"/>
      <c r="BA781" s="192"/>
      <c r="BB781" s="192"/>
      <c r="BD781" s="192"/>
      <c r="BE781" s="192"/>
      <c r="BH781" s="179"/>
      <c r="BI781" s="192"/>
      <c r="BJ781" s="192"/>
      <c r="BL781" s="192"/>
      <c r="BM781" s="192"/>
      <c r="BP781" s="179"/>
    </row>
    <row r="782">
      <c r="B782" s="189"/>
      <c r="C782" s="189"/>
      <c r="E782" s="189"/>
      <c r="F782" s="189"/>
      <c r="I782" s="179"/>
      <c r="J782" s="189"/>
      <c r="K782" s="189"/>
      <c r="M782" s="189"/>
      <c r="N782" s="189"/>
      <c r="Q782" s="179"/>
      <c r="S782" s="189"/>
      <c r="T782" s="189"/>
      <c r="V782" s="189"/>
      <c r="W782" s="189"/>
      <c r="Z782" s="179"/>
      <c r="AA782" s="189"/>
      <c r="AB782" s="189"/>
      <c r="AD782" s="189"/>
      <c r="AE782" s="189"/>
      <c r="AH782" s="179"/>
      <c r="AJ782" s="191"/>
      <c r="AK782" s="191"/>
      <c r="AM782" s="191"/>
      <c r="AN782" s="191"/>
      <c r="AQ782" s="179"/>
      <c r="AR782" s="192"/>
      <c r="AS782" s="192"/>
      <c r="AU782" s="192"/>
      <c r="AV782" s="192"/>
      <c r="AY782" s="179"/>
      <c r="BA782" s="192"/>
      <c r="BB782" s="192"/>
      <c r="BD782" s="192"/>
      <c r="BE782" s="192"/>
      <c r="BH782" s="179"/>
      <c r="BI782" s="192"/>
      <c r="BJ782" s="192"/>
      <c r="BL782" s="192"/>
      <c r="BM782" s="192"/>
      <c r="BP782" s="179"/>
    </row>
    <row r="783">
      <c r="B783" s="189"/>
      <c r="C783" s="189"/>
      <c r="E783" s="189"/>
      <c r="F783" s="189"/>
      <c r="I783" s="179"/>
      <c r="J783" s="189"/>
      <c r="K783" s="189"/>
      <c r="M783" s="189"/>
      <c r="N783" s="189"/>
      <c r="Q783" s="179"/>
      <c r="S783" s="189"/>
      <c r="T783" s="189"/>
      <c r="V783" s="189"/>
      <c r="W783" s="189"/>
      <c r="Z783" s="179"/>
      <c r="AA783" s="189"/>
      <c r="AB783" s="189"/>
      <c r="AD783" s="189"/>
      <c r="AE783" s="189"/>
      <c r="AH783" s="179"/>
      <c r="AJ783" s="191"/>
      <c r="AK783" s="191"/>
      <c r="AM783" s="191"/>
      <c r="AN783" s="191"/>
      <c r="AQ783" s="179"/>
      <c r="AR783" s="192"/>
      <c r="AS783" s="192"/>
      <c r="AU783" s="192"/>
      <c r="AV783" s="192"/>
      <c r="AY783" s="179"/>
      <c r="BA783" s="192"/>
      <c r="BB783" s="192"/>
      <c r="BD783" s="192"/>
      <c r="BE783" s="192"/>
      <c r="BH783" s="179"/>
      <c r="BI783" s="192"/>
      <c r="BJ783" s="192"/>
      <c r="BL783" s="192"/>
      <c r="BM783" s="192"/>
      <c r="BP783" s="179"/>
    </row>
    <row r="784">
      <c r="B784" s="189"/>
      <c r="C784" s="189"/>
      <c r="E784" s="189"/>
      <c r="F784" s="189"/>
      <c r="I784" s="179"/>
      <c r="J784" s="189"/>
      <c r="K784" s="189"/>
      <c r="M784" s="189"/>
      <c r="N784" s="189"/>
      <c r="Q784" s="179"/>
      <c r="S784" s="189"/>
      <c r="T784" s="189"/>
      <c r="V784" s="189"/>
      <c r="W784" s="189"/>
      <c r="Z784" s="179"/>
      <c r="AA784" s="189"/>
      <c r="AB784" s="189"/>
      <c r="AD784" s="189"/>
      <c r="AE784" s="189"/>
      <c r="AH784" s="179"/>
      <c r="AJ784" s="191"/>
      <c r="AK784" s="191"/>
      <c r="AM784" s="191"/>
      <c r="AN784" s="191"/>
      <c r="AQ784" s="179"/>
      <c r="AR784" s="192"/>
      <c r="AS784" s="192"/>
      <c r="AU784" s="192"/>
      <c r="AV784" s="192"/>
      <c r="AY784" s="179"/>
      <c r="BA784" s="192"/>
      <c r="BB784" s="192"/>
      <c r="BD784" s="192"/>
      <c r="BE784" s="192"/>
      <c r="BH784" s="179"/>
      <c r="BI784" s="192"/>
      <c r="BJ784" s="192"/>
      <c r="BL784" s="192"/>
      <c r="BM784" s="192"/>
      <c r="BP784" s="179"/>
    </row>
    <row r="785">
      <c r="B785" s="189"/>
      <c r="C785" s="189"/>
      <c r="E785" s="189"/>
      <c r="F785" s="189"/>
      <c r="I785" s="179"/>
      <c r="J785" s="189"/>
      <c r="K785" s="189"/>
      <c r="M785" s="189"/>
      <c r="N785" s="189"/>
      <c r="Q785" s="179"/>
      <c r="S785" s="189"/>
      <c r="T785" s="189"/>
      <c r="V785" s="189"/>
      <c r="W785" s="189"/>
      <c r="Z785" s="179"/>
      <c r="AA785" s="189"/>
      <c r="AB785" s="189"/>
      <c r="AD785" s="189"/>
      <c r="AE785" s="189"/>
      <c r="AH785" s="179"/>
      <c r="AJ785" s="191"/>
      <c r="AK785" s="191"/>
      <c r="AM785" s="191"/>
      <c r="AN785" s="191"/>
      <c r="AQ785" s="179"/>
      <c r="AR785" s="192"/>
      <c r="AS785" s="192"/>
      <c r="AU785" s="192"/>
      <c r="AV785" s="192"/>
      <c r="AY785" s="179"/>
      <c r="BA785" s="192"/>
      <c r="BB785" s="192"/>
      <c r="BD785" s="192"/>
      <c r="BE785" s="192"/>
      <c r="BH785" s="179"/>
      <c r="BI785" s="192"/>
      <c r="BJ785" s="192"/>
      <c r="BL785" s="192"/>
      <c r="BM785" s="192"/>
      <c r="BP785" s="179"/>
    </row>
    <row r="786">
      <c r="B786" s="189"/>
      <c r="C786" s="189"/>
      <c r="E786" s="189"/>
      <c r="F786" s="189"/>
      <c r="I786" s="179"/>
      <c r="J786" s="189"/>
      <c r="K786" s="189"/>
      <c r="M786" s="189"/>
      <c r="N786" s="189"/>
      <c r="Q786" s="179"/>
      <c r="S786" s="189"/>
      <c r="T786" s="189"/>
      <c r="V786" s="189"/>
      <c r="W786" s="189"/>
      <c r="Z786" s="179"/>
      <c r="AA786" s="189"/>
      <c r="AB786" s="189"/>
      <c r="AD786" s="189"/>
      <c r="AE786" s="189"/>
      <c r="AH786" s="179"/>
      <c r="AJ786" s="191"/>
      <c r="AK786" s="191"/>
      <c r="AM786" s="191"/>
      <c r="AN786" s="191"/>
      <c r="AQ786" s="179"/>
      <c r="AR786" s="192"/>
      <c r="AS786" s="192"/>
      <c r="AU786" s="192"/>
      <c r="AV786" s="192"/>
      <c r="AY786" s="179"/>
      <c r="BA786" s="192"/>
      <c r="BB786" s="192"/>
      <c r="BD786" s="192"/>
      <c r="BE786" s="192"/>
      <c r="BH786" s="179"/>
      <c r="BI786" s="192"/>
      <c r="BJ786" s="192"/>
      <c r="BL786" s="192"/>
      <c r="BM786" s="192"/>
      <c r="BP786" s="179"/>
    </row>
    <row r="787">
      <c r="B787" s="189"/>
      <c r="C787" s="189"/>
      <c r="E787" s="189"/>
      <c r="F787" s="189"/>
      <c r="I787" s="179"/>
      <c r="J787" s="189"/>
      <c r="K787" s="189"/>
      <c r="M787" s="189"/>
      <c r="N787" s="189"/>
      <c r="Q787" s="179"/>
      <c r="S787" s="189"/>
      <c r="T787" s="189"/>
      <c r="V787" s="189"/>
      <c r="W787" s="189"/>
      <c r="Z787" s="179"/>
      <c r="AA787" s="189"/>
      <c r="AB787" s="189"/>
      <c r="AD787" s="189"/>
      <c r="AE787" s="189"/>
      <c r="AH787" s="179"/>
      <c r="AJ787" s="191"/>
      <c r="AK787" s="191"/>
      <c r="AM787" s="191"/>
      <c r="AN787" s="191"/>
      <c r="AQ787" s="179"/>
      <c r="AR787" s="192"/>
      <c r="AS787" s="192"/>
      <c r="AU787" s="192"/>
      <c r="AV787" s="192"/>
      <c r="AY787" s="179"/>
      <c r="BA787" s="192"/>
      <c r="BB787" s="192"/>
      <c r="BD787" s="192"/>
      <c r="BE787" s="192"/>
      <c r="BH787" s="179"/>
      <c r="BI787" s="192"/>
      <c r="BJ787" s="192"/>
      <c r="BL787" s="192"/>
      <c r="BM787" s="192"/>
      <c r="BP787" s="179"/>
    </row>
    <row r="788">
      <c r="B788" s="189"/>
      <c r="C788" s="189"/>
      <c r="E788" s="189"/>
      <c r="F788" s="189"/>
      <c r="I788" s="179"/>
      <c r="J788" s="189"/>
      <c r="K788" s="189"/>
      <c r="M788" s="189"/>
      <c r="N788" s="189"/>
      <c r="Q788" s="179"/>
      <c r="S788" s="189"/>
      <c r="T788" s="189"/>
      <c r="V788" s="189"/>
      <c r="W788" s="189"/>
      <c r="Z788" s="179"/>
      <c r="AA788" s="189"/>
      <c r="AB788" s="189"/>
      <c r="AD788" s="189"/>
      <c r="AE788" s="189"/>
      <c r="AH788" s="179"/>
      <c r="AJ788" s="191"/>
      <c r="AK788" s="191"/>
      <c r="AM788" s="191"/>
      <c r="AN788" s="191"/>
      <c r="AQ788" s="179"/>
      <c r="AR788" s="192"/>
      <c r="AS788" s="192"/>
      <c r="AU788" s="192"/>
      <c r="AV788" s="192"/>
      <c r="AY788" s="179"/>
      <c r="BA788" s="192"/>
      <c r="BB788" s="192"/>
      <c r="BD788" s="192"/>
      <c r="BE788" s="192"/>
      <c r="BH788" s="179"/>
      <c r="BI788" s="192"/>
      <c r="BJ788" s="192"/>
      <c r="BL788" s="192"/>
      <c r="BM788" s="192"/>
      <c r="BP788" s="179"/>
    </row>
    <row r="789">
      <c r="B789" s="189"/>
      <c r="C789" s="189"/>
      <c r="E789" s="189"/>
      <c r="F789" s="189"/>
      <c r="I789" s="179"/>
      <c r="J789" s="189"/>
      <c r="K789" s="189"/>
      <c r="M789" s="189"/>
      <c r="N789" s="189"/>
      <c r="Q789" s="179"/>
      <c r="S789" s="189"/>
      <c r="T789" s="189"/>
      <c r="V789" s="189"/>
      <c r="W789" s="189"/>
      <c r="Z789" s="179"/>
      <c r="AA789" s="189"/>
      <c r="AB789" s="189"/>
      <c r="AD789" s="189"/>
      <c r="AE789" s="189"/>
      <c r="AH789" s="179"/>
      <c r="AJ789" s="191"/>
      <c r="AK789" s="191"/>
      <c r="AM789" s="191"/>
      <c r="AN789" s="191"/>
      <c r="AQ789" s="179"/>
      <c r="AR789" s="192"/>
      <c r="AS789" s="192"/>
      <c r="AU789" s="192"/>
      <c r="AV789" s="192"/>
      <c r="AY789" s="179"/>
      <c r="BA789" s="192"/>
      <c r="BB789" s="192"/>
      <c r="BD789" s="192"/>
      <c r="BE789" s="192"/>
      <c r="BH789" s="179"/>
      <c r="BI789" s="192"/>
      <c r="BJ789" s="192"/>
      <c r="BL789" s="192"/>
      <c r="BM789" s="192"/>
      <c r="BP789" s="179"/>
    </row>
    <row r="790">
      <c r="B790" s="189"/>
      <c r="C790" s="189"/>
      <c r="E790" s="189"/>
      <c r="F790" s="189"/>
      <c r="I790" s="179"/>
      <c r="J790" s="189"/>
      <c r="K790" s="189"/>
      <c r="M790" s="189"/>
      <c r="N790" s="189"/>
      <c r="Q790" s="179"/>
      <c r="S790" s="189"/>
      <c r="T790" s="189"/>
      <c r="V790" s="189"/>
      <c r="W790" s="189"/>
      <c r="Z790" s="179"/>
      <c r="AA790" s="189"/>
      <c r="AB790" s="189"/>
      <c r="AD790" s="189"/>
      <c r="AE790" s="189"/>
      <c r="AH790" s="179"/>
      <c r="AJ790" s="191"/>
      <c r="AK790" s="191"/>
      <c r="AM790" s="191"/>
      <c r="AN790" s="191"/>
      <c r="AQ790" s="179"/>
      <c r="AR790" s="192"/>
      <c r="AS790" s="192"/>
      <c r="AU790" s="192"/>
      <c r="AV790" s="192"/>
      <c r="AY790" s="179"/>
      <c r="BA790" s="192"/>
      <c r="BB790" s="192"/>
      <c r="BD790" s="192"/>
      <c r="BE790" s="192"/>
      <c r="BH790" s="179"/>
      <c r="BI790" s="192"/>
      <c r="BJ790" s="192"/>
      <c r="BL790" s="192"/>
      <c r="BM790" s="192"/>
      <c r="BP790" s="179"/>
    </row>
    <row r="791">
      <c r="B791" s="189"/>
      <c r="C791" s="189"/>
      <c r="E791" s="189"/>
      <c r="F791" s="189"/>
      <c r="I791" s="179"/>
      <c r="J791" s="189"/>
      <c r="K791" s="189"/>
      <c r="M791" s="189"/>
      <c r="N791" s="189"/>
      <c r="Q791" s="179"/>
      <c r="S791" s="189"/>
      <c r="T791" s="189"/>
      <c r="V791" s="189"/>
      <c r="W791" s="189"/>
      <c r="Z791" s="179"/>
      <c r="AA791" s="189"/>
      <c r="AB791" s="189"/>
      <c r="AD791" s="189"/>
      <c r="AE791" s="189"/>
      <c r="AH791" s="179"/>
      <c r="AJ791" s="191"/>
      <c r="AK791" s="191"/>
      <c r="AM791" s="191"/>
      <c r="AN791" s="191"/>
      <c r="AQ791" s="179"/>
      <c r="AR791" s="192"/>
      <c r="AS791" s="192"/>
      <c r="AU791" s="192"/>
      <c r="AV791" s="192"/>
      <c r="AY791" s="179"/>
      <c r="BA791" s="192"/>
      <c r="BB791" s="192"/>
      <c r="BD791" s="192"/>
      <c r="BE791" s="192"/>
      <c r="BH791" s="179"/>
      <c r="BI791" s="192"/>
      <c r="BJ791" s="192"/>
      <c r="BL791" s="192"/>
      <c r="BM791" s="192"/>
      <c r="BP791" s="179"/>
    </row>
    <row r="792">
      <c r="B792" s="189"/>
      <c r="C792" s="189"/>
      <c r="E792" s="189"/>
      <c r="F792" s="189"/>
      <c r="I792" s="179"/>
      <c r="J792" s="189"/>
      <c r="K792" s="189"/>
      <c r="M792" s="189"/>
      <c r="N792" s="189"/>
      <c r="Q792" s="179"/>
      <c r="S792" s="189"/>
      <c r="T792" s="189"/>
      <c r="V792" s="189"/>
      <c r="W792" s="189"/>
      <c r="Z792" s="179"/>
      <c r="AA792" s="189"/>
      <c r="AB792" s="189"/>
      <c r="AD792" s="189"/>
      <c r="AE792" s="189"/>
      <c r="AH792" s="179"/>
      <c r="AJ792" s="191"/>
      <c r="AK792" s="191"/>
      <c r="AM792" s="191"/>
      <c r="AN792" s="191"/>
      <c r="AQ792" s="179"/>
      <c r="AR792" s="192"/>
      <c r="AS792" s="192"/>
      <c r="AU792" s="192"/>
      <c r="AV792" s="192"/>
      <c r="AY792" s="179"/>
      <c r="BA792" s="192"/>
      <c r="BB792" s="192"/>
      <c r="BD792" s="192"/>
      <c r="BE792" s="192"/>
      <c r="BH792" s="179"/>
      <c r="BI792" s="192"/>
      <c r="BJ792" s="192"/>
      <c r="BL792" s="192"/>
      <c r="BM792" s="192"/>
      <c r="BP792" s="179"/>
    </row>
    <row r="793">
      <c r="B793" s="189"/>
      <c r="C793" s="189"/>
      <c r="E793" s="189"/>
      <c r="F793" s="189"/>
      <c r="I793" s="179"/>
      <c r="J793" s="189"/>
      <c r="K793" s="189"/>
      <c r="M793" s="189"/>
      <c r="N793" s="189"/>
      <c r="Q793" s="179"/>
      <c r="S793" s="189"/>
      <c r="T793" s="189"/>
      <c r="V793" s="189"/>
      <c r="W793" s="189"/>
      <c r="Z793" s="179"/>
      <c r="AA793" s="189"/>
      <c r="AB793" s="189"/>
      <c r="AD793" s="189"/>
      <c r="AE793" s="189"/>
      <c r="AH793" s="179"/>
      <c r="AJ793" s="191"/>
      <c r="AK793" s="191"/>
      <c r="AM793" s="191"/>
      <c r="AN793" s="191"/>
      <c r="AQ793" s="179"/>
      <c r="AR793" s="192"/>
      <c r="AS793" s="192"/>
      <c r="AU793" s="192"/>
      <c r="AV793" s="192"/>
      <c r="AY793" s="179"/>
      <c r="BA793" s="192"/>
      <c r="BB793" s="192"/>
      <c r="BD793" s="192"/>
      <c r="BE793" s="192"/>
      <c r="BH793" s="179"/>
      <c r="BI793" s="192"/>
      <c r="BJ793" s="192"/>
      <c r="BL793" s="192"/>
      <c r="BM793" s="192"/>
      <c r="BP793" s="179"/>
    </row>
    <row r="794">
      <c r="B794" s="189"/>
      <c r="C794" s="189"/>
      <c r="E794" s="189"/>
      <c r="F794" s="189"/>
      <c r="I794" s="179"/>
      <c r="J794" s="189"/>
      <c r="K794" s="189"/>
      <c r="M794" s="189"/>
      <c r="N794" s="189"/>
      <c r="Q794" s="179"/>
      <c r="S794" s="189"/>
      <c r="T794" s="189"/>
      <c r="V794" s="189"/>
      <c r="W794" s="189"/>
      <c r="Z794" s="179"/>
      <c r="AA794" s="189"/>
      <c r="AB794" s="189"/>
      <c r="AD794" s="189"/>
      <c r="AE794" s="189"/>
      <c r="AH794" s="179"/>
      <c r="AJ794" s="191"/>
      <c r="AK794" s="191"/>
      <c r="AM794" s="191"/>
      <c r="AN794" s="191"/>
      <c r="AQ794" s="179"/>
      <c r="AR794" s="192"/>
      <c r="AS794" s="192"/>
      <c r="AU794" s="192"/>
      <c r="AV794" s="192"/>
      <c r="AY794" s="179"/>
      <c r="BA794" s="192"/>
      <c r="BB794" s="192"/>
      <c r="BD794" s="192"/>
      <c r="BE794" s="192"/>
      <c r="BH794" s="179"/>
      <c r="BI794" s="192"/>
      <c r="BJ794" s="192"/>
      <c r="BL794" s="192"/>
      <c r="BM794" s="192"/>
      <c r="BP794" s="179"/>
    </row>
    <row r="795">
      <c r="B795" s="189"/>
      <c r="C795" s="189"/>
      <c r="E795" s="189"/>
      <c r="F795" s="189"/>
      <c r="I795" s="179"/>
      <c r="J795" s="189"/>
      <c r="K795" s="189"/>
      <c r="M795" s="189"/>
      <c r="N795" s="189"/>
      <c r="Q795" s="179"/>
      <c r="S795" s="189"/>
      <c r="T795" s="189"/>
      <c r="V795" s="189"/>
      <c r="W795" s="189"/>
      <c r="Z795" s="179"/>
      <c r="AA795" s="189"/>
      <c r="AB795" s="189"/>
      <c r="AD795" s="189"/>
      <c r="AE795" s="189"/>
      <c r="AH795" s="179"/>
      <c r="AJ795" s="191"/>
      <c r="AK795" s="191"/>
      <c r="AM795" s="191"/>
      <c r="AN795" s="191"/>
      <c r="AQ795" s="179"/>
      <c r="AR795" s="192"/>
      <c r="AS795" s="192"/>
      <c r="AU795" s="192"/>
      <c r="AV795" s="192"/>
      <c r="AY795" s="179"/>
      <c r="BA795" s="192"/>
      <c r="BB795" s="192"/>
      <c r="BD795" s="192"/>
      <c r="BE795" s="192"/>
      <c r="BH795" s="179"/>
      <c r="BI795" s="192"/>
      <c r="BJ795" s="192"/>
      <c r="BL795" s="192"/>
      <c r="BM795" s="192"/>
      <c r="BP795" s="179"/>
    </row>
    <row r="796">
      <c r="B796" s="189"/>
      <c r="C796" s="189"/>
      <c r="E796" s="189"/>
      <c r="F796" s="189"/>
      <c r="I796" s="179"/>
      <c r="J796" s="189"/>
      <c r="K796" s="189"/>
      <c r="M796" s="189"/>
      <c r="N796" s="189"/>
      <c r="Q796" s="179"/>
      <c r="S796" s="189"/>
      <c r="T796" s="189"/>
      <c r="V796" s="189"/>
      <c r="W796" s="189"/>
      <c r="Z796" s="179"/>
      <c r="AA796" s="189"/>
      <c r="AB796" s="189"/>
      <c r="AD796" s="189"/>
      <c r="AE796" s="189"/>
      <c r="AH796" s="179"/>
      <c r="AJ796" s="191"/>
      <c r="AK796" s="191"/>
      <c r="AM796" s="191"/>
      <c r="AN796" s="191"/>
      <c r="AQ796" s="179"/>
      <c r="AR796" s="192"/>
      <c r="AS796" s="192"/>
      <c r="AU796" s="192"/>
      <c r="AV796" s="192"/>
      <c r="AY796" s="179"/>
      <c r="BA796" s="192"/>
      <c r="BB796" s="192"/>
      <c r="BD796" s="192"/>
      <c r="BE796" s="192"/>
      <c r="BH796" s="179"/>
      <c r="BI796" s="192"/>
      <c r="BJ796" s="192"/>
      <c r="BL796" s="192"/>
      <c r="BM796" s="192"/>
      <c r="BP796" s="179"/>
    </row>
    <row r="797">
      <c r="B797" s="189"/>
      <c r="C797" s="189"/>
      <c r="E797" s="189"/>
      <c r="F797" s="189"/>
      <c r="I797" s="179"/>
      <c r="J797" s="189"/>
      <c r="K797" s="189"/>
      <c r="M797" s="189"/>
      <c r="N797" s="189"/>
      <c r="Q797" s="179"/>
      <c r="S797" s="189"/>
      <c r="T797" s="189"/>
      <c r="V797" s="189"/>
      <c r="W797" s="189"/>
      <c r="Z797" s="179"/>
      <c r="AA797" s="189"/>
      <c r="AB797" s="189"/>
      <c r="AD797" s="189"/>
      <c r="AE797" s="189"/>
      <c r="AH797" s="179"/>
      <c r="AJ797" s="191"/>
      <c r="AK797" s="191"/>
      <c r="AM797" s="191"/>
      <c r="AN797" s="191"/>
      <c r="AQ797" s="179"/>
      <c r="AR797" s="192"/>
      <c r="AS797" s="192"/>
      <c r="AU797" s="192"/>
      <c r="AV797" s="192"/>
      <c r="AY797" s="179"/>
      <c r="BA797" s="192"/>
      <c r="BB797" s="192"/>
      <c r="BD797" s="192"/>
      <c r="BE797" s="192"/>
      <c r="BH797" s="179"/>
      <c r="BI797" s="192"/>
      <c r="BJ797" s="192"/>
      <c r="BL797" s="192"/>
      <c r="BM797" s="192"/>
      <c r="BP797" s="179"/>
    </row>
    <row r="798">
      <c r="B798" s="189"/>
      <c r="C798" s="189"/>
      <c r="E798" s="189"/>
      <c r="F798" s="189"/>
      <c r="I798" s="179"/>
      <c r="J798" s="189"/>
      <c r="K798" s="189"/>
      <c r="M798" s="189"/>
      <c r="N798" s="189"/>
      <c r="Q798" s="179"/>
      <c r="S798" s="189"/>
      <c r="T798" s="189"/>
      <c r="V798" s="189"/>
      <c r="W798" s="189"/>
      <c r="Z798" s="179"/>
      <c r="AA798" s="189"/>
      <c r="AB798" s="189"/>
      <c r="AD798" s="189"/>
      <c r="AE798" s="189"/>
      <c r="AH798" s="179"/>
      <c r="AJ798" s="191"/>
      <c r="AK798" s="191"/>
      <c r="AM798" s="191"/>
      <c r="AN798" s="191"/>
      <c r="AQ798" s="179"/>
      <c r="AR798" s="192"/>
      <c r="AS798" s="192"/>
      <c r="AU798" s="192"/>
      <c r="AV798" s="192"/>
      <c r="AY798" s="179"/>
      <c r="BA798" s="192"/>
      <c r="BB798" s="192"/>
      <c r="BD798" s="192"/>
      <c r="BE798" s="192"/>
      <c r="BH798" s="179"/>
      <c r="BI798" s="192"/>
      <c r="BJ798" s="192"/>
      <c r="BL798" s="192"/>
      <c r="BM798" s="192"/>
      <c r="BP798" s="179"/>
    </row>
    <row r="799">
      <c r="B799" s="189"/>
      <c r="C799" s="189"/>
      <c r="E799" s="189"/>
      <c r="F799" s="189"/>
      <c r="I799" s="179"/>
      <c r="J799" s="189"/>
      <c r="K799" s="189"/>
      <c r="M799" s="189"/>
      <c r="N799" s="189"/>
      <c r="Q799" s="179"/>
      <c r="S799" s="189"/>
      <c r="T799" s="189"/>
      <c r="V799" s="189"/>
      <c r="W799" s="189"/>
      <c r="Z799" s="179"/>
      <c r="AA799" s="189"/>
      <c r="AB799" s="189"/>
      <c r="AD799" s="189"/>
      <c r="AE799" s="189"/>
      <c r="AH799" s="179"/>
      <c r="AJ799" s="191"/>
      <c r="AK799" s="191"/>
      <c r="AM799" s="191"/>
      <c r="AN799" s="191"/>
      <c r="AQ799" s="179"/>
      <c r="AR799" s="192"/>
      <c r="AS799" s="192"/>
      <c r="AU799" s="192"/>
      <c r="AV799" s="192"/>
      <c r="AY799" s="179"/>
      <c r="BA799" s="192"/>
      <c r="BB799" s="192"/>
      <c r="BD799" s="192"/>
      <c r="BE799" s="192"/>
      <c r="BH799" s="179"/>
      <c r="BI799" s="192"/>
      <c r="BJ799" s="192"/>
      <c r="BL799" s="192"/>
      <c r="BM799" s="192"/>
      <c r="BP799" s="179"/>
    </row>
    <row r="800">
      <c r="B800" s="189"/>
      <c r="C800" s="189"/>
      <c r="E800" s="189"/>
      <c r="F800" s="189"/>
      <c r="I800" s="179"/>
      <c r="J800" s="189"/>
      <c r="K800" s="189"/>
      <c r="M800" s="189"/>
      <c r="N800" s="189"/>
      <c r="Q800" s="179"/>
      <c r="S800" s="189"/>
      <c r="T800" s="189"/>
      <c r="V800" s="189"/>
      <c r="W800" s="189"/>
      <c r="Z800" s="179"/>
      <c r="AA800" s="189"/>
      <c r="AB800" s="189"/>
      <c r="AD800" s="189"/>
      <c r="AE800" s="189"/>
      <c r="AH800" s="179"/>
      <c r="AJ800" s="191"/>
      <c r="AK800" s="191"/>
      <c r="AM800" s="191"/>
      <c r="AN800" s="191"/>
      <c r="AQ800" s="179"/>
      <c r="AR800" s="192"/>
      <c r="AS800" s="192"/>
      <c r="AU800" s="192"/>
      <c r="AV800" s="192"/>
      <c r="AY800" s="179"/>
      <c r="BA800" s="192"/>
      <c r="BB800" s="192"/>
      <c r="BD800" s="192"/>
      <c r="BE800" s="192"/>
      <c r="BH800" s="179"/>
      <c r="BI800" s="192"/>
      <c r="BJ800" s="192"/>
      <c r="BL800" s="192"/>
      <c r="BM800" s="192"/>
      <c r="BP800" s="179"/>
    </row>
    <row r="801">
      <c r="B801" s="189"/>
      <c r="C801" s="189"/>
      <c r="E801" s="189"/>
      <c r="F801" s="189"/>
      <c r="I801" s="179"/>
      <c r="J801" s="189"/>
      <c r="K801" s="189"/>
      <c r="M801" s="189"/>
      <c r="N801" s="189"/>
      <c r="Q801" s="179"/>
      <c r="S801" s="189"/>
      <c r="T801" s="189"/>
      <c r="V801" s="189"/>
      <c r="W801" s="189"/>
      <c r="Z801" s="179"/>
      <c r="AA801" s="189"/>
      <c r="AB801" s="189"/>
      <c r="AD801" s="189"/>
      <c r="AE801" s="189"/>
      <c r="AH801" s="179"/>
      <c r="AJ801" s="191"/>
      <c r="AK801" s="191"/>
      <c r="AM801" s="191"/>
      <c r="AN801" s="191"/>
      <c r="AQ801" s="179"/>
      <c r="AR801" s="192"/>
      <c r="AS801" s="192"/>
      <c r="AU801" s="192"/>
      <c r="AV801" s="192"/>
      <c r="AY801" s="179"/>
      <c r="BA801" s="192"/>
      <c r="BB801" s="192"/>
      <c r="BD801" s="192"/>
      <c r="BE801" s="192"/>
      <c r="BH801" s="179"/>
      <c r="BI801" s="192"/>
      <c r="BJ801" s="192"/>
      <c r="BL801" s="192"/>
      <c r="BM801" s="192"/>
      <c r="BP801" s="179"/>
    </row>
    <row r="802">
      <c r="B802" s="189"/>
      <c r="C802" s="189"/>
      <c r="E802" s="189"/>
      <c r="F802" s="189"/>
      <c r="I802" s="179"/>
      <c r="J802" s="189"/>
      <c r="K802" s="189"/>
      <c r="M802" s="189"/>
      <c r="N802" s="189"/>
      <c r="Q802" s="179"/>
      <c r="S802" s="189"/>
      <c r="T802" s="189"/>
      <c r="V802" s="189"/>
      <c r="W802" s="189"/>
      <c r="Z802" s="179"/>
      <c r="AA802" s="189"/>
      <c r="AB802" s="189"/>
      <c r="AD802" s="189"/>
      <c r="AE802" s="189"/>
      <c r="AH802" s="179"/>
      <c r="AJ802" s="191"/>
      <c r="AK802" s="191"/>
      <c r="AM802" s="191"/>
      <c r="AN802" s="191"/>
      <c r="AQ802" s="179"/>
      <c r="AR802" s="192"/>
      <c r="AS802" s="192"/>
      <c r="AU802" s="192"/>
      <c r="AV802" s="192"/>
      <c r="AY802" s="179"/>
      <c r="BA802" s="192"/>
      <c r="BB802" s="192"/>
      <c r="BD802" s="192"/>
      <c r="BE802" s="192"/>
      <c r="BH802" s="179"/>
      <c r="BI802" s="192"/>
      <c r="BJ802" s="192"/>
      <c r="BL802" s="192"/>
      <c r="BM802" s="192"/>
      <c r="BP802" s="179"/>
    </row>
    <row r="803">
      <c r="B803" s="189"/>
      <c r="C803" s="189"/>
      <c r="E803" s="189"/>
      <c r="F803" s="189"/>
      <c r="I803" s="179"/>
      <c r="J803" s="189"/>
      <c r="K803" s="189"/>
      <c r="M803" s="189"/>
      <c r="N803" s="189"/>
      <c r="Q803" s="179"/>
      <c r="S803" s="189"/>
      <c r="T803" s="189"/>
      <c r="V803" s="189"/>
      <c r="W803" s="189"/>
      <c r="Z803" s="179"/>
      <c r="AA803" s="189"/>
      <c r="AB803" s="189"/>
      <c r="AD803" s="189"/>
      <c r="AE803" s="189"/>
      <c r="AH803" s="179"/>
      <c r="AJ803" s="191"/>
      <c r="AK803" s="191"/>
      <c r="AM803" s="191"/>
      <c r="AN803" s="191"/>
      <c r="AQ803" s="179"/>
      <c r="AR803" s="192"/>
      <c r="AS803" s="192"/>
      <c r="AU803" s="192"/>
      <c r="AV803" s="192"/>
      <c r="AY803" s="179"/>
      <c r="BA803" s="192"/>
      <c r="BB803" s="192"/>
      <c r="BD803" s="192"/>
      <c r="BE803" s="192"/>
      <c r="BH803" s="179"/>
      <c r="BI803" s="192"/>
      <c r="BJ803" s="192"/>
      <c r="BL803" s="192"/>
      <c r="BM803" s="192"/>
      <c r="BP803" s="179"/>
    </row>
    <row r="804">
      <c r="B804" s="189"/>
      <c r="C804" s="189"/>
      <c r="E804" s="189"/>
      <c r="F804" s="189"/>
      <c r="I804" s="179"/>
      <c r="J804" s="189"/>
      <c r="K804" s="189"/>
      <c r="M804" s="189"/>
      <c r="N804" s="189"/>
      <c r="Q804" s="179"/>
      <c r="S804" s="189"/>
      <c r="T804" s="189"/>
      <c r="V804" s="189"/>
      <c r="W804" s="189"/>
      <c r="Z804" s="179"/>
      <c r="AA804" s="189"/>
      <c r="AB804" s="189"/>
      <c r="AD804" s="189"/>
      <c r="AE804" s="189"/>
      <c r="AH804" s="179"/>
      <c r="AJ804" s="191"/>
      <c r="AK804" s="191"/>
      <c r="AM804" s="191"/>
      <c r="AN804" s="191"/>
      <c r="AQ804" s="179"/>
      <c r="AR804" s="192"/>
      <c r="AS804" s="192"/>
      <c r="AU804" s="192"/>
      <c r="AV804" s="192"/>
      <c r="AY804" s="179"/>
      <c r="BA804" s="192"/>
      <c r="BB804" s="192"/>
      <c r="BD804" s="192"/>
      <c r="BE804" s="192"/>
      <c r="BH804" s="179"/>
      <c r="BI804" s="192"/>
      <c r="BJ804" s="192"/>
      <c r="BL804" s="192"/>
      <c r="BM804" s="192"/>
      <c r="BP804" s="179"/>
    </row>
    <row r="805">
      <c r="B805" s="189"/>
      <c r="C805" s="189"/>
      <c r="E805" s="189"/>
      <c r="F805" s="189"/>
      <c r="I805" s="179"/>
      <c r="J805" s="189"/>
      <c r="K805" s="189"/>
      <c r="M805" s="189"/>
      <c r="N805" s="189"/>
      <c r="Q805" s="179"/>
      <c r="S805" s="189"/>
      <c r="T805" s="189"/>
      <c r="V805" s="189"/>
      <c r="W805" s="189"/>
      <c r="Z805" s="179"/>
      <c r="AA805" s="189"/>
      <c r="AB805" s="189"/>
      <c r="AD805" s="189"/>
      <c r="AE805" s="189"/>
      <c r="AH805" s="179"/>
      <c r="AJ805" s="191"/>
      <c r="AK805" s="191"/>
      <c r="AM805" s="191"/>
      <c r="AN805" s="191"/>
      <c r="AQ805" s="179"/>
      <c r="AR805" s="192"/>
      <c r="AS805" s="192"/>
      <c r="AU805" s="192"/>
      <c r="AV805" s="192"/>
      <c r="AY805" s="179"/>
      <c r="BA805" s="192"/>
      <c r="BB805" s="192"/>
      <c r="BD805" s="192"/>
      <c r="BE805" s="192"/>
      <c r="BH805" s="179"/>
      <c r="BI805" s="192"/>
      <c r="BJ805" s="192"/>
      <c r="BL805" s="192"/>
      <c r="BM805" s="192"/>
      <c r="BP805" s="179"/>
    </row>
    <row r="806">
      <c r="B806" s="189"/>
      <c r="C806" s="189"/>
      <c r="E806" s="189"/>
      <c r="F806" s="189"/>
      <c r="I806" s="179"/>
      <c r="J806" s="189"/>
      <c r="K806" s="189"/>
      <c r="M806" s="189"/>
      <c r="N806" s="189"/>
      <c r="Q806" s="179"/>
      <c r="S806" s="189"/>
      <c r="T806" s="189"/>
      <c r="V806" s="189"/>
      <c r="W806" s="189"/>
      <c r="Z806" s="179"/>
      <c r="AA806" s="189"/>
      <c r="AB806" s="189"/>
      <c r="AD806" s="189"/>
      <c r="AE806" s="189"/>
      <c r="AH806" s="179"/>
      <c r="AJ806" s="191"/>
      <c r="AK806" s="191"/>
      <c r="AM806" s="191"/>
      <c r="AN806" s="191"/>
      <c r="AQ806" s="179"/>
      <c r="AR806" s="192"/>
      <c r="AS806" s="192"/>
      <c r="AU806" s="192"/>
      <c r="AV806" s="192"/>
      <c r="AY806" s="179"/>
      <c r="BA806" s="192"/>
      <c r="BB806" s="192"/>
      <c r="BD806" s="192"/>
      <c r="BE806" s="192"/>
      <c r="BH806" s="179"/>
      <c r="BI806" s="192"/>
      <c r="BJ806" s="192"/>
      <c r="BL806" s="192"/>
      <c r="BM806" s="192"/>
      <c r="BP806" s="179"/>
    </row>
    <row r="807">
      <c r="B807" s="189"/>
      <c r="C807" s="189"/>
      <c r="E807" s="189"/>
      <c r="F807" s="189"/>
      <c r="I807" s="179"/>
      <c r="J807" s="189"/>
      <c r="K807" s="189"/>
      <c r="M807" s="189"/>
      <c r="N807" s="189"/>
      <c r="Q807" s="179"/>
      <c r="S807" s="189"/>
      <c r="T807" s="189"/>
      <c r="V807" s="189"/>
      <c r="W807" s="189"/>
      <c r="Z807" s="179"/>
      <c r="AA807" s="189"/>
      <c r="AB807" s="189"/>
      <c r="AD807" s="189"/>
      <c r="AE807" s="189"/>
      <c r="AH807" s="179"/>
      <c r="AJ807" s="191"/>
      <c r="AK807" s="191"/>
      <c r="AM807" s="191"/>
      <c r="AN807" s="191"/>
      <c r="AQ807" s="179"/>
      <c r="AR807" s="192"/>
      <c r="AS807" s="192"/>
      <c r="AU807" s="192"/>
      <c r="AV807" s="192"/>
      <c r="AY807" s="179"/>
      <c r="BA807" s="192"/>
      <c r="BB807" s="192"/>
      <c r="BD807" s="192"/>
      <c r="BE807" s="192"/>
      <c r="BH807" s="179"/>
      <c r="BI807" s="192"/>
      <c r="BJ807" s="192"/>
      <c r="BL807" s="192"/>
      <c r="BM807" s="192"/>
      <c r="BP807" s="179"/>
    </row>
    <row r="808">
      <c r="B808" s="189"/>
      <c r="C808" s="189"/>
      <c r="E808" s="189"/>
      <c r="F808" s="189"/>
      <c r="I808" s="179"/>
      <c r="J808" s="189"/>
      <c r="K808" s="189"/>
      <c r="M808" s="189"/>
      <c r="N808" s="189"/>
      <c r="Q808" s="179"/>
      <c r="S808" s="189"/>
      <c r="T808" s="189"/>
      <c r="V808" s="189"/>
      <c r="W808" s="189"/>
      <c r="Z808" s="179"/>
      <c r="AA808" s="189"/>
      <c r="AB808" s="189"/>
      <c r="AD808" s="189"/>
      <c r="AE808" s="189"/>
      <c r="AH808" s="179"/>
      <c r="AJ808" s="191"/>
      <c r="AK808" s="191"/>
      <c r="AM808" s="191"/>
      <c r="AN808" s="191"/>
      <c r="AQ808" s="179"/>
      <c r="AR808" s="192"/>
      <c r="AS808" s="192"/>
      <c r="AU808" s="192"/>
      <c r="AV808" s="192"/>
      <c r="AY808" s="179"/>
      <c r="BA808" s="192"/>
      <c r="BB808" s="192"/>
      <c r="BD808" s="192"/>
      <c r="BE808" s="192"/>
      <c r="BH808" s="179"/>
      <c r="BI808" s="192"/>
      <c r="BJ808" s="192"/>
      <c r="BL808" s="192"/>
      <c r="BM808" s="192"/>
      <c r="BP808" s="179"/>
    </row>
    <row r="809">
      <c r="B809" s="189"/>
      <c r="C809" s="189"/>
      <c r="E809" s="189"/>
      <c r="F809" s="189"/>
      <c r="I809" s="179"/>
      <c r="J809" s="189"/>
      <c r="K809" s="189"/>
      <c r="M809" s="189"/>
      <c r="N809" s="189"/>
      <c r="Q809" s="179"/>
      <c r="S809" s="189"/>
      <c r="T809" s="189"/>
      <c r="V809" s="189"/>
      <c r="W809" s="189"/>
      <c r="Z809" s="179"/>
      <c r="AA809" s="189"/>
      <c r="AB809" s="189"/>
      <c r="AD809" s="189"/>
      <c r="AE809" s="189"/>
      <c r="AH809" s="179"/>
      <c r="AJ809" s="191"/>
      <c r="AK809" s="191"/>
      <c r="AM809" s="191"/>
      <c r="AN809" s="191"/>
      <c r="AQ809" s="179"/>
      <c r="AR809" s="192"/>
      <c r="AS809" s="192"/>
      <c r="AU809" s="192"/>
      <c r="AV809" s="192"/>
      <c r="AY809" s="179"/>
      <c r="BA809" s="192"/>
      <c r="BB809" s="192"/>
      <c r="BD809" s="192"/>
      <c r="BE809" s="192"/>
      <c r="BH809" s="179"/>
      <c r="BI809" s="192"/>
      <c r="BJ809" s="192"/>
      <c r="BL809" s="192"/>
      <c r="BM809" s="192"/>
      <c r="BP809" s="179"/>
    </row>
    <row r="810">
      <c r="B810" s="189"/>
      <c r="C810" s="189"/>
      <c r="E810" s="189"/>
      <c r="F810" s="189"/>
      <c r="I810" s="179"/>
      <c r="J810" s="189"/>
      <c r="K810" s="189"/>
      <c r="M810" s="189"/>
      <c r="N810" s="189"/>
      <c r="Q810" s="179"/>
      <c r="S810" s="189"/>
      <c r="T810" s="189"/>
      <c r="V810" s="189"/>
      <c r="W810" s="189"/>
      <c r="Z810" s="179"/>
      <c r="AA810" s="189"/>
      <c r="AB810" s="189"/>
      <c r="AD810" s="189"/>
      <c r="AE810" s="189"/>
      <c r="AH810" s="179"/>
      <c r="AJ810" s="191"/>
      <c r="AK810" s="191"/>
      <c r="AM810" s="191"/>
      <c r="AN810" s="191"/>
      <c r="AQ810" s="179"/>
      <c r="AR810" s="192"/>
      <c r="AS810" s="192"/>
      <c r="AU810" s="192"/>
      <c r="AV810" s="192"/>
      <c r="AY810" s="179"/>
      <c r="BA810" s="192"/>
      <c r="BB810" s="192"/>
      <c r="BD810" s="192"/>
      <c r="BE810" s="192"/>
      <c r="BH810" s="179"/>
      <c r="BI810" s="192"/>
      <c r="BJ810" s="192"/>
      <c r="BL810" s="192"/>
      <c r="BM810" s="192"/>
      <c r="BP810" s="179"/>
    </row>
    <row r="811">
      <c r="B811" s="189"/>
      <c r="C811" s="189"/>
      <c r="E811" s="189"/>
      <c r="F811" s="189"/>
      <c r="I811" s="179"/>
      <c r="J811" s="189"/>
      <c r="K811" s="189"/>
      <c r="M811" s="189"/>
      <c r="N811" s="189"/>
      <c r="Q811" s="179"/>
      <c r="S811" s="189"/>
      <c r="T811" s="189"/>
      <c r="V811" s="189"/>
      <c r="W811" s="189"/>
      <c r="Z811" s="179"/>
      <c r="AA811" s="189"/>
      <c r="AB811" s="189"/>
      <c r="AD811" s="189"/>
      <c r="AE811" s="189"/>
      <c r="AH811" s="179"/>
      <c r="AJ811" s="191"/>
      <c r="AK811" s="191"/>
      <c r="AM811" s="191"/>
      <c r="AN811" s="191"/>
      <c r="AQ811" s="179"/>
      <c r="AR811" s="192"/>
      <c r="AS811" s="192"/>
      <c r="AU811" s="192"/>
      <c r="AV811" s="192"/>
      <c r="AY811" s="179"/>
      <c r="BA811" s="192"/>
      <c r="BB811" s="192"/>
      <c r="BD811" s="192"/>
      <c r="BE811" s="192"/>
      <c r="BH811" s="179"/>
      <c r="BI811" s="192"/>
      <c r="BJ811" s="192"/>
      <c r="BL811" s="192"/>
      <c r="BM811" s="192"/>
      <c r="BP811" s="179"/>
    </row>
    <row r="812">
      <c r="B812" s="189"/>
      <c r="C812" s="189"/>
      <c r="E812" s="189"/>
      <c r="F812" s="189"/>
      <c r="I812" s="179"/>
      <c r="J812" s="189"/>
      <c r="K812" s="189"/>
      <c r="M812" s="189"/>
      <c r="N812" s="189"/>
      <c r="Q812" s="179"/>
      <c r="S812" s="189"/>
      <c r="T812" s="189"/>
      <c r="V812" s="189"/>
      <c r="W812" s="189"/>
      <c r="Z812" s="179"/>
      <c r="AA812" s="189"/>
      <c r="AB812" s="189"/>
      <c r="AD812" s="189"/>
      <c r="AE812" s="189"/>
      <c r="AH812" s="179"/>
      <c r="AJ812" s="191"/>
      <c r="AK812" s="191"/>
      <c r="AM812" s="191"/>
      <c r="AN812" s="191"/>
      <c r="AQ812" s="179"/>
      <c r="AR812" s="192"/>
      <c r="AS812" s="192"/>
      <c r="AU812" s="192"/>
      <c r="AV812" s="192"/>
      <c r="AY812" s="179"/>
      <c r="BA812" s="192"/>
      <c r="BB812" s="192"/>
      <c r="BD812" s="192"/>
      <c r="BE812" s="192"/>
      <c r="BH812" s="179"/>
      <c r="BI812" s="192"/>
      <c r="BJ812" s="192"/>
      <c r="BL812" s="192"/>
      <c r="BM812" s="192"/>
      <c r="BP812" s="179"/>
    </row>
    <row r="813">
      <c r="B813" s="189"/>
      <c r="C813" s="189"/>
      <c r="E813" s="189"/>
      <c r="F813" s="189"/>
      <c r="I813" s="179"/>
      <c r="J813" s="189"/>
      <c r="K813" s="189"/>
      <c r="M813" s="189"/>
      <c r="N813" s="189"/>
      <c r="Q813" s="179"/>
      <c r="S813" s="189"/>
      <c r="T813" s="189"/>
      <c r="V813" s="189"/>
      <c r="W813" s="189"/>
      <c r="Z813" s="179"/>
      <c r="AA813" s="189"/>
      <c r="AB813" s="189"/>
      <c r="AD813" s="189"/>
      <c r="AE813" s="189"/>
      <c r="AH813" s="179"/>
      <c r="AJ813" s="191"/>
      <c r="AK813" s="191"/>
      <c r="AM813" s="191"/>
      <c r="AN813" s="191"/>
      <c r="AQ813" s="179"/>
      <c r="AR813" s="192"/>
      <c r="AS813" s="192"/>
      <c r="AU813" s="192"/>
      <c r="AV813" s="192"/>
      <c r="AY813" s="179"/>
      <c r="BA813" s="192"/>
      <c r="BB813" s="192"/>
      <c r="BD813" s="192"/>
      <c r="BE813" s="192"/>
      <c r="BH813" s="179"/>
      <c r="BI813" s="192"/>
      <c r="BJ813" s="192"/>
      <c r="BL813" s="192"/>
      <c r="BM813" s="192"/>
      <c r="BP813" s="179"/>
    </row>
    <row r="814">
      <c r="B814" s="189"/>
      <c r="C814" s="189"/>
      <c r="E814" s="189"/>
      <c r="F814" s="189"/>
      <c r="I814" s="179"/>
      <c r="J814" s="189"/>
      <c r="K814" s="189"/>
      <c r="M814" s="189"/>
      <c r="N814" s="189"/>
      <c r="Q814" s="179"/>
      <c r="S814" s="189"/>
      <c r="T814" s="189"/>
      <c r="V814" s="189"/>
      <c r="W814" s="189"/>
      <c r="Z814" s="179"/>
      <c r="AA814" s="189"/>
      <c r="AB814" s="189"/>
      <c r="AD814" s="189"/>
      <c r="AE814" s="189"/>
      <c r="AH814" s="179"/>
      <c r="AJ814" s="191"/>
      <c r="AK814" s="191"/>
      <c r="AM814" s="191"/>
      <c r="AN814" s="191"/>
      <c r="AQ814" s="179"/>
      <c r="AR814" s="192"/>
      <c r="AS814" s="192"/>
      <c r="AU814" s="192"/>
      <c r="AV814" s="192"/>
      <c r="AY814" s="179"/>
      <c r="BA814" s="192"/>
      <c r="BB814" s="192"/>
      <c r="BD814" s="192"/>
      <c r="BE814" s="192"/>
      <c r="BH814" s="179"/>
      <c r="BI814" s="192"/>
      <c r="BJ814" s="192"/>
      <c r="BL814" s="192"/>
      <c r="BM814" s="192"/>
      <c r="BP814" s="179"/>
    </row>
    <row r="815">
      <c r="B815" s="189"/>
      <c r="C815" s="189"/>
      <c r="E815" s="189"/>
      <c r="F815" s="189"/>
      <c r="I815" s="179"/>
      <c r="J815" s="189"/>
      <c r="K815" s="189"/>
      <c r="M815" s="189"/>
      <c r="N815" s="189"/>
      <c r="Q815" s="179"/>
      <c r="S815" s="189"/>
      <c r="T815" s="189"/>
      <c r="V815" s="189"/>
      <c r="W815" s="189"/>
      <c r="Z815" s="179"/>
      <c r="AA815" s="189"/>
      <c r="AB815" s="189"/>
      <c r="AD815" s="189"/>
      <c r="AE815" s="189"/>
      <c r="AH815" s="179"/>
      <c r="AJ815" s="191"/>
      <c r="AK815" s="191"/>
      <c r="AM815" s="191"/>
      <c r="AN815" s="191"/>
      <c r="AQ815" s="179"/>
      <c r="AR815" s="192"/>
      <c r="AS815" s="192"/>
      <c r="AU815" s="192"/>
      <c r="AV815" s="192"/>
      <c r="AY815" s="179"/>
      <c r="BA815" s="192"/>
      <c r="BB815" s="192"/>
      <c r="BD815" s="192"/>
      <c r="BE815" s="192"/>
      <c r="BH815" s="179"/>
      <c r="BI815" s="192"/>
      <c r="BJ815" s="192"/>
      <c r="BL815" s="192"/>
      <c r="BM815" s="192"/>
      <c r="BP815" s="179"/>
    </row>
    <row r="816">
      <c r="B816" s="189"/>
      <c r="C816" s="189"/>
      <c r="E816" s="189"/>
      <c r="F816" s="189"/>
      <c r="I816" s="179"/>
      <c r="J816" s="189"/>
      <c r="K816" s="189"/>
      <c r="M816" s="189"/>
      <c r="N816" s="189"/>
      <c r="Q816" s="179"/>
      <c r="S816" s="189"/>
      <c r="T816" s="189"/>
      <c r="V816" s="189"/>
      <c r="W816" s="189"/>
      <c r="Z816" s="179"/>
      <c r="AA816" s="189"/>
      <c r="AB816" s="189"/>
      <c r="AD816" s="189"/>
      <c r="AE816" s="189"/>
      <c r="AH816" s="179"/>
      <c r="AJ816" s="191"/>
      <c r="AK816" s="191"/>
      <c r="AM816" s="191"/>
      <c r="AN816" s="191"/>
      <c r="AQ816" s="179"/>
      <c r="AR816" s="192"/>
      <c r="AS816" s="192"/>
      <c r="AU816" s="192"/>
      <c r="AV816" s="192"/>
      <c r="AY816" s="179"/>
      <c r="BA816" s="192"/>
      <c r="BB816" s="192"/>
      <c r="BD816" s="192"/>
      <c r="BE816" s="192"/>
      <c r="BH816" s="179"/>
      <c r="BI816" s="192"/>
      <c r="BJ816" s="192"/>
      <c r="BL816" s="192"/>
      <c r="BM816" s="192"/>
      <c r="BP816" s="179"/>
    </row>
    <row r="817">
      <c r="B817" s="189"/>
      <c r="C817" s="189"/>
      <c r="E817" s="189"/>
      <c r="F817" s="189"/>
      <c r="I817" s="179"/>
      <c r="J817" s="189"/>
      <c r="K817" s="189"/>
      <c r="M817" s="189"/>
      <c r="N817" s="189"/>
      <c r="Q817" s="179"/>
      <c r="S817" s="189"/>
      <c r="T817" s="189"/>
      <c r="V817" s="189"/>
      <c r="W817" s="189"/>
      <c r="Z817" s="179"/>
      <c r="AA817" s="189"/>
      <c r="AB817" s="189"/>
      <c r="AD817" s="189"/>
      <c r="AE817" s="189"/>
      <c r="AH817" s="179"/>
      <c r="AJ817" s="191"/>
      <c r="AK817" s="191"/>
      <c r="AM817" s="191"/>
      <c r="AN817" s="191"/>
      <c r="AQ817" s="179"/>
      <c r="AR817" s="192"/>
      <c r="AS817" s="192"/>
      <c r="AU817" s="192"/>
      <c r="AV817" s="192"/>
      <c r="AY817" s="179"/>
      <c r="BA817" s="192"/>
      <c r="BB817" s="192"/>
      <c r="BD817" s="192"/>
      <c r="BE817" s="192"/>
      <c r="BH817" s="179"/>
      <c r="BI817" s="192"/>
      <c r="BJ817" s="192"/>
      <c r="BL817" s="192"/>
      <c r="BM817" s="192"/>
      <c r="BP817" s="179"/>
    </row>
    <row r="818">
      <c r="B818" s="189"/>
      <c r="C818" s="189"/>
      <c r="E818" s="189"/>
      <c r="F818" s="189"/>
      <c r="I818" s="179"/>
      <c r="J818" s="189"/>
      <c r="K818" s="189"/>
      <c r="M818" s="189"/>
      <c r="N818" s="189"/>
      <c r="Q818" s="179"/>
      <c r="S818" s="189"/>
      <c r="T818" s="189"/>
      <c r="V818" s="189"/>
      <c r="W818" s="189"/>
      <c r="Z818" s="179"/>
      <c r="AA818" s="189"/>
      <c r="AB818" s="189"/>
      <c r="AD818" s="189"/>
      <c r="AE818" s="189"/>
      <c r="AH818" s="179"/>
      <c r="AJ818" s="191"/>
      <c r="AK818" s="191"/>
      <c r="AM818" s="191"/>
      <c r="AN818" s="191"/>
      <c r="AQ818" s="179"/>
      <c r="AR818" s="192"/>
      <c r="AS818" s="192"/>
      <c r="AU818" s="192"/>
      <c r="AV818" s="192"/>
      <c r="AY818" s="179"/>
      <c r="BA818" s="192"/>
      <c r="BB818" s="192"/>
      <c r="BD818" s="192"/>
      <c r="BE818" s="192"/>
      <c r="BH818" s="179"/>
      <c r="BI818" s="192"/>
      <c r="BJ818" s="192"/>
      <c r="BL818" s="192"/>
      <c r="BM818" s="192"/>
      <c r="BP818" s="179"/>
    </row>
    <row r="819">
      <c r="B819" s="189"/>
      <c r="C819" s="189"/>
      <c r="E819" s="189"/>
      <c r="F819" s="189"/>
      <c r="I819" s="179"/>
      <c r="J819" s="189"/>
      <c r="K819" s="189"/>
      <c r="M819" s="189"/>
      <c r="N819" s="189"/>
      <c r="Q819" s="179"/>
      <c r="S819" s="189"/>
      <c r="T819" s="189"/>
      <c r="V819" s="189"/>
      <c r="W819" s="189"/>
      <c r="Z819" s="179"/>
      <c r="AA819" s="189"/>
      <c r="AB819" s="189"/>
      <c r="AD819" s="189"/>
      <c r="AE819" s="189"/>
      <c r="AH819" s="179"/>
      <c r="AJ819" s="191"/>
      <c r="AK819" s="191"/>
      <c r="AM819" s="191"/>
      <c r="AN819" s="191"/>
      <c r="AQ819" s="179"/>
      <c r="AR819" s="192"/>
      <c r="AS819" s="192"/>
      <c r="AU819" s="192"/>
      <c r="AV819" s="192"/>
      <c r="AY819" s="179"/>
      <c r="BA819" s="192"/>
      <c r="BB819" s="192"/>
      <c r="BD819" s="192"/>
      <c r="BE819" s="192"/>
      <c r="BH819" s="179"/>
      <c r="BI819" s="192"/>
      <c r="BJ819" s="192"/>
      <c r="BL819" s="192"/>
      <c r="BM819" s="192"/>
      <c r="BP819" s="179"/>
    </row>
    <row r="820">
      <c r="B820" s="189"/>
      <c r="C820" s="189"/>
      <c r="E820" s="189"/>
      <c r="F820" s="189"/>
      <c r="I820" s="179"/>
      <c r="J820" s="189"/>
      <c r="K820" s="189"/>
      <c r="M820" s="189"/>
      <c r="N820" s="189"/>
      <c r="Q820" s="179"/>
      <c r="S820" s="189"/>
      <c r="T820" s="189"/>
      <c r="V820" s="189"/>
      <c r="W820" s="189"/>
      <c r="Z820" s="179"/>
      <c r="AA820" s="189"/>
      <c r="AB820" s="189"/>
      <c r="AD820" s="189"/>
      <c r="AE820" s="189"/>
      <c r="AH820" s="179"/>
      <c r="AJ820" s="191"/>
      <c r="AK820" s="191"/>
      <c r="AM820" s="191"/>
      <c r="AN820" s="191"/>
      <c r="AQ820" s="179"/>
      <c r="AR820" s="192"/>
      <c r="AS820" s="192"/>
      <c r="AU820" s="192"/>
      <c r="AV820" s="192"/>
      <c r="AY820" s="179"/>
      <c r="BA820" s="192"/>
      <c r="BB820" s="192"/>
      <c r="BD820" s="192"/>
      <c r="BE820" s="192"/>
      <c r="BH820" s="179"/>
      <c r="BI820" s="192"/>
      <c r="BJ820" s="192"/>
      <c r="BL820" s="192"/>
      <c r="BM820" s="192"/>
      <c r="BP820" s="179"/>
    </row>
    <row r="821">
      <c r="B821" s="189"/>
      <c r="C821" s="189"/>
      <c r="E821" s="189"/>
      <c r="F821" s="189"/>
      <c r="I821" s="179"/>
      <c r="J821" s="189"/>
      <c r="K821" s="189"/>
      <c r="M821" s="189"/>
      <c r="N821" s="189"/>
      <c r="Q821" s="179"/>
      <c r="S821" s="189"/>
      <c r="T821" s="189"/>
      <c r="V821" s="189"/>
      <c r="W821" s="189"/>
      <c r="Z821" s="179"/>
      <c r="AA821" s="189"/>
      <c r="AB821" s="189"/>
      <c r="AD821" s="189"/>
      <c r="AE821" s="189"/>
      <c r="AH821" s="179"/>
      <c r="AJ821" s="191"/>
      <c r="AK821" s="191"/>
      <c r="AM821" s="191"/>
      <c r="AN821" s="191"/>
      <c r="AQ821" s="179"/>
      <c r="AR821" s="192"/>
      <c r="AS821" s="192"/>
      <c r="AU821" s="192"/>
      <c r="AV821" s="192"/>
      <c r="AY821" s="179"/>
      <c r="BA821" s="192"/>
      <c r="BB821" s="192"/>
      <c r="BD821" s="192"/>
      <c r="BE821" s="192"/>
      <c r="BH821" s="179"/>
      <c r="BI821" s="192"/>
      <c r="BJ821" s="192"/>
      <c r="BL821" s="192"/>
      <c r="BM821" s="192"/>
      <c r="BP821" s="179"/>
    </row>
    <row r="822">
      <c r="B822" s="189"/>
      <c r="C822" s="189"/>
      <c r="E822" s="189"/>
      <c r="F822" s="189"/>
      <c r="I822" s="179"/>
      <c r="J822" s="189"/>
      <c r="K822" s="189"/>
      <c r="M822" s="189"/>
      <c r="N822" s="189"/>
      <c r="Q822" s="179"/>
      <c r="S822" s="189"/>
      <c r="T822" s="189"/>
      <c r="V822" s="189"/>
      <c r="W822" s="189"/>
      <c r="Z822" s="179"/>
      <c r="AA822" s="189"/>
      <c r="AB822" s="189"/>
      <c r="AD822" s="189"/>
      <c r="AE822" s="189"/>
      <c r="AH822" s="179"/>
      <c r="AJ822" s="191"/>
      <c r="AK822" s="191"/>
      <c r="AM822" s="191"/>
      <c r="AN822" s="191"/>
      <c r="AQ822" s="179"/>
      <c r="AR822" s="192"/>
      <c r="AS822" s="192"/>
      <c r="AU822" s="192"/>
      <c r="AV822" s="192"/>
      <c r="AY822" s="179"/>
      <c r="BA822" s="192"/>
      <c r="BB822" s="192"/>
      <c r="BD822" s="192"/>
      <c r="BE822" s="192"/>
      <c r="BH822" s="179"/>
      <c r="BI822" s="192"/>
      <c r="BJ822" s="192"/>
      <c r="BL822" s="192"/>
      <c r="BM822" s="192"/>
      <c r="BP822" s="179"/>
    </row>
    <row r="823">
      <c r="B823" s="189"/>
      <c r="C823" s="189"/>
      <c r="E823" s="189"/>
      <c r="F823" s="189"/>
      <c r="I823" s="179"/>
      <c r="J823" s="189"/>
      <c r="K823" s="189"/>
      <c r="M823" s="189"/>
      <c r="N823" s="189"/>
      <c r="Q823" s="179"/>
      <c r="S823" s="189"/>
      <c r="T823" s="189"/>
      <c r="V823" s="189"/>
      <c r="W823" s="189"/>
      <c r="Z823" s="179"/>
      <c r="AA823" s="189"/>
      <c r="AB823" s="189"/>
      <c r="AD823" s="189"/>
      <c r="AE823" s="189"/>
      <c r="AH823" s="179"/>
      <c r="AJ823" s="191"/>
      <c r="AK823" s="191"/>
      <c r="AM823" s="191"/>
      <c r="AN823" s="191"/>
      <c r="AQ823" s="179"/>
      <c r="AR823" s="192"/>
      <c r="AS823" s="192"/>
      <c r="AU823" s="192"/>
      <c r="AV823" s="192"/>
      <c r="AY823" s="179"/>
      <c r="BA823" s="192"/>
      <c r="BB823" s="192"/>
      <c r="BD823" s="192"/>
      <c r="BE823" s="192"/>
      <c r="BH823" s="179"/>
      <c r="BI823" s="192"/>
      <c r="BJ823" s="192"/>
      <c r="BL823" s="192"/>
      <c r="BM823" s="192"/>
      <c r="BP823" s="179"/>
    </row>
    <row r="824">
      <c r="B824" s="189"/>
      <c r="C824" s="189"/>
      <c r="E824" s="189"/>
      <c r="F824" s="189"/>
      <c r="I824" s="179"/>
      <c r="J824" s="189"/>
      <c r="K824" s="189"/>
      <c r="M824" s="189"/>
      <c r="N824" s="189"/>
      <c r="Q824" s="179"/>
      <c r="S824" s="189"/>
      <c r="T824" s="189"/>
      <c r="V824" s="189"/>
      <c r="W824" s="189"/>
      <c r="Z824" s="179"/>
      <c r="AA824" s="189"/>
      <c r="AB824" s="189"/>
      <c r="AD824" s="189"/>
      <c r="AE824" s="189"/>
      <c r="AH824" s="179"/>
      <c r="AJ824" s="191"/>
      <c r="AK824" s="191"/>
      <c r="AM824" s="191"/>
      <c r="AN824" s="191"/>
      <c r="AQ824" s="179"/>
      <c r="AR824" s="192"/>
      <c r="AS824" s="192"/>
      <c r="AU824" s="192"/>
      <c r="AV824" s="192"/>
      <c r="AY824" s="179"/>
      <c r="BA824" s="192"/>
      <c r="BB824" s="192"/>
      <c r="BD824" s="192"/>
      <c r="BE824" s="192"/>
      <c r="BH824" s="179"/>
      <c r="BI824" s="192"/>
      <c r="BJ824" s="192"/>
      <c r="BL824" s="192"/>
      <c r="BM824" s="192"/>
      <c r="BP824" s="179"/>
    </row>
    <row r="825">
      <c r="B825" s="189"/>
      <c r="C825" s="189"/>
      <c r="E825" s="189"/>
      <c r="F825" s="189"/>
      <c r="I825" s="179"/>
      <c r="J825" s="189"/>
      <c r="K825" s="189"/>
      <c r="M825" s="189"/>
      <c r="N825" s="189"/>
      <c r="Q825" s="179"/>
      <c r="S825" s="189"/>
      <c r="T825" s="189"/>
      <c r="V825" s="189"/>
      <c r="W825" s="189"/>
      <c r="Z825" s="179"/>
      <c r="AA825" s="189"/>
      <c r="AB825" s="189"/>
      <c r="AD825" s="189"/>
      <c r="AE825" s="189"/>
      <c r="AH825" s="179"/>
      <c r="AJ825" s="191"/>
      <c r="AK825" s="191"/>
      <c r="AM825" s="191"/>
      <c r="AN825" s="191"/>
      <c r="AQ825" s="179"/>
      <c r="AR825" s="192"/>
      <c r="AS825" s="192"/>
      <c r="AU825" s="192"/>
      <c r="AV825" s="192"/>
      <c r="AY825" s="179"/>
      <c r="BA825" s="192"/>
      <c r="BB825" s="192"/>
      <c r="BD825" s="192"/>
      <c r="BE825" s="192"/>
      <c r="BH825" s="179"/>
      <c r="BI825" s="192"/>
      <c r="BJ825" s="192"/>
      <c r="BL825" s="192"/>
      <c r="BM825" s="192"/>
      <c r="BP825" s="179"/>
    </row>
    <row r="826">
      <c r="B826" s="189"/>
      <c r="C826" s="189"/>
      <c r="E826" s="189"/>
      <c r="F826" s="189"/>
      <c r="I826" s="179"/>
      <c r="J826" s="189"/>
      <c r="K826" s="189"/>
      <c r="M826" s="189"/>
      <c r="N826" s="189"/>
      <c r="Q826" s="179"/>
      <c r="S826" s="189"/>
      <c r="T826" s="189"/>
      <c r="V826" s="189"/>
      <c r="W826" s="189"/>
      <c r="Z826" s="179"/>
      <c r="AA826" s="189"/>
      <c r="AB826" s="189"/>
      <c r="AD826" s="189"/>
      <c r="AE826" s="189"/>
      <c r="AH826" s="179"/>
      <c r="AJ826" s="191"/>
      <c r="AK826" s="191"/>
      <c r="AM826" s="191"/>
      <c r="AN826" s="191"/>
      <c r="AQ826" s="179"/>
      <c r="AR826" s="192"/>
      <c r="AS826" s="192"/>
      <c r="AU826" s="192"/>
      <c r="AV826" s="192"/>
      <c r="AY826" s="179"/>
      <c r="BA826" s="192"/>
      <c r="BB826" s="192"/>
      <c r="BD826" s="192"/>
      <c r="BE826" s="192"/>
      <c r="BH826" s="179"/>
      <c r="BI826" s="192"/>
      <c r="BJ826" s="192"/>
      <c r="BL826" s="192"/>
      <c r="BM826" s="192"/>
      <c r="BP826" s="179"/>
    </row>
    <row r="827">
      <c r="B827" s="189"/>
      <c r="C827" s="189"/>
      <c r="E827" s="189"/>
      <c r="F827" s="189"/>
      <c r="I827" s="179"/>
      <c r="J827" s="189"/>
      <c r="K827" s="189"/>
      <c r="M827" s="189"/>
      <c r="N827" s="189"/>
      <c r="Q827" s="179"/>
      <c r="S827" s="189"/>
      <c r="T827" s="189"/>
      <c r="V827" s="189"/>
      <c r="W827" s="189"/>
      <c r="Z827" s="179"/>
      <c r="AA827" s="189"/>
      <c r="AB827" s="189"/>
      <c r="AD827" s="189"/>
      <c r="AE827" s="189"/>
      <c r="AH827" s="179"/>
      <c r="AJ827" s="191"/>
      <c r="AK827" s="191"/>
      <c r="AM827" s="191"/>
      <c r="AN827" s="191"/>
      <c r="AQ827" s="179"/>
      <c r="AR827" s="192"/>
      <c r="AS827" s="192"/>
      <c r="AU827" s="192"/>
      <c r="AV827" s="192"/>
      <c r="AY827" s="179"/>
      <c r="BA827" s="192"/>
      <c r="BB827" s="192"/>
      <c r="BD827" s="192"/>
      <c r="BE827" s="192"/>
      <c r="BH827" s="179"/>
      <c r="BI827" s="192"/>
      <c r="BJ827" s="192"/>
      <c r="BL827" s="192"/>
      <c r="BM827" s="192"/>
      <c r="BP827" s="179"/>
    </row>
    <row r="828">
      <c r="B828" s="189"/>
      <c r="C828" s="189"/>
      <c r="E828" s="189"/>
      <c r="F828" s="189"/>
      <c r="I828" s="179"/>
      <c r="J828" s="189"/>
      <c r="K828" s="189"/>
      <c r="M828" s="189"/>
      <c r="N828" s="189"/>
      <c r="Q828" s="179"/>
      <c r="S828" s="189"/>
      <c r="T828" s="189"/>
      <c r="V828" s="189"/>
      <c r="W828" s="189"/>
      <c r="Z828" s="179"/>
      <c r="AA828" s="189"/>
      <c r="AB828" s="189"/>
      <c r="AD828" s="189"/>
      <c r="AE828" s="189"/>
      <c r="AH828" s="179"/>
      <c r="AJ828" s="191"/>
      <c r="AK828" s="191"/>
      <c r="AM828" s="191"/>
      <c r="AN828" s="191"/>
      <c r="AQ828" s="179"/>
      <c r="AR828" s="192"/>
      <c r="AS828" s="192"/>
      <c r="AU828" s="192"/>
      <c r="AV828" s="192"/>
      <c r="AY828" s="179"/>
      <c r="BA828" s="192"/>
      <c r="BB828" s="192"/>
      <c r="BD828" s="192"/>
      <c r="BE828" s="192"/>
      <c r="BH828" s="179"/>
      <c r="BI828" s="192"/>
      <c r="BJ828" s="192"/>
      <c r="BL828" s="192"/>
      <c r="BM828" s="192"/>
      <c r="BP828" s="179"/>
    </row>
    <row r="829">
      <c r="B829" s="189"/>
      <c r="C829" s="189"/>
      <c r="E829" s="189"/>
      <c r="F829" s="189"/>
      <c r="I829" s="179"/>
      <c r="J829" s="189"/>
      <c r="K829" s="189"/>
      <c r="M829" s="189"/>
      <c r="N829" s="189"/>
      <c r="Q829" s="179"/>
      <c r="S829" s="189"/>
      <c r="T829" s="189"/>
      <c r="V829" s="189"/>
      <c r="W829" s="189"/>
      <c r="Z829" s="179"/>
      <c r="AA829" s="189"/>
      <c r="AB829" s="189"/>
      <c r="AD829" s="189"/>
      <c r="AE829" s="189"/>
      <c r="AH829" s="179"/>
      <c r="AJ829" s="191"/>
      <c r="AK829" s="191"/>
      <c r="AM829" s="191"/>
      <c r="AN829" s="191"/>
      <c r="AQ829" s="179"/>
      <c r="AR829" s="192"/>
      <c r="AS829" s="192"/>
      <c r="AU829" s="192"/>
      <c r="AV829" s="192"/>
      <c r="AY829" s="179"/>
      <c r="BA829" s="192"/>
      <c r="BB829" s="192"/>
      <c r="BD829" s="192"/>
      <c r="BE829" s="192"/>
      <c r="BH829" s="179"/>
      <c r="BI829" s="192"/>
      <c r="BJ829" s="192"/>
      <c r="BL829" s="192"/>
      <c r="BM829" s="192"/>
      <c r="BP829" s="179"/>
    </row>
    <row r="830">
      <c r="B830" s="189"/>
      <c r="C830" s="189"/>
      <c r="E830" s="189"/>
      <c r="F830" s="189"/>
      <c r="I830" s="179"/>
      <c r="J830" s="189"/>
      <c r="K830" s="189"/>
      <c r="M830" s="189"/>
      <c r="N830" s="189"/>
      <c r="Q830" s="179"/>
      <c r="S830" s="189"/>
      <c r="T830" s="189"/>
      <c r="V830" s="189"/>
      <c r="W830" s="189"/>
      <c r="Z830" s="179"/>
      <c r="AA830" s="189"/>
      <c r="AB830" s="189"/>
      <c r="AD830" s="189"/>
      <c r="AE830" s="189"/>
      <c r="AH830" s="179"/>
      <c r="AJ830" s="191"/>
      <c r="AK830" s="191"/>
      <c r="AM830" s="191"/>
      <c r="AN830" s="191"/>
      <c r="AQ830" s="179"/>
      <c r="AR830" s="192"/>
      <c r="AS830" s="192"/>
      <c r="AU830" s="192"/>
      <c r="AV830" s="192"/>
      <c r="AY830" s="179"/>
      <c r="BA830" s="192"/>
      <c r="BB830" s="192"/>
      <c r="BD830" s="192"/>
      <c r="BE830" s="192"/>
      <c r="BH830" s="179"/>
      <c r="BI830" s="192"/>
      <c r="BJ830" s="192"/>
      <c r="BL830" s="192"/>
      <c r="BM830" s="192"/>
      <c r="BP830" s="179"/>
    </row>
    <row r="831">
      <c r="B831" s="189"/>
      <c r="C831" s="189"/>
      <c r="E831" s="189"/>
      <c r="F831" s="189"/>
      <c r="I831" s="179"/>
      <c r="J831" s="189"/>
      <c r="K831" s="189"/>
      <c r="M831" s="189"/>
      <c r="N831" s="189"/>
      <c r="Q831" s="179"/>
      <c r="S831" s="189"/>
      <c r="T831" s="189"/>
      <c r="V831" s="189"/>
      <c r="W831" s="189"/>
      <c r="Z831" s="179"/>
      <c r="AA831" s="189"/>
      <c r="AB831" s="189"/>
      <c r="AD831" s="189"/>
      <c r="AE831" s="189"/>
      <c r="AH831" s="179"/>
      <c r="AJ831" s="191"/>
      <c r="AK831" s="191"/>
      <c r="AM831" s="191"/>
      <c r="AN831" s="191"/>
      <c r="AQ831" s="179"/>
      <c r="AR831" s="192"/>
      <c r="AS831" s="192"/>
      <c r="AU831" s="192"/>
      <c r="AV831" s="192"/>
      <c r="AY831" s="179"/>
      <c r="BA831" s="192"/>
      <c r="BB831" s="192"/>
      <c r="BD831" s="192"/>
      <c r="BE831" s="192"/>
      <c r="BH831" s="179"/>
      <c r="BI831" s="192"/>
      <c r="BJ831" s="192"/>
      <c r="BL831" s="192"/>
      <c r="BM831" s="192"/>
      <c r="BP831" s="179"/>
    </row>
    <row r="832">
      <c r="B832" s="189"/>
      <c r="C832" s="189"/>
      <c r="E832" s="189"/>
      <c r="F832" s="189"/>
      <c r="I832" s="179"/>
      <c r="J832" s="189"/>
      <c r="K832" s="189"/>
      <c r="M832" s="189"/>
      <c r="N832" s="189"/>
      <c r="Q832" s="179"/>
      <c r="S832" s="189"/>
      <c r="T832" s="189"/>
      <c r="V832" s="189"/>
      <c r="W832" s="189"/>
      <c r="Z832" s="179"/>
      <c r="AA832" s="189"/>
      <c r="AB832" s="189"/>
      <c r="AD832" s="189"/>
      <c r="AE832" s="189"/>
      <c r="AH832" s="179"/>
      <c r="AJ832" s="191"/>
      <c r="AK832" s="191"/>
      <c r="AM832" s="191"/>
      <c r="AN832" s="191"/>
      <c r="AQ832" s="179"/>
      <c r="AR832" s="192"/>
      <c r="AS832" s="192"/>
      <c r="AU832" s="192"/>
      <c r="AV832" s="192"/>
      <c r="AY832" s="179"/>
      <c r="BA832" s="192"/>
      <c r="BB832" s="192"/>
      <c r="BD832" s="192"/>
      <c r="BE832" s="192"/>
      <c r="BH832" s="179"/>
      <c r="BI832" s="192"/>
      <c r="BJ832" s="192"/>
      <c r="BL832" s="192"/>
      <c r="BM832" s="192"/>
      <c r="BP832" s="179"/>
    </row>
    <row r="833">
      <c r="B833" s="189"/>
      <c r="C833" s="189"/>
      <c r="E833" s="189"/>
      <c r="F833" s="189"/>
      <c r="I833" s="179"/>
      <c r="J833" s="189"/>
      <c r="K833" s="189"/>
      <c r="M833" s="189"/>
      <c r="N833" s="189"/>
      <c r="Q833" s="179"/>
      <c r="S833" s="189"/>
      <c r="T833" s="189"/>
      <c r="V833" s="189"/>
      <c r="W833" s="189"/>
      <c r="Z833" s="179"/>
      <c r="AA833" s="189"/>
      <c r="AB833" s="189"/>
      <c r="AD833" s="189"/>
      <c r="AE833" s="189"/>
      <c r="AH833" s="179"/>
      <c r="AJ833" s="191"/>
      <c r="AK833" s="191"/>
      <c r="AM833" s="191"/>
      <c r="AN833" s="191"/>
      <c r="AQ833" s="179"/>
      <c r="AR833" s="192"/>
      <c r="AS833" s="192"/>
      <c r="AU833" s="192"/>
      <c r="AV833" s="192"/>
      <c r="AY833" s="179"/>
      <c r="BA833" s="192"/>
      <c r="BB833" s="192"/>
      <c r="BD833" s="192"/>
      <c r="BE833" s="192"/>
      <c r="BH833" s="179"/>
      <c r="BI833" s="192"/>
      <c r="BJ833" s="192"/>
      <c r="BL833" s="192"/>
      <c r="BM833" s="192"/>
      <c r="BP833" s="179"/>
    </row>
    <row r="834">
      <c r="B834" s="189"/>
      <c r="C834" s="189"/>
      <c r="E834" s="189"/>
      <c r="F834" s="189"/>
      <c r="I834" s="179"/>
      <c r="J834" s="189"/>
      <c r="K834" s="189"/>
      <c r="M834" s="189"/>
      <c r="N834" s="189"/>
      <c r="Q834" s="179"/>
      <c r="S834" s="189"/>
      <c r="T834" s="189"/>
      <c r="V834" s="189"/>
      <c r="W834" s="189"/>
      <c r="Z834" s="179"/>
      <c r="AA834" s="189"/>
      <c r="AB834" s="189"/>
      <c r="AD834" s="189"/>
      <c r="AE834" s="189"/>
      <c r="AH834" s="179"/>
      <c r="AJ834" s="191"/>
      <c r="AK834" s="191"/>
      <c r="AM834" s="191"/>
      <c r="AN834" s="191"/>
      <c r="AQ834" s="179"/>
      <c r="AR834" s="192"/>
      <c r="AS834" s="192"/>
      <c r="AU834" s="192"/>
      <c r="AV834" s="192"/>
      <c r="AY834" s="179"/>
      <c r="BA834" s="192"/>
      <c r="BB834" s="192"/>
      <c r="BD834" s="192"/>
      <c r="BE834" s="192"/>
      <c r="BH834" s="179"/>
      <c r="BI834" s="192"/>
      <c r="BJ834" s="192"/>
      <c r="BL834" s="192"/>
      <c r="BM834" s="192"/>
      <c r="BP834" s="179"/>
    </row>
    <row r="835">
      <c r="B835" s="189"/>
      <c r="C835" s="189"/>
      <c r="E835" s="189"/>
      <c r="F835" s="189"/>
      <c r="I835" s="179"/>
      <c r="J835" s="189"/>
      <c r="K835" s="189"/>
      <c r="M835" s="189"/>
      <c r="N835" s="189"/>
      <c r="Q835" s="179"/>
      <c r="S835" s="189"/>
      <c r="T835" s="189"/>
      <c r="V835" s="189"/>
      <c r="W835" s="189"/>
      <c r="Z835" s="179"/>
      <c r="AA835" s="189"/>
      <c r="AB835" s="189"/>
      <c r="AD835" s="189"/>
      <c r="AE835" s="189"/>
      <c r="AH835" s="179"/>
      <c r="AJ835" s="191"/>
      <c r="AK835" s="191"/>
      <c r="AM835" s="191"/>
      <c r="AN835" s="191"/>
      <c r="AQ835" s="179"/>
      <c r="AR835" s="192"/>
      <c r="AS835" s="192"/>
      <c r="AU835" s="192"/>
      <c r="AV835" s="192"/>
      <c r="AY835" s="179"/>
      <c r="BA835" s="192"/>
      <c r="BB835" s="192"/>
      <c r="BD835" s="192"/>
      <c r="BE835" s="192"/>
      <c r="BH835" s="179"/>
      <c r="BI835" s="192"/>
      <c r="BJ835" s="192"/>
      <c r="BL835" s="192"/>
      <c r="BM835" s="192"/>
      <c r="BP835" s="179"/>
    </row>
    <row r="836">
      <c r="B836" s="189"/>
      <c r="C836" s="189"/>
      <c r="E836" s="189"/>
      <c r="F836" s="189"/>
      <c r="I836" s="179"/>
      <c r="J836" s="189"/>
      <c r="K836" s="189"/>
      <c r="M836" s="189"/>
      <c r="N836" s="189"/>
      <c r="Q836" s="179"/>
      <c r="S836" s="189"/>
      <c r="T836" s="189"/>
      <c r="V836" s="189"/>
      <c r="W836" s="189"/>
      <c r="Z836" s="179"/>
      <c r="AA836" s="189"/>
      <c r="AB836" s="189"/>
      <c r="AD836" s="189"/>
      <c r="AE836" s="189"/>
      <c r="AH836" s="179"/>
      <c r="AJ836" s="191"/>
      <c r="AK836" s="191"/>
      <c r="AM836" s="191"/>
      <c r="AN836" s="191"/>
      <c r="AQ836" s="179"/>
      <c r="AR836" s="192"/>
      <c r="AS836" s="192"/>
      <c r="AU836" s="192"/>
      <c r="AV836" s="192"/>
      <c r="AY836" s="179"/>
      <c r="BA836" s="192"/>
      <c r="BB836" s="192"/>
      <c r="BD836" s="192"/>
      <c r="BE836" s="192"/>
      <c r="BH836" s="179"/>
      <c r="BI836" s="192"/>
      <c r="BJ836" s="192"/>
      <c r="BL836" s="192"/>
      <c r="BM836" s="192"/>
      <c r="BP836" s="179"/>
    </row>
    <row r="837">
      <c r="B837" s="189"/>
      <c r="C837" s="189"/>
      <c r="E837" s="189"/>
      <c r="F837" s="189"/>
      <c r="I837" s="179"/>
      <c r="J837" s="189"/>
      <c r="K837" s="189"/>
      <c r="M837" s="189"/>
      <c r="N837" s="189"/>
      <c r="Q837" s="179"/>
      <c r="S837" s="189"/>
      <c r="T837" s="189"/>
      <c r="V837" s="189"/>
      <c r="W837" s="189"/>
      <c r="Z837" s="179"/>
      <c r="AA837" s="189"/>
      <c r="AB837" s="189"/>
      <c r="AD837" s="189"/>
      <c r="AE837" s="189"/>
      <c r="AH837" s="179"/>
      <c r="AJ837" s="191"/>
      <c r="AK837" s="191"/>
      <c r="AM837" s="191"/>
      <c r="AN837" s="191"/>
      <c r="AQ837" s="179"/>
      <c r="AR837" s="192"/>
      <c r="AS837" s="192"/>
      <c r="AU837" s="192"/>
      <c r="AV837" s="192"/>
      <c r="AY837" s="179"/>
      <c r="BA837" s="192"/>
      <c r="BB837" s="192"/>
      <c r="BD837" s="192"/>
      <c r="BE837" s="192"/>
      <c r="BH837" s="179"/>
      <c r="BI837" s="192"/>
      <c r="BJ837" s="192"/>
      <c r="BL837" s="192"/>
      <c r="BM837" s="192"/>
      <c r="BP837" s="179"/>
    </row>
    <row r="838">
      <c r="B838" s="189"/>
      <c r="C838" s="189"/>
      <c r="E838" s="189"/>
      <c r="F838" s="189"/>
      <c r="I838" s="179"/>
      <c r="J838" s="189"/>
      <c r="K838" s="189"/>
      <c r="M838" s="189"/>
      <c r="N838" s="189"/>
      <c r="Q838" s="179"/>
      <c r="S838" s="189"/>
      <c r="T838" s="189"/>
      <c r="V838" s="189"/>
      <c r="W838" s="189"/>
      <c r="Z838" s="179"/>
      <c r="AA838" s="189"/>
      <c r="AB838" s="189"/>
      <c r="AD838" s="189"/>
      <c r="AE838" s="189"/>
      <c r="AH838" s="179"/>
      <c r="AJ838" s="191"/>
      <c r="AK838" s="191"/>
      <c r="AM838" s="191"/>
      <c r="AN838" s="191"/>
      <c r="AQ838" s="179"/>
      <c r="AR838" s="192"/>
      <c r="AS838" s="192"/>
      <c r="AU838" s="192"/>
      <c r="AV838" s="192"/>
      <c r="AY838" s="179"/>
      <c r="BA838" s="192"/>
      <c r="BB838" s="192"/>
      <c r="BD838" s="192"/>
      <c r="BE838" s="192"/>
      <c r="BH838" s="179"/>
      <c r="BI838" s="192"/>
      <c r="BJ838" s="192"/>
      <c r="BL838" s="192"/>
      <c r="BM838" s="192"/>
      <c r="BP838" s="179"/>
    </row>
    <row r="839">
      <c r="B839" s="189"/>
      <c r="C839" s="189"/>
      <c r="E839" s="189"/>
      <c r="F839" s="189"/>
      <c r="I839" s="179"/>
      <c r="J839" s="189"/>
      <c r="K839" s="189"/>
      <c r="M839" s="189"/>
      <c r="N839" s="189"/>
      <c r="Q839" s="179"/>
      <c r="S839" s="189"/>
      <c r="T839" s="189"/>
      <c r="V839" s="189"/>
      <c r="W839" s="189"/>
      <c r="Z839" s="179"/>
      <c r="AA839" s="189"/>
      <c r="AB839" s="189"/>
      <c r="AD839" s="189"/>
      <c r="AE839" s="189"/>
      <c r="AH839" s="179"/>
      <c r="AJ839" s="191"/>
      <c r="AK839" s="191"/>
      <c r="AM839" s="191"/>
      <c r="AN839" s="191"/>
      <c r="AQ839" s="179"/>
      <c r="AR839" s="192"/>
      <c r="AS839" s="192"/>
      <c r="AU839" s="192"/>
      <c r="AV839" s="192"/>
      <c r="AY839" s="179"/>
      <c r="BA839" s="192"/>
      <c r="BB839" s="192"/>
      <c r="BD839" s="192"/>
      <c r="BE839" s="192"/>
      <c r="BH839" s="179"/>
      <c r="BI839" s="192"/>
      <c r="BJ839" s="192"/>
      <c r="BL839" s="192"/>
      <c r="BM839" s="192"/>
      <c r="BP839" s="179"/>
    </row>
    <row r="840">
      <c r="B840" s="189"/>
      <c r="C840" s="189"/>
      <c r="E840" s="189"/>
      <c r="F840" s="189"/>
      <c r="I840" s="179"/>
      <c r="J840" s="189"/>
      <c r="K840" s="189"/>
      <c r="M840" s="189"/>
      <c r="N840" s="189"/>
      <c r="Q840" s="179"/>
      <c r="S840" s="189"/>
      <c r="T840" s="189"/>
      <c r="V840" s="189"/>
      <c r="W840" s="189"/>
      <c r="Z840" s="179"/>
      <c r="AA840" s="189"/>
      <c r="AB840" s="189"/>
      <c r="AD840" s="189"/>
      <c r="AE840" s="189"/>
      <c r="AH840" s="179"/>
      <c r="AJ840" s="191"/>
      <c r="AK840" s="191"/>
      <c r="AM840" s="191"/>
      <c r="AN840" s="191"/>
      <c r="AQ840" s="179"/>
      <c r="AR840" s="192"/>
      <c r="AS840" s="192"/>
      <c r="AU840" s="192"/>
      <c r="AV840" s="192"/>
      <c r="AY840" s="179"/>
      <c r="BA840" s="192"/>
      <c r="BB840" s="192"/>
      <c r="BD840" s="192"/>
      <c r="BE840" s="192"/>
      <c r="BH840" s="179"/>
      <c r="BI840" s="192"/>
      <c r="BJ840" s="192"/>
      <c r="BL840" s="192"/>
      <c r="BM840" s="192"/>
      <c r="BP840" s="179"/>
    </row>
    <row r="841">
      <c r="B841" s="189"/>
      <c r="C841" s="189"/>
      <c r="E841" s="189"/>
      <c r="F841" s="189"/>
      <c r="I841" s="179"/>
      <c r="J841" s="189"/>
      <c r="K841" s="189"/>
      <c r="M841" s="189"/>
      <c r="N841" s="189"/>
      <c r="Q841" s="179"/>
      <c r="S841" s="189"/>
      <c r="T841" s="189"/>
      <c r="V841" s="189"/>
      <c r="W841" s="189"/>
      <c r="Z841" s="179"/>
      <c r="AA841" s="189"/>
      <c r="AB841" s="189"/>
      <c r="AD841" s="189"/>
      <c r="AE841" s="189"/>
      <c r="AH841" s="179"/>
      <c r="AJ841" s="191"/>
      <c r="AK841" s="191"/>
      <c r="AM841" s="191"/>
      <c r="AN841" s="191"/>
      <c r="AQ841" s="179"/>
      <c r="AR841" s="192"/>
      <c r="AS841" s="192"/>
      <c r="AU841" s="192"/>
      <c r="AV841" s="192"/>
      <c r="AY841" s="179"/>
      <c r="BA841" s="192"/>
      <c r="BB841" s="192"/>
      <c r="BD841" s="192"/>
      <c r="BE841" s="192"/>
      <c r="BH841" s="179"/>
      <c r="BI841" s="192"/>
      <c r="BJ841" s="192"/>
      <c r="BL841" s="192"/>
      <c r="BM841" s="192"/>
      <c r="BP841" s="179"/>
    </row>
    <row r="842">
      <c r="B842" s="189"/>
      <c r="C842" s="189"/>
      <c r="E842" s="189"/>
      <c r="F842" s="189"/>
      <c r="I842" s="179"/>
      <c r="J842" s="189"/>
      <c r="K842" s="189"/>
      <c r="M842" s="189"/>
      <c r="N842" s="189"/>
      <c r="Q842" s="179"/>
      <c r="S842" s="189"/>
      <c r="T842" s="189"/>
      <c r="V842" s="189"/>
      <c r="W842" s="189"/>
      <c r="Z842" s="179"/>
      <c r="AA842" s="189"/>
      <c r="AB842" s="189"/>
      <c r="AD842" s="189"/>
      <c r="AE842" s="189"/>
      <c r="AH842" s="179"/>
      <c r="AJ842" s="191"/>
      <c r="AK842" s="191"/>
      <c r="AM842" s="191"/>
      <c r="AN842" s="191"/>
      <c r="AQ842" s="179"/>
      <c r="AR842" s="192"/>
      <c r="AS842" s="192"/>
      <c r="AU842" s="192"/>
      <c r="AV842" s="192"/>
      <c r="AY842" s="179"/>
      <c r="BA842" s="192"/>
      <c r="BB842" s="192"/>
      <c r="BD842" s="192"/>
      <c r="BE842" s="192"/>
      <c r="BH842" s="179"/>
      <c r="BI842" s="192"/>
      <c r="BJ842" s="192"/>
      <c r="BL842" s="192"/>
      <c r="BM842" s="192"/>
      <c r="BP842" s="179"/>
    </row>
    <row r="843">
      <c r="B843" s="189"/>
      <c r="C843" s="189"/>
      <c r="E843" s="189"/>
      <c r="F843" s="189"/>
      <c r="I843" s="179"/>
      <c r="J843" s="189"/>
      <c r="K843" s="189"/>
      <c r="M843" s="189"/>
      <c r="N843" s="189"/>
      <c r="Q843" s="179"/>
      <c r="S843" s="189"/>
      <c r="T843" s="189"/>
      <c r="V843" s="189"/>
      <c r="W843" s="189"/>
      <c r="Z843" s="179"/>
      <c r="AA843" s="189"/>
      <c r="AB843" s="189"/>
      <c r="AD843" s="189"/>
      <c r="AE843" s="189"/>
      <c r="AH843" s="179"/>
      <c r="AJ843" s="191"/>
      <c r="AK843" s="191"/>
      <c r="AM843" s="191"/>
      <c r="AN843" s="191"/>
      <c r="AQ843" s="179"/>
      <c r="AR843" s="192"/>
      <c r="AS843" s="192"/>
      <c r="AU843" s="192"/>
      <c r="AV843" s="192"/>
      <c r="AY843" s="179"/>
      <c r="BA843" s="192"/>
      <c r="BB843" s="192"/>
      <c r="BD843" s="192"/>
      <c r="BE843" s="192"/>
      <c r="BH843" s="179"/>
      <c r="BI843" s="192"/>
      <c r="BJ843" s="192"/>
      <c r="BL843" s="192"/>
      <c r="BM843" s="192"/>
      <c r="BP843" s="179"/>
    </row>
    <row r="844">
      <c r="B844" s="189"/>
      <c r="C844" s="189"/>
      <c r="E844" s="189"/>
      <c r="F844" s="189"/>
      <c r="I844" s="179"/>
      <c r="J844" s="189"/>
      <c r="K844" s="189"/>
      <c r="M844" s="189"/>
      <c r="N844" s="189"/>
      <c r="Q844" s="179"/>
      <c r="S844" s="189"/>
      <c r="T844" s="189"/>
      <c r="V844" s="189"/>
      <c r="W844" s="189"/>
      <c r="Z844" s="179"/>
      <c r="AA844" s="189"/>
      <c r="AB844" s="189"/>
      <c r="AD844" s="189"/>
      <c r="AE844" s="189"/>
      <c r="AH844" s="179"/>
      <c r="AJ844" s="191"/>
      <c r="AK844" s="191"/>
      <c r="AM844" s="191"/>
      <c r="AN844" s="191"/>
      <c r="AQ844" s="179"/>
      <c r="AR844" s="192"/>
      <c r="AS844" s="192"/>
      <c r="AU844" s="192"/>
      <c r="AV844" s="192"/>
      <c r="AY844" s="179"/>
      <c r="BA844" s="192"/>
      <c r="BB844" s="192"/>
      <c r="BD844" s="192"/>
      <c r="BE844" s="192"/>
      <c r="BH844" s="179"/>
      <c r="BI844" s="192"/>
      <c r="BJ844" s="192"/>
      <c r="BL844" s="192"/>
      <c r="BM844" s="192"/>
      <c r="BP844" s="179"/>
    </row>
    <row r="845">
      <c r="B845" s="189"/>
      <c r="C845" s="189"/>
      <c r="E845" s="189"/>
      <c r="F845" s="189"/>
      <c r="I845" s="179"/>
      <c r="J845" s="189"/>
      <c r="K845" s="189"/>
      <c r="M845" s="189"/>
      <c r="N845" s="189"/>
      <c r="Q845" s="179"/>
      <c r="S845" s="189"/>
      <c r="T845" s="189"/>
      <c r="V845" s="189"/>
      <c r="W845" s="189"/>
      <c r="Z845" s="179"/>
      <c r="AA845" s="189"/>
      <c r="AB845" s="189"/>
      <c r="AD845" s="189"/>
      <c r="AE845" s="189"/>
      <c r="AH845" s="179"/>
      <c r="AJ845" s="191"/>
      <c r="AK845" s="191"/>
      <c r="AM845" s="191"/>
      <c r="AN845" s="191"/>
      <c r="AQ845" s="179"/>
      <c r="AR845" s="192"/>
      <c r="AS845" s="192"/>
      <c r="AU845" s="192"/>
      <c r="AV845" s="192"/>
      <c r="AY845" s="179"/>
      <c r="BA845" s="192"/>
      <c r="BB845" s="192"/>
      <c r="BD845" s="192"/>
      <c r="BE845" s="192"/>
      <c r="BH845" s="179"/>
      <c r="BI845" s="192"/>
      <c r="BJ845" s="192"/>
      <c r="BL845" s="192"/>
      <c r="BM845" s="192"/>
      <c r="BP845" s="179"/>
    </row>
    <row r="846">
      <c r="B846" s="189"/>
      <c r="C846" s="189"/>
      <c r="E846" s="189"/>
      <c r="F846" s="189"/>
      <c r="I846" s="179"/>
      <c r="J846" s="189"/>
      <c r="K846" s="189"/>
      <c r="M846" s="189"/>
      <c r="N846" s="189"/>
      <c r="Q846" s="179"/>
      <c r="S846" s="189"/>
      <c r="T846" s="189"/>
      <c r="V846" s="189"/>
      <c r="W846" s="189"/>
      <c r="Z846" s="179"/>
      <c r="AA846" s="189"/>
      <c r="AB846" s="189"/>
      <c r="AD846" s="189"/>
      <c r="AE846" s="189"/>
      <c r="AH846" s="179"/>
      <c r="AJ846" s="191"/>
      <c r="AK846" s="191"/>
      <c r="AM846" s="191"/>
      <c r="AN846" s="191"/>
      <c r="AQ846" s="179"/>
      <c r="AR846" s="192"/>
      <c r="AS846" s="192"/>
      <c r="AU846" s="192"/>
      <c r="AV846" s="192"/>
      <c r="AY846" s="179"/>
      <c r="BA846" s="192"/>
      <c r="BB846" s="192"/>
      <c r="BD846" s="192"/>
      <c r="BE846" s="192"/>
      <c r="BH846" s="179"/>
      <c r="BI846" s="192"/>
      <c r="BJ846" s="192"/>
      <c r="BL846" s="192"/>
      <c r="BM846" s="192"/>
      <c r="BP846" s="179"/>
    </row>
    <row r="847">
      <c r="B847" s="189"/>
      <c r="C847" s="189"/>
      <c r="E847" s="189"/>
      <c r="F847" s="189"/>
      <c r="I847" s="179"/>
      <c r="J847" s="189"/>
      <c r="K847" s="189"/>
      <c r="M847" s="189"/>
      <c r="N847" s="189"/>
      <c r="Q847" s="179"/>
      <c r="S847" s="189"/>
      <c r="T847" s="189"/>
      <c r="V847" s="189"/>
      <c r="W847" s="189"/>
      <c r="Z847" s="179"/>
      <c r="AA847" s="189"/>
      <c r="AB847" s="189"/>
      <c r="AD847" s="189"/>
      <c r="AE847" s="189"/>
      <c r="AH847" s="179"/>
      <c r="AJ847" s="191"/>
      <c r="AK847" s="191"/>
      <c r="AM847" s="191"/>
      <c r="AN847" s="191"/>
      <c r="AQ847" s="179"/>
      <c r="AR847" s="192"/>
      <c r="AS847" s="192"/>
      <c r="AU847" s="192"/>
      <c r="AV847" s="192"/>
      <c r="AY847" s="179"/>
      <c r="BA847" s="192"/>
      <c r="BB847" s="192"/>
      <c r="BD847" s="192"/>
      <c r="BE847" s="192"/>
      <c r="BH847" s="179"/>
      <c r="BI847" s="192"/>
      <c r="BJ847" s="192"/>
      <c r="BL847" s="192"/>
      <c r="BM847" s="192"/>
      <c r="BP847" s="179"/>
    </row>
    <row r="848">
      <c r="B848" s="189"/>
      <c r="C848" s="189"/>
      <c r="E848" s="189"/>
      <c r="F848" s="189"/>
      <c r="I848" s="179"/>
      <c r="J848" s="189"/>
      <c r="K848" s="189"/>
      <c r="M848" s="189"/>
      <c r="N848" s="189"/>
      <c r="Q848" s="179"/>
      <c r="S848" s="189"/>
      <c r="T848" s="189"/>
      <c r="V848" s="189"/>
      <c r="W848" s="189"/>
      <c r="Z848" s="179"/>
      <c r="AA848" s="189"/>
      <c r="AB848" s="189"/>
      <c r="AD848" s="189"/>
      <c r="AE848" s="189"/>
      <c r="AH848" s="179"/>
      <c r="AJ848" s="191"/>
      <c r="AK848" s="191"/>
      <c r="AM848" s="191"/>
      <c r="AN848" s="191"/>
      <c r="AQ848" s="179"/>
      <c r="AR848" s="192"/>
      <c r="AS848" s="192"/>
      <c r="AU848" s="192"/>
      <c r="AV848" s="192"/>
      <c r="AY848" s="179"/>
      <c r="BA848" s="192"/>
      <c r="BB848" s="192"/>
      <c r="BD848" s="192"/>
      <c r="BE848" s="192"/>
      <c r="BH848" s="179"/>
      <c r="BI848" s="192"/>
      <c r="BJ848" s="192"/>
      <c r="BL848" s="192"/>
      <c r="BM848" s="192"/>
      <c r="BP848" s="179"/>
    </row>
    <row r="849">
      <c r="B849" s="189"/>
      <c r="C849" s="189"/>
      <c r="E849" s="189"/>
      <c r="F849" s="189"/>
      <c r="I849" s="179"/>
      <c r="J849" s="189"/>
      <c r="K849" s="189"/>
      <c r="M849" s="189"/>
      <c r="N849" s="189"/>
      <c r="Q849" s="179"/>
      <c r="S849" s="189"/>
      <c r="T849" s="189"/>
      <c r="V849" s="189"/>
      <c r="W849" s="189"/>
      <c r="Z849" s="179"/>
      <c r="AA849" s="189"/>
      <c r="AB849" s="189"/>
      <c r="AD849" s="189"/>
      <c r="AE849" s="189"/>
      <c r="AH849" s="179"/>
      <c r="AJ849" s="191"/>
      <c r="AK849" s="191"/>
      <c r="AM849" s="191"/>
      <c r="AN849" s="191"/>
      <c r="AQ849" s="179"/>
      <c r="AR849" s="192"/>
      <c r="AS849" s="192"/>
      <c r="AU849" s="192"/>
      <c r="AV849" s="192"/>
      <c r="AY849" s="179"/>
      <c r="BA849" s="192"/>
      <c r="BB849" s="192"/>
      <c r="BD849" s="192"/>
      <c r="BE849" s="192"/>
      <c r="BH849" s="179"/>
      <c r="BI849" s="192"/>
      <c r="BJ849" s="192"/>
      <c r="BL849" s="192"/>
      <c r="BM849" s="192"/>
      <c r="BP849" s="179"/>
    </row>
    <row r="850">
      <c r="B850" s="189"/>
      <c r="C850" s="189"/>
      <c r="E850" s="189"/>
      <c r="F850" s="189"/>
      <c r="I850" s="179"/>
      <c r="J850" s="189"/>
      <c r="K850" s="189"/>
      <c r="M850" s="189"/>
      <c r="N850" s="189"/>
      <c r="Q850" s="179"/>
      <c r="S850" s="189"/>
      <c r="T850" s="189"/>
      <c r="V850" s="189"/>
      <c r="W850" s="189"/>
      <c r="Z850" s="179"/>
      <c r="AA850" s="189"/>
      <c r="AB850" s="189"/>
      <c r="AD850" s="189"/>
      <c r="AE850" s="189"/>
      <c r="AH850" s="179"/>
      <c r="AJ850" s="191"/>
      <c r="AK850" s="191"/>
      <c r="AM850" s="191"/>
      <c r="AN850" s="191"/>
      <c r="AQ850" s="179"/>
      <c r="AR850" s="192"/>
      <c r="AS850" s="192"/>
      <c r="AU850" s="192"/>
      <c r="AV850" s="192"/>
      <c r="AY850" s="179"/>
      <c r="BA850" s="192"/>
      <c r="BB850" s="192"/>
      <c r="BD850" s="192"/>
      <c r="BE850" s="192"/>
      <c r="BH850" s="179"/>
      <c r="BI850" s="192"/>
      <c r="BJ850" s="192"/>
      <c r="BL850" s="192"/>
      <c r="BM850" s="192"/>
      <c r="BP850" s="179"/>
    </row>
    <row r="851">
      <c r="B851" s="189"/>
      <c r="C851" s="189"/>
      <c r="E851" s="189"/>
      <c r="F851" s="189"/>
      <c r="I851" s="179"/>
      <c r="J851" s="189"/>
      <c r="K851" s="189"/>
      <c r="M851" s="189"/>
      <c r="N851" s="189"/>
      <c r="Q851" s="179"/>
      <c r="S851" s="189"/>
      <c r="T851" s="189"/>
      <c r="V851" s="189"/>
      <c r="W851" s="189"/>
      <c r="Z851" s="179"/>
      <c r="AA851" s="189"/>
      <c r="AB851" s="189"/>
      <c r="AD851" s="189"/>
      <c r="AE851" s="189"/>
      <c r="AH851" s="179"/>
      <c r="AJ851" s="191"/>
      <c r="AK851" s="191"/>
      <c r="AM851" s="191"/>
      <c r="AN851" s="191"/>
      <c r="AQ851" s="179"/>
      <c r="AR851" s="192"/>
      <c r="AS851" s="192"/>
      <c r="AU851" s="192"/>
      <c r="AV851" s="192"/>
      <c r="AY851" s="179"/>
      <c r="BA851" s="192"/>
      <c r="BB851" s="192"/>
      <c r="BD851" s="192"/>
      <c r="BE851" s="192"/>
      <c r="BH851" s="179"/>
      <c r="BI851" s="192"/>
      <c r="BJ851" s="192"/>
      <c r="BL851" s="192"/>
      <c r="BM851" s="192"/>
      <c r="BP851" s="179"/>
    </row>
    <row r="852">
      <c r="B852" s="189"/>
      <c r="C852" s="189"/>
      <c r="E852" s="189"/>
      <c r="F852" s="189"/>
      <c r="I852" s="179"/>
      <c r="J852" s="189"/>
      <c r="K852" s="189"/>
      <c r="M852" s="189"/>
      <c r="N852" s="189"/>
      <c r="Q852" s="179"/>
      <c r="S852" s="189"/>
      <c r="T852" s="189"/>
      <c r="V852" s="189"/>
      <c r="W852" s="189"/>
      <c r="Z852" s="179"/>
      <c r="AA852" s="189"/>
      <c r="AB852" s="189"/>
      <c r="AD852" s="189"/>
      <c r="AE852" s="189"/>
      <c r="AH852" s="179"/>
      <c r="AJ852" s="191"/>
      <c r="AK852" s="191"/>
      <c r="AM852" s="191"/>
      <c r="AN852" s="191"/>
      <c r="AQ852" s="179"/>
      <c r="AR852" s="192"/>
      <c r="AS852" s="192"/>
      <c r="AU852" s="192"/>
      <c r="AV852" s="192"/>
      <c r="AY852" s="179"/>
      <c r="BA852" s="192"/>
      <c r="BB852" s="192"/>
      <c r="BD852" s="192"/>
      <c r="BE852" s="192"/>
      <c r="BH852" s="179"/>
      <c r="BI852" s="192"/>
      <c r="BJ852" s="192"/>
      <c r="BL852" s="192"/>
      <c r="BM852" s="192"/>
      <c r="BP852" s="179"/>
    </row>
    <row r="853">
      <c r="B853" s="189"/>
      <c r="C853" s="189"/>
      <c r="E853" s="189"/>
      <c r="F853" s="189"/>
      <c r="I853" s="179"/>
      <c r="J853" s="189"/>
      <c r="K853" s="189"/>
      <c r="M853" s="189"/>
      <c r="N853" s="189"/>
      <c r="Q853" s="179"/>
      <c r="S853" s="189"/>
      <c r="T853" s="189"/>
      <c r="V853" s="189"/>
      <c r="W853" s="189"/>
      <c r="Z853" s="179"/>
      <c r="AA853" s="189"/>
      <c r="AB853" s="189"/>
      <c r="AD853" s="189"/>
      <c r="AE853" s="189"/>
      <c r="AH853" s="179"/>
      <c r="AJ853" s="191"/>
      <c r="AK853" s="191"/>
      <c r="AM853" s="191"/>
      <c r="AN853" s="191"/>
      <c r="AQ853" s="179"/>
      <c r="AR853" s="192"/>
      <c r="AS853" s="192"/>
      <c r="AU853" s="192"/>
      <c r="AV853" s="192"/>
      <c r="AY853" s="179"/>
      <c r="BA853" s="192"/>
      <c r="BB853" s="192"/>
      <c r="BD853" s="192"/>
      <c r="BE853" s="192"/>
      <c r="BH853" s="179"/>
      <c r="BI853" s="192"/>
      <c r="BJ853" s="192"/>
      <c r="BL853" s="192"/>
      <c r="BM853" s="192"/>
      <c r="BP853" s="179"/>
    </row>
    <row r="854">
      <c r="B854" s="189"/>
      <c r="C854" s="189"/>
      <c r="E854" s="189"/>
      <c r="F854" s="189"/>
      <c r="I854" s="179"/>
      <c r="J854" s="189"/>
      <c r="K854" s="189"/>
      <c r="M854" s="189"/>
      <c r="N854" s="189"/>
      <c r="Q854" s="179"/>
      <c r="S854" s="189"/>
      <c r="T854" s="189"/>
      <c r="V854" s="189"/>
      <c r="W854" s="189"/>
      <c r="Z854" s="179"/>
      <c r="AA854" s="189"/>
      <c r="AB854" s="189"/>
      <c r="AD854" s="189"/>
      <c r="AE854" s="189"/>
      <c r="AH854" s="179"/>
      <c r="AJ854" s="191"/>
      <c r="AK854" s="191"/>
      <c r="AM854" s="191"/>
      <c r="AN854" s="191"/>
      <c r="AQ854" s="179"/>
      <c r="AR854" s="192"/>
      <c r="AS854" s="192"/>
      <c r="AU854" s="192"/>
      <c r="AV854" s="192"/>
      <c r="AY854" s="179"/>
      <c r="BA854" s="192"/>
      <c r="BB854" s="192"/>
      <c r="BD854" s="192"/>
      <c r="BE854" s="192"/>
      <c r="BH854" s="179"/>
      <c r="BI854" s="192"/>
      <c r="BJ854" s="192"/>
      <c r="BL854" s="192"/>
      <c r="BM854" s="192"/>
      <c r="BP854" s="179"/>
    </row>
    <row r="855">
      <c r="B855" s="189"/>
      <c r="C855" s="189"/>
      <c r="E855" s="189"/>
      <c r="F855" s="189"/>
      <c r="I855" s="179"/>
      <c r="J855" s="189"/>
      <c r="K855" s="189"/>
      <c r="M855" s="189"/>
      <c r="N855" s="189"/>
      <c r="Q855" s="179"/>
      <c r="S855" s="189"/>
      <c r="T855" s="189"/>
      <c r="V855" s="189"/>
      <c r="W855" s="189"/>
      <c r="Z855" s="179"/>
      <c r="AA855" s="189"/>
      <c r="AB855" s="189"/>
      <c r="AD855" s="189"/>
      <c r="AE855" s="189"/>
      <c r="AH855" s="179"/>
      <c r="AJ855" s="191"/>
      <c r="AK855" s="191"/>
      <c r="AM855" s="191"/>
      <c r="AN855" s="191"/>
      <c r="AQ855" s="179"/>
      <c r="AR855" s="192"/>
      <c r="AS855" s="192"/>
      <c r="AU855" s="192"/>
      <c r="AV855" s="192"/>
      <c r="AY855" s="179"/>
      <c r="BA855" s="192"/>
      <c r="BB855" s="192"/>
      <c r="BD855" s="192"/>
      <c r="BE855" s="192"/>
      <c r="BH855" s="179"/>
      <c r="BI855" s="192"/>
      <c r="BJ855" s="192"/>
      <c r="BL855" s="192"/>
      <c r="BM855" s="192"/>
      <c r="BP855" s="179"/>
    </row>
    <row r="856">
      <c r="B856" s="189"/>
      <c r="C856" s="189"/>
      <c r="E856" s="189"/>
      <c r="F856" s="189"/>
      <c r="I856" s="179"/>
      <c r="J856" s="189"/>
      <c r="K856" s="189"/>
      <c r="M856" s="189"/>
      <c r="N856" s="189"/>
      <c r="Q856" s="179"/>
      <c r="S856" s="189"/>
      <c r="T856" s="189"/>
      <c r="V856" s="189"/>
      <c r="W856" s="189"/>
      <c r="Z856" s="179"/>
      <c r="AA856" s="189"/>
      <c r="AB856" s="189"/>
      <c r="AD856" s="189"/>
      <c r="AE856" s="189"/>
      <c r="AH856" s="179"/>
      <c r="AJ856" s="191"/>
      <c r="AK856" s="191"/>
      <c r="AM856" s="191"/>
      <c r="AN856" s="191"/>
      <c r="AQ856" s="179"/>
      <c r="AR856" s="192"/>
      <c r="AS856" s="192"/>
      <c r="AU856" s="192"/>
      <c r="AV856" s="192"/>
      <c r="AY856" s="179"/>
      <c r="BA856" s="192"/>
      <c r="BB856" s="192"/>
      <c r="BD856" s="192"/>
      <c r="BE856" s="192"/>
      <c r="BH856" s="179"/>
      <c r="BI856" s="192"/>
      <c r="BJ856" s="192"/>
      <c r="BL856" s="192"/>
      <c r="BM856" s="192"/>
      <c r="BP856" s="179"/>
    </row>
    <row r="857">
      <c r="B857" s="189"/>
      <c r="C857" s="189"/>
      <c r="E857" s="189"/>
      <c r="F857" s="189"/>
      <c r="I857" s="179"/>
      <c r="J857" s="189"/>
      <c r="K857" s="189"/>
      <c r="M857" s="189"/>
      <c r="N857" s="189"/>
      <c r="Q857" s="179"/>
      <c r="S857" s="189"/>
      <c r="T857" s="189"/>
      <c r="V857" s="189"/>
      <c r="W857" s="189"/>
      <c r="Z857" s="179"/>
      <c r="AA857" s="189"/>
      <c r="AB857" s="189"/>
      <c r="AD857" s="189"/>
      <c r="AE857" s="189"/>
      <c r="AH857" s="179"/>
      <c r="AJ857" s="191"/>
      <c r="AK857" s="191"/>
      <c r="AM857" s="191"/>
      <c r="AN857" s="191"/>
      <c r="AQ857" s="179"/>
      <c r="AR857" s="192"/>
      <c r="AS857" s="192"/>
      <c r="AU857" s="192"/>
      <c r="AV857" s="192"/>
      <c r="AY857" s="179"/>
      <c r="BA857" s="192"/>
      <c r="BB857" s="192"/>
      <c r="BD857" s="192"/>
      <c r="BE857" s="192"/>
      <c r="BH857" s="179"/>
      <c r="BI857" s="192"/>
      <c r="BJ857" s="192"/>
      <c r="BL857" s="192"/>
      <c r="BM857" s="192"/>
      <c r="BP857" s="179"/>
    </row>
    <row r="858">
      <c r="B858" s="189"/>
      <c r="C858" s="189"/>
      <c r="E858" s="189"/>
      <c r="F858" s="189"/>
      <c r="I858" s="179"/>
      <c r="J858" s="189"/>
      <c r="K858" s="189"/>
      <c r="M858" s="189"/>
      <c r="N858" s="189"/>
      <c r="Q858" s="179"/>
      <c r="S858" s="189"/>
      <c r="T858" s="189"/>
      <c r="V858" s="189"/>
      <c r="W858" s="189"/>
      <c r="Z858" s="179"/>
      <c r="AA858" s="189"/>
      <c r="AB858" s="189"/>
      <c r="AD858" s="189"/>
      <c r="AE858" s="189"/>
      <c r="AH858" s="179"/>
      <c r="AJ858" s="191"/>
      <c r="AK858" s="191"/>
      <c r="AM858" s="191"/>
      <c r="AN858" s="191"/>
      <c r="AQ858" s="179"/>
      <c r="AR858" s="192"/>
      <c r="AS858" s="192"/>
      <c r="AU858" s="192"/>
      <c r="AV858" s="192"/>
      <c r="AY858" s="179"/>
      <c r="BA858" s="192"/>
      <c r="BB858" s="192"/>
      <c r="BD858" s="192"/>
      <c r="BE858" s="192"/>
      <c r="BH858" s="179"/>
      <c r="BI858" s="192"/>
      <c r="BJ858" s="192"/>
      <c r="BL858" s="192"/>
      <c r="BM858" s="192"/>
      <c r="BP858" s="179"/>
    </row>
    <row r="859">
      <c r="B859" s="189"/>
      <c r="C859" s="189"/>
      <c r="E859" s="189"/>
      <c r="F859" s="189"/>
      <c r="I859" s="179"/>
      <c r="J859" s="189"/>
      <c r="K859" s="189"/>
      <c r="M859" s="189"/>
      <c r="N859" s="189"/>
      <c r="Q859" s="179"/>
      <c r="S859" s="189"/>
      <c r="T859" s="189"/>
      <c r="V859" s="189"/>
      <c r="W859" s="189"/>
      <c r="Z859" s="179"/>
      <c r="AA859" s="189"/>
      <c r="AB859" s="189"/>
      <c r="AD859" s="189"/>
      <c r="AE859" s="189"/>
      <c r="AH859" s="179"/>
      <c r="AJ859" s="191"/>
      <c r="AK859" s="191"/>
      <c r="AM859" s="191"/>
      <c r="AN859" s="191"/>
      <c r="AQ859" s="179"/>
      <c r="AR859" s="192"/>
      <c r="AS859" s="192"/>
      <c r="AU859" s="192"/>
      <c r="AV859" s="192"/>
      <c r="AY859" s="179"/>
      <c r="BA859" s="192"/>
      <c r="BB859" s="192"/>
      <c r="BD859" s="192"/>
      <c r="BE859" s="192"/>
      <c r="BH859" s="179"/>
      <c r="BI859" s="192"/>
      <c r="BJ859" s="192"/>
      <c r="BL859" s="192"/>
      <c r="BM859" s="192"/>
      <c r="BP859" s="179"/>
    </row>
    <row r="860">
      <c r="B860" s="189"/>
      <c r="C860" s="189"/>
      <c r="E860" s="189"/>
      <c r="F860" s="189"/>
      <c r="I860" s="179"/>
      <c r="J860" s="189"/>
      <c r="K860" s="189"/>
      <c r="M860" s="189"/>
      <c r="N860" s="189"/>
      <c r="Q860" s="179"/>
      <c r="S860" s="189"/>
      <c r="T860" s="189"/>
      <c r="V860" s="189"/>
      <c r="W860" s="189"/>
      <c r="Z860" s="179"/>
      <c r="AA860" s="189"/>
      <c r="AB860" s="189"/>
      <c r="AD860" s="189"/>
      <c r="AE860" s="189"/>
      <c r="AH860" s="179"/>
      <c r="AJ860" s="191"/>
      <c r="AK860" s="191"/>
      <c r="AM860" s="191"/>
      <c r="AN860" s="191"/>
      <c r="AQ860" s="179"/>
      <c r="AR860" s="192"/>
      <c r="AS860" s="192"/>
      <c r="AU860" s="192"/>
      <c r="AV860" s="192"/>
      <c r="AY860" s="179"/>
      <c r="BA860" s="192"/>
      <c r="BB860" s="192"/>
      <c r="BD860" s="192"/>
      <c r="BE860" s="192"/>
      <c r="BH860" s="179"/>
      <c r="BI860" s="192"/>
      <c r="BJ860" s="192"/>
      <c r="BL860" s="192"/>
      <c r="BM860" s="192"/>
      <c r="BP860" s="179"/>
    </row>
    <row r="861">
      <c r="B861" s="189"/>
      <c r="C861" s="189"/>
      <c r="E861" s="189"/>
      <c r="F861" s="189"/>
      <c r="I861" s="179"/>
      <c r="J861" s="189"/>
      <c r="K861" s="189"/>
      <c r="M861" s="189"/>
      <c r="N861" s="189"/>
      <c r="Q861" s="179"/>
      <c r="S861" s="189"/>
      <c r="T861" s="189"/>
      <c r="V861" s="189"/>
      <c r="W861" s="189"/>
      <c r="Z861" s="179"/>
      <c r="AA861" s="189"/>
      <c r="AB861" s="189"/>
      <c r="AD861" s="189"/>
      <c r="AE861" s="189"/>
      <c r="AH861" s="179"/>
      <c r="AJ861" s="191"/>
      <c r="AK861" s="191"/>
      <c r="AM861" s="191"/>
      <c r="AN861" s="191"/>
      <c r="AQ861" s="179"/>
      <c r="AR861" s="192"/>
      <c r="AS861" s="192"/>
      <c r="AU861" s="192"/>
      <c r="AV861" s="192"/>
      <c r="AY861" s="179"/>
      <c r="BA861" s="192"/>
      <c r="BB861" s="192"/>
      <c r="BD861" s="192"/>
      <c r="BE861" s="192"/>
      <c r="BH861" s="179"/>
      <c r="BI861" s="192"/>
      <c r="BJ861" s="192"/>
      <c r="BL861" s="192"/>
      <c r="BM861" s="192"/>
      <c r="BP861" s="179"/>
    </row>
    <row r="862">
      <c r="B862" s="189"/>
      <c r="C862" s="189"/>
      <c r="E862" s="189"/>
      <c r="F862" s="189"/>
      <c r="I862" s="179"/>
      <c r="J862" s="189"/>
      <c r="K862" s="189"/>
      <c r="M862" s="189"/>
      <c r="N862" s="189"/>
      <c r="Q862" s="179"/>
      <c r="S862" s="189"/>
      <c r="T862" s="189"/>
      <c r="V862" s="189"/>
      <c r="W862" s="189"/>
      <c r="Z862" s="179"/>
      <c r="AA862" s="189"/>
      <c r="AB862" s="189"/>
      <c r="AD862" s="189"/>
      <c r="AE862" s="189"/>
      <c r="AH862" s="179"/>
      <c r="AJ862" s="191"/>
      <c r="AK862" s="191"/>
      <c r="AM862" s="191"/>
      <c r="AN862" s="191"/>
      <c r="AQ862" s="179"/>
      <c r="AR862" s="192"/>
      <c r="AS862" s="192"/>
      <c r="AU862" s="192"/>
      <c r="AV862" s="192"/>
      <c r="AY862" s="179"/>
      <c r="BA862" s="192"/>
      <c r="BB862" s="192"/>
      <c r="BD862" s="192"/>
      <c r="BE862" s="192"/>
      <c r="BH862" s="179"/>
      <c r="BI862" s="192"/>
      <c r="BJ862" s="192"/>
      <c r="BL862" s="192"/>
      <c r="BM862" s="192"/>
      <c r="BP862" s="179"/>
    </row>
    <row r="863">
      <c r="B863" s="189"/>
      <c r="C863" s="189"/>
      <c r="E863" s="189"/>
      <c r="F863" s="189"/>
      <c r="I863" s="179"/>
      <c r="J863" s="189"/>
      <c r="K863" s="189"/>
      <c r="M863" s="189"/>
      <c r="N863" s="189"/>
      <c r="Q863" s="179"/>
      <c r="S863" s="189"/>
      <c r="T863" s="189"/>
      <c r="V863" s="189"/>
      <c r="W863" s="189"/>
      <c r="Z863" s="179"/>
      <c r="AA863" s="189"/>
      <c r="AB863" s="189"/>
      <c r="AD863" s="189"/>
      <c r="AE863" s="189"/>
      <c r="AH863" s="179"/>
      <c r="AJ863" s="191"/>
      <c r="AK863" s="191"/>
      <c r="AM863" s="191"/>
      <c r="AN863" s="191"/>
      <c r="AQ863" s="179"/>
      <c r="AR863" s="192"/>
      <c r="AS863" s="192"/>
      <c r="AU863" s="192"/>
      <c r="AV863" s="192"/>
      <c r="AY863" s="179"/>
      <c r="BA863" s="192"/>
      <c r="BB863" s="192"/>
      <c r="BD863" s="192"/>
      <c r="BE863" s="192"/>
      <c r="BH863" s="179"/>
      <c r="BI863" s="192"/>
      <c r="BJ863" s="192"/>
      <c r="BL863" s="192"/>
      <c r="BM863" s="192"/>
      <c r="BP863" s="179"/>
    </row>
    <row r="864">
      <c r="B864" s="189"/>
      <c r="C864" s="189"/>
      <c r="E864" s="189"/>
      <c r="F864" s="189"/>
      <c r="I864" s="179"/>
      <c r="J864" s="189"/>
      <c r="K864" s="189"/>
      <c r="M864" s="189"/>
      <c r="N864" s="189"/>
      <c r="Q864" s="179"/>
      <c r="S864" s="189"/>
      <c r="T864" s="189"/>
      <c r="V864" s="189"/>
      <c r="W864" s="189"/>
      <c r="Z864" s="179"/>
      <c r="AA864" s="189"/>
      <c r="AB864" s="189"/>
      <c r="AD864" s="189"/>
      <c r="AE864" s="189"/>
      <c r="AH864" s="179"/>
      <c r="AJ864" s="191"/>
      <c r="AK864" s="191"/>
      <c r="AM864" s="191"/>
      <c r="AN864" s="191"/>
      <c r="AQ864" s="179"/>
      <c r="AR864" s="192"/>
      <c r="AS864" s="192"/>
      <c r="AU864" s="192"/>
      <c r="AV864" s="192"/>
      <c r="AY864" s="179"/>
      <c r="BA864" s="192"/>
      <c r="BB864" s="192"/>
      <c r="BD864" s="192"/>
      <c r="BE864" s="192"/>
      <c r="BH864" s="179"/>
      <c r="BI864" s="192"/>
      <c r="BJ864" s="192"/>
      <c r="BL864" s="192"/>
      <c r="BM864" s="192"/>
      <c r="BP864" s="179"/>
    </row>
    <row r="865">
      <c r="B865" s="189"/>
      <c r="C865" s="189"/>
      <c r="E865" s="189"/>
      <c r="F865" s="189"/>
      <c r="I865" s="179"/>
      <c r="J865" s="189"/>
      <c r="K865" s="189"/>
      <c r="M865" s="189"/>
      <c r="N865" s="189"/>
      <c r="Q865" s="179"/>
      <c r="S865" s="189"/>
      <c r="T865" s="189"/>
      <c r="V865" s="189"/>
      <c r="W865" s="189"/>
      <c r="Z865" s="179"/>
      <c r="AA865" s="189"/>
      <c r="AB865" s="189"/>
      <c r="AD865" s="189"/>
      <c r="AE865" s="189"/>
      <c r="AH865" s="179"/>
      <c r="AJ865" s="191"/>
      <c r="AK865" s="191"/>
      <c r="AM865" s="191"/>
      <c r="AN865" s="191"/>
      <c r="AQ865" s="179"/>
      <c r="AR865" s="192"/>
      <c r="AS865" s="192"/>
      <c r="AU865" s="192"/>
      <c r="AV865" s="192"/>
      <c r="AY865" s="179"/>
      <c r="BA865" s="192"/>
      <c r="BB865" s="192"/>
      <c r="BD865" s="192"/>
      <c r="BE865" s="192"/>
      <c r="BH865" s="179"/>
      <c r="BI865" s="192"/>
      <c r="BJ865" s="192"/>
      <c r="BL865" s="192"/>
      <c r="BM865" s="192"/>
      <c r="BP865" s="179"/>
    </row>
    <row r="866">
      <c r="B866" s="189"/>
      <c r="C866" s="189"/>
      <c r="E866" s="189"/>
      <c r="F866" s="189"/>
      <c r="I866" s="179"/>
      <c r="J866" s="189"/>
      <c r="K866" s="189"/>
      <c r="M866" s="189"/>
      <c r="N866" s="189"/>
      <c r="Q866" s="179"/>
      <c r="S866" s="189"/>
      <c r="T866" s="189"/>
      <c r="V866" s="189"/>
      <c r="W866" s="189"/>
      <c r="Z866" s="179"/>
      <c r="AA866" s="189"/>
      <c r="AB866" s="189"/>
      <c r="AD866" s="189"/>
      <c r="AE866" s="189"/>
      <c r="AH866" s="179"/>
      <c r="AJ866" s="191"/>
      <c r="AK866" s="191"/>
      <c r="AM866" s="191"/>
      <c r="AN866" s="191"/>
      <c r="AQ866" s="179"/>
      <c r="AR866" s="192"/>
      <c r="AS866" s="192"/>
      <c r="AU866" s="192"/>
      <c r="AV866" s="192"/>
      <c r="AY866" s="179"/>
      <c r="BA866" s="192"/>
      <c r="BB866" s="192"/>
      <c r="BD866" s="192"/>
      <c r="BE866" s="192"/>
      <c r="BH866" s="179"/>
      <c r="BI866" s="192"/>
      <c r="BJ866" s="192"/>
      <c r="BL866" s="192"/>
      <c r="BM866" s="192"/>
      <c r="BP866" s="179"/>
    </row>
    <row r="867">
      <c r="B867" s="189"/>
      <c r="C867" s="189"/>
      <c r="E867" s="189"/>
      <c r="F867" s="189"/>
      <c r="I867" s="179"/>
      <c r="J867" s="189"/>
      <c r="K867" s="189"/>
      <c r="M867" s="189"/>
      <c r="N867" s="189"/>
      <c r="Q867" s="179"/>
      <c r="S867" s="189"/>
      <c r="T867" s="189"/>
      <c r="V867" s="189"/>
      <c r="W867" s="189"/>
      <c r="Z867" s="179"/>
      <c r="AA867" s="189"/>
      <c r="AB867" s="189"/>
      <c r="AD867" s="189"/>
      <c r="AE867" s="189"/>
      <c r="AH867" s="179"/>
      <c r="AJ867" s="191"/>
      <c r="AK867" s="191"/>
      <c r="AM867" s="191"/>
      <c r="AN867" s="191"/>
      <c r="AQ867" s="179"/>
      <c r="AR867" s="192"/>
      <c r="AS867" s="192"/>
      <c r="AU867" s="192"/>
      <c r="AV867" s="192"/>
      <c r="AY867" s="179"/>
      <c r="BA867" s="192"/>
      <c r="BB867" s="192"/>
      <c r="BD867" s="192"/>
      <c r="BE867" s="192"/>
      <c r="BH867" s="179"/>
      <c r="BI867" s="192"/>
      <c r="BJ867" s="192"/>
      <c r="BL867" s="192"/>
      <c r="BM867" s="192"/>
      <c r="BP867" s="179"/>
    </row>
    <row r="868">
      <c r="B868" s="189"/>
      <c r="C868" s="189"/>
      <c r="E868" s="189"/>
      <c r="F868" s="189"/>
      <c r="I868" s="179"/>
      <c r="J868" s="189"/>
      <c r="K868" s="189"/>
      <c r="M868" s="189"/>
      <c r="N868" s="189"/>
      <c r="Q868" s="179"/>
      <c r="S868" s="189"/>
      <c r="T868" s="189"/>
      <c r="V868" s="189"/>
      <c r="W868" s="189"/>
      <c r="Z868" s="179"/>
      <c r="AA868" s="189"/>
      <c r="AB868" s="189"/>
      <c r="AD868" s="189"/>
      <c r="AE868" s="189"/>
      <c r="AH868" s="179"/>
      <c r="AJ868" s="191"/>
      <c r="AK868" s="191"/>
      <c r="AM868" s="191"/>
      <c r="AN868" s="191"/>
      <c r="AQ868" s="179"/>
      <c r="AR868" s="192"/>
      <c r="AS868" s="192"/>
      <c r="AU868" s="192"/>
      <c r="AV868" s="192"/>
      <c r="AY868" s="179"/>
      <c r="BA868" s="192"/>
      <c r="BB868" s="192"/>
      <c r="BD868" s="192"/>
      <c r="BE868" s="192"/>
      <c r="BH868" s="179"/>
      <c r="BI868" s="192"/>
      <c r="BJ868" s="192"/>
      <c r="BL868" s="192"/>
      <c r="BM868" s="192"/>
      <c r="BP868" s="179"/>
    </row>
    <row r="869">
      <c r="B869" s="189"/>
      <c r="C869" s="189"/>
      <c r="E869" s="189"/>
      <c r="F869" s="189"/>
      <c r="I869" s="179"/>
      <c r="J869" s="189"/>
      <c r="K869" s="189"/>
      <c r="M869" s="189"/>
      <c r="N869" s="189"/>
      <c r="Q869" s="179"/>
      <c r="S869" s="189"/>
      <c r="T869" s="189"/>
      <c r="V869" s="189"/>
      <c r="W869" s="189"/>
      <c r="Z869" s="179"/>
      <c r="AA869" s="189"/>
      <c r="AB869" s="189"/>
      <c r="AD869" s="189"/>
      <c r="AE869" s="189"/>
      <c r="AH869" s="179"/>
      <c r="AJ869" s="191"/>
      <c r="AK869" s="191"/>
      <c r="AM869" s="191"/>
      <c r="AN869" s="191"/>
      <c r="AQ869" s="179"/>
      <c r="AR869" s="192"/>
      <c r="AS869" s="192"/>
      <c r="AU869" s="192"/>
      <c r="AV869" s="192"/>
      <c r="AY869" s="179"/>
      <c r="BA869" s="192"/>
      <c r="BB869" s="192"/>
      <c r="BD869" s="192"/>
      <c r="BE869" s="192"/>
      <c r="BH869" s="179"/>
      <c r="BI869" s="192"/>
      <c r="BJ869" s="192"/>
      <c r="BL869" s="192"/>
      <c r="BM869" s="192"/>
      <c r="BP869" s="179"/>
    </row>
    <row r="870">
      <c r="B870" s="189"/>
      <c r="C870" s="189"/>
      <c r="E870" s="189"/>
      <c r="F870" s="189"/>
      <c r="I870" s="179"/>
      <c r="J870" s="189"/>
      <c r="K870" s="189"/>
      <c r="M870" s="189"/>
      <c r="N870" s="189"/>
      <c r="Q870" s="179"/>
      <c r="S870" s="189"/>
      <c r="T870" s="189"/>
      <c r="V870" s="189"/>
      <c r="W870" s="189"/>
      <c r="Z870" s="179"/>
      <c r="AA870" s="189"/>
      <c r="AB870" s="189"/>
      <c r="AD870" s="189"/>
      <c r="AE870" s="189"/>
      <c r="AH870" s="179"/>
      <c r="AJ870" s="191"/>
      <c r="AK870" s="191"/>
      <c r="AM870" s="191"/>
      <c r="AN870" s="191"/>
      <c r="AQ870" s="179"/>
      <c r="AR870" s="192"/>
      <c r="AS870" s="192"/>
      <c r="AU870" s="192"/>
      <c r="AV870" s="192"/>
      <c r="AY870" s="179"/>
      <c r="BA870" s="192"/>
      <c r="BB870" s="192"/>
      <c r="BD870" s="192"/>
      <c r="BE870" s="192"/>
      <c r="BH870" s="179"/>
      <c r="BI870" s="192"/>
      <c r="BJ870" s="192"/>
      <c r="BL870" s="192"/>
      <c r="BM870" s="192"/>
      <c r="BP870" s="179"/>
    </row>
    <row r="871">
      <c r="B871" s="189"/>
      <c r="C871" s="189"/>
      <c r="E871" s="189"/>
      <c r="F871" s="189"/>
      <c r="I871" s="179"/>
      <c r="J871" s="189"/>
      <c r="K871" s="189"/>
      <c r="M871" s="189"/>
      <c r="N871" s="189"/>
      <c r="Q871" s="179"/>
      <c r="S871" s="189"/>
      <c r="T871" s="189"/>
      <c r="V871" s="189"/>
      <c r="W871" s="189"/>
      <c r="Z871" s="179"/>
      <c r="AA871" s="189"/>
      <c r="AB871" s="189"/>
      <c r="AD871" s="189"/>
      <c r="AE871" s="189"/>
      <c r="AH871" s="179"/>
      <c r="AJ871" s="191"/>
      <c r="AK871" s="191"/>
      <c r="AM871" s="191"/>
      <c r="AN871" s="191"/>
      <c r="AQ871" s="179"/>
      <c r="AR871" s="192"/>
      <c r="AS871" s="192"/>
      <c r="AU871" s="192"/>
      <c r="AV871" s="192"/>
      <c r="AY871" s="179"/>
      <c r="BA871" s="192"/>
      <c r="BB871" s="192"/>
      <c r="BD871" s="192"/>
      <c r="BE871" s="192"/>
      <c r="BH871" s="179"/>
      <c r="BI871" s="192"/>
      <c r="BJ871" s="192"/>
      <c r="BL871" s="192"/>
      <c r="BM871" s="192"/>
      <c r="BP871" s="179"/>
    </row>
    <row r="872">
      <c r="B872" s="189"/>
      <c r="C872" s="189"/>
      <c r="E872" s="189"/>
      <c r="F872" s="189"/>
      <c r="I872" s="179"/>
      <c r="J872" s="189"/>
      <c r="K872" s="189"/>
      <c r="M872" s="189"/>
      <c r="N872" s="189"/>
      <c r="Q872" s="179"/>
      <c r="S872" s="189"/>
      <c r="T872" s="189"/>
      <c r="V872" s="189"/>
      <c r="W872" s="189"/>
      <c r="Z872" s="179"/>
      <c r="AA872" s="189"/>
      <c r="AB872" s="189"/>
      <c r="AD872" s="189"/>
      <c r="AE872" s="189"/>
      <c r="AH872" s="179"/>
      <c r="AJ872" s="191"/>
      <c r="AK872" s="191"/>
      <c r="AM872" s="191"/>
      <c r="AN872" s="191"/>
      <c r="AQ872" s="179"/>
      <c r="AR872" s="192"/>
      <c r="AS872" s="192"/>
      <c r="AU872" s="192"/>
      <c r="AV872" s="192"/>
      <c r="AY872" s="179"/>
      <c r="BA872" s="192"/>
      <c r="BB872" s="192"/>
      <c r="BD872" s="192"/>
      <c r="BE872" s="192"/>
      <c r="BH872" s="179"/>
      <c r="BI872" s="192"/>
      <c r="BJ872" s="192"/>
      <c r="BL872" s="192"/>
      <c r="BM872" s="192"/>
      <c r="BP872" s="179"/>
    </row>
    <row r="873">
      <c r="B873" s="189"/>
      <c r="C873" s="189"/>
      <c r="E873" s="189"/>
      <c r="F873" s="189"/>
      <c r="I873" s="179"/>
      <c r="J873" s="189"/>
      <c r="K873" s="189"/>
      <c r="M873" s="189"/>
      <c r="N873" s="189"/>
      <c r="Q873" s="179"/>
      <c r="S873" s="189"/>
      <c r="T873" s="189"/>
      <c r="V873" s="189"/>
      <c r="W873" s="189"/>
      <c r="Z873" s="179"/>
      <c r="AA873" s="189"/>
      <c r="AB873" s="189"/>
      <c r="AD873" s="189"/>
      <c r="AE873" s="189"/>
      <c r="AH873" s="179"/>
      <c r="AJ873" s="191"/>
      <c r="AK873" s="191"/>
      <c r="AM873" s="191"/>
      <c r="AN873" s="191"/>
      <c r="AQ873" s="179"/>
      <c r="AR873" s="192"/>
      <c r="AS873" s="192"/>
      <c r="AU873" s="192"/>
      <c r="AV873" s="192"/>
      <c r="AY873" s="179"/>
      <c r="BA873" s="192"/>
      <c r="BB873" s="192"/>
      <c r="BD873" s="192"/>
      <c r="BE873" s="192"/>
      <c r="BH873" s="179"/>
      <c r="BI873" s="192"/>
      <c r="BJ873" s="192"/>
      <c r="BL873" s="192"/>
      <c r="BM873" s="192"/>
      <c r="BP873" s="179"/>
    </row>
    <row r="874">
      <c r="B874" s="189"/>
      <c r="C874" s="189"/>
      <c r="E874" s="189"/>
      <c r="F874" s="189"/>
      <c r="I874" s="179"/>
      <c r="J874" s="189"/>
      <c r="K874" s="189"/>
      <c r="M874" s="189"/>
      <c r="N874" s="189"/>
      <c r="Q874" s="179"/>
      <c r="S874" s="189"/>
      <c r="T874" s="189"/>
      <c r="V874" s="189"/>
      <c r="W874" s="189"/>
      <c r="Z874" s="179"/>
      <c r="AA874" s="189"/>
      <c r="AB874" s="189"/>
      <c r="AD874" s="189"/>
      <c r="AE874" s="189"/>
      <c r="AH874" s="179"/>
      <c r="AJ874" s="191"/>
      <c r="AK874" s="191"/>
      <c r="AM874" s="191"/>
      <c r="AN874" s="191"/>
      <c r="AQ874" s="179"/>
      <c r="AR874" s="192"/>
      <c r="AS874" s="192"/>
      <c r="AU874" s="192"/>
      <c r="AV874" s="192"/>
      <c r="AY874" s="179"/>
      <c r="BA874" s="192"/>
      <c r="BB874" s="192"/>
      <c r="BD874" s="192"/>
      <c r="BE874" s="192"/>
      <c r="BH874" s="179"/>
      <c r="BI874" s="192"/>
      <c r="BJ874" s="192"/>
      <c r="BL874" s="192"/>
      <c r="BM874" s="192"/>
      <c r="BP874" s="179"/>
    </row>
    <row r="875">
      <c r="B875" s="189"/>
      <c r="C875" s="189"/>
      <c r="E875" s="189"/>
      <c r="F875" s="189"/>
      <c r="I875" s="179"/>
      <c r="J875" s="189"/>
      <c r="K875" s="189"/>
      <c r="M875" s="189"/>
      <c r="N875" s="189"/>
      <c r="Q875" s="179"/>
      <c r="S875" s="189"/>
      <c r="T875" s="189"/>
      <c r="V875" s="189"/>
      <c r="W875" s="189"/>
      <c r="Z875" s="179"/>
      <c r="AA875" s="189"/>
      <c r="AB875" s="189"/>
      <c r="AD875" s="189"/>
      <c r="AE875" s="189"/>
      <c r="AH875" s="179"/>
      <c r="AJ875" s="191"/>
      <c r="AK875" s="191"/>
      <c r="AM875" s="191"/>
      <c r="AN875" s="191"/>
      <c r="AQ875" s="179"/>
      <c r="AR875" s="192"/>
      <c r="AS875" s="192"/>
      <c r="AU875" s="192"/>
      <c r="AV875" s="192"/>
      <c r="AY875" s="179"/>
      <c r="BA875" s="192"/>
      <c r="BB875" s="192"/>
      <c r="BD875" s="192"/>
      <c r="BE875" s="192"/>
      <c r="BH875" s="179"/>
      <c r="BI875" s="192"/>
      <c r="BJ875" s="192"/>
      <c r="BL875" s="192"/>
      <c r="BM875" s="192"/>
      <c r="BP875" s="179"/>
    </row>
    <row r="876">
      <c r="B876" s="189"/>
      <c r="C876" s="189"/>
      <c r="E876" s="189"/>
      <c r="F876" s="189"/>
      <c r="I876" s="179"/>
      <c r="J876" s="189"/>
      <c r="K876" s="189"/>
      <c r="M876" s="189"/>
      <c r="N876" s="189"/>
      <c r="Q876" s="179"/>
      <c r="S876" s="189"/>
      <c r="T876" s="189"/>
      <c r="V876" s="189"/>
      <c r="W876" s="189"/>
      <c r="Z876" s="179"/>
      <c r="AA876" s="189"/>
      <c r="AB876" s="189"/>
      <c r="AD876" s="189"/>
      <c r="AE876" s="189"/>
      <c r="AH876" s="179"/>
      <c r="AJ876" s="191"/>
      <c r="AK876" s="191"/>
      <c r="AM876" s="191"/>
      <c r="AN876" s="191"/>
      <c r="AQ876" s="179"/>
      <c r="AR876" s="192"/>
      <c r="AS876" s="192"/>
      <c r="AU876" s="192"/>
      <c r="AV876" s="192"/>
      <c r="AY876" s="179"/>
      <c r="BA876" s="192"/>
      <c r="BB876" s="192"/>
      <c r="BD876" s="192"/>
      <c r="BE876" s="192"/>
      <c r="BH876" s="179"/>
      <c r="BI876" s="192"/>
      <c r="BJ876" s="192"/>
      <c r="BL876" s="192"/>
      <c r="BM876" s="192"/>
      <c r="BP876" s="179"/>
    </row>
    <row r="877">
      <c r="B877" s="189"/>
      <c r="C877" s="189"/>
      <c r="E877" s="189"/>
      <c r="F877" s="189"/>
      <c r="I877" s="179"/>
      <c r="J877" s="189"/>
      <c r="K877" s="189"/>
      <c r="M877" s="189"/>
      <c r="N877" s="189"/>
      <c r="Q877" s="179"/>
      <c r="S877" s="189"/>
      <c r="T877" s="189"/>
      <c r="V877" s="189"/>
      <c r="W877" s="189"/>
      <c r="Z877" s="179"/>
      <c r="AA877" s="189"/>
      <c r="AB877" s="189"/>
      <c r="AD877" s="189"/>
      <c r="AE877" s="189"/>
      <c r="AH877" s="179"/>
      <c r="AJ877" s="191"/>
      <c r="AK877" s="191"/>
      <c r="AM877" s="191"/>
      <c r="AN877" s="191"/>
      <c r="AQ877" s="179"/>
      <c r="AR877" s="192"/>
      <c r="AS877" s="192"/>
      <c r="AU877" s="192"/>
      <c r="AV877" s="192"/>
      <c r="AY877" s="179"/>
      <c r="BA877" s="192"/>
      <c r="BB877" s="192"/>
      <c r="BD877" s="192"/>
      <c r="BE877" s="192"/>
      <c r="BH877" s="179"/>
      <c r="BI877" s="192"/>
      <c r="BJ877" s="192"/>
      <c r="BL877" s="192"/>
      <c r="BM877" s="192"/>
      <c r="BP877" s="179"/>
    </row>
    <row r="878">
      <c r="B878" s="189"/>
      <c r="C878" s="189"/>
      <c r="E878" s="189"/>
      <c r="F878" s="189"/>
      <c r="I878" s="179"/>
      <c r="J878" s="189"/>
      <c r="K878" s="189"/>
      <c r="M878" s="189"/>
      <c r="N878" s="189"/>
      <c r="Q878" s="179"/>
      <c r="S878" s="189"/>
      <c r="T878" s="189"/>
      <c r="V878" s="189"/>
      <c r="W878" s="189"/>
      <c r="Z878" s="179"/>
      <c r="AA878" s="189"/>
      <c r="AB878" s="189"/>
      <c r="AD878" s="189"/>
      <c r="AE878" s="189"/>
      <c r="AH878" s="179"/>
      <c r="AJ878" s="191"/>
      <c r="AK878" s="191"/>
      <c r="AM878" s="191"/>
      <c r="AN878" s="191"/>
      <c r="AQ878" s="179"/>
      <c r="AR878" s="192"/>
      <c r="AS878" s="192"/>
      <c r="AU878" s="192"/>
      <c r="AV878" s="192"/>
      <c r="AY878" s="179"/>
      <c r="BA878" s="192"/>
      <c r="BB878" s="192"/>
      <c r="BD878" s="192"/>
      <c r="BE878" s="192"/>
      <c r="BH878" s="179"/>
      <c r="BI878" s="192"/>
      <c r="BJ878" s="192"/>
      <c r="BL878" s="192"/>
      <c r="BM878" s="192"/>
      <c r="BP878" s="179"/>
    </row>
    <row r="879">
      <c r="B879" s="189"/>
      <c r="C879" s="189"/>
      <c r="E879" s="189"/>
      <c r="F879" s="189"/>
      <c r="I879" s="179"/>
      <c r="J879" s="189"/>
      <c r="K879" s="189"/>
      <c r="M879" s="189"/>
      <c r="N879" s="189"/>
      <c r="Q879" s="179"/>
      <c r="S879" s="189"/>
      <c r="T879" s="189"/>
      <c r="V879" s="189"/>
      <c r="W879" s="189"/>
      <c r="Z879" s="179"/>
      <c r="AA879" s="189"/>
      <c r="AB879" s="189"/>
      <c r="AD879" s="189"/>
      <c r="AE879" s="189"/>
      <c r="AH879" s="179"/>
      <c r="AJ879" s="191"/>
      <c r="AK879" s="191"/>
      <c r="AM879" s="191"/>
      <c r="AN879" s="191"/>
      <c r="AQ879" s="179"/>
      <c r="AR879" s="192"/>
      <c r="AS879" s="192"/>
      <c r="AU879" s="192"/>
      <c r="AV879" s="192"/>
      <c r="AY879" s="179"/>
      <c r="BA879" s="192"/>
      <c r="BB879" s="192"/>
      <c r="BD879" s="192"/>
      <c r="BE879" s="192"/>
      <c r="BH879" s="179"/>
      <c r="BI879" s="192"/>
      <c r="BJ879" s="192"/>
      <c r="BL879" s="192"/>
      <c r="BM879" s="192"/>
      <c r="BP879" s="179"/>
    </row>
    <row r="880">
      <c r="B880" s="189"/>
      <c r="C880" s="189"/>
      <c r="E880" s="189"/>
      <c r="F880" s="189"/>
      <c r="I880" s="179"/>
      <c r="J880" s="189"/>
      <c r="K880" s="189"/>
      <c r="M880" s="189"/>
      <c r="N880" s="189"/>
      <c r="Q880" s="179"/>
      <c r="S880" s="189"/>
      <c r="T880" s="189"/>
      <c r="V880" s="189"/>
      <c r="W880" s="189"/>
      <c r="Z880" s="179"/>
      <c r="AA880" s="189"/>
      <c r="AB880" s="189"/>
      <c r="AD880" s="189"/>
      <c r="AE880" s="189"/>
      <c r="AH880" s="179"/>
      <c r="AJ880" s="191"/>
      <c r="AK880" s="191"/>
      <c r="AM880" s="191"/>
      <c r="AN880" s="191"/>
      <c r="AQ880" s="179"/>
      <c r="AR880" s="192"/>
      <c r="AS880" s="192"/>
      <c r="AU880" s="192"/>
      <c r="AV880" s="192"/>
      <c r="AY880" s="179"/>
      <c r="BA880" s="192"/>
      <c r="BB880" s="192"/>
      <c r="BD880" s="192"/>
      <c r="BE880" s="192"/>
      <c r="BH880" s="179"/>
      <c r="BI880" s="192"/>
      <c r="BJ880" s="192"/>
      <c r="BL880" s="192"/>
      <c r="BM880" s="192"/>
      <c r="BP880" s="179"/>
    </row>
    <row r="881">
      <c r="B881" s="189"/>
      <c r="C881" s="189"/>
      <c r="E881" s="189"/>
      <c r="F881" s="189"/>
      <c r="I881" s="179"/>
      <c r="J881" s="189"/>
      <c r="K881" s="189"/>
      <c r="M881" s="189"/>
      <c r="N881" s="189"/>
      <c r="Q881" s="179"/>
      <c r="S881" s="189"/>
      <c r="T881" s="189"/>
      <c r="V881" s="189"/>
      <c r="W881" s="189"/>
      <c r="Z881" s="179"/>
      <c r="AA881" s="189"/>
      <c r="AB881" s="189"/>
      <c r="AD881" s="189"/>
      <c r="AE881" s="189"/>
      <c r="AH881" s="179"/>
      <c r="AJ881" s="191"/>
      <c r="AK881" s="191"/>
      <c r="AM881" s="191"/>
      <c r="AN881" s="191"/>
      <c r="AQ881" s="179"/>
      <c r="AR881" s="192"/>
      <c r="AS881" s="192"/>
      <c r="AU881" s="192"/>
      <c r="AV881" s="192"/>
      <c r="AY881" s="179"/>
      <c r="BA881" s="192"/>
      <c r="BB881" s="192"/>
      <c r="BD881" s="192"/>
      <c r="BE881" s="192"/>
      <c r="BH881" s="179"/>
      <c r="BI881" s="192"/>
      <c r="BJ881" s="192"/>
      <c r="BL881" s="192"/>
      <c r="BM881" s="192"/>
      <c r="BP881" s="179"/>
    </row>
    <row r="882">
      <c r="B882" s="189"/>
      <c r="C882" s="189"/>
      <c r="E882" s="189"/>
      <c r="F882" s="189"/>
      <c r="I882" s="179"/>
      <c r="J882" s="189"/>
      <c r="K882" s="189"/>
      <c r="M882" s="189"/>
      <c r="N882" s="189"/>
      <c r="Q882" s="179"/>
      <c r="S882" s="189"/>
      <c r="T882" s="189"/>
      <c r="V882" s="189"/>
      <c r="W882" s="189"/>
      <c r="Z882" s="179"/>
      <c r="AA882" s="189"/>
      <c r="AB882" s="189"/>
      <c r="AD882" s="189"/>
      <c r="AE882" s="189"/>
      <c r="AH882" s="179"/>
      <c r="AJ882" s="191"/>
      <c r="AK882" s="191"/>
      <c r="AM882" s="191"/>
      <c r="AN882" s="191"/>
      <c r="AQ882" s="179"/>
      <c r="AR882" s="192"/>
      <c r="AS882" s="192"/>
      <c r="AU882" s="192"/>
      <c r="AV882" s="192"/>
      <c r="AY882" s="179"/>
      <c r="BA882" s="192"/>
      <c r="BB882" s="192"/>
      <c r="BD882" s="192"/>
      <c r="BE882" s="192"/>
      <c r="BH882" s="179"/>
      <c r="BI882" s="192"/>
      <c r="BJ882" s="192"/>
      <c r="BL882" s="192"/>
      <c r="BM882" s="192"/>
      <c r="BP882" s="179"/>
    </row>
    <row r="883">
      <c r="B883" s="189"/>
      <c r="C883" s="189"/>
      <c r="E883" s="189"/>
      <c r="F883" s="189"/>
      <c r="I883" s="179"/>
      <c r="J883" s="189"/>
      <c r="K883" s="189"/>
      <c r="M883" s="189"/>
      <c r="N883" s="189"/>
      <c r="Q883" s="179"/>
      <c r="S883" s="189"/>
      <c r="T883" s="189"/>
      <c r="V883" s="189"/>
      <c r="W883" s="189"/>
      <c r="Z883" s="179"/>
      <c r="AA883" s="189"/>
      <c r="AB883" s="189"/>
      <c r="AD883" s="189"/>
      <c r="AE883" s="189"/>
      <c r="AH883" s="179"/>
      <c r="AJ883" s="191"/>
      <c r="AK883" s="191"/>
      <c r="AM883" s="191"/>
      <c r="AN883" s="191"/>
      <c r="AQ883" s="179"/>
      <c r="AR883" s="192"/>
      <c r="AS883" s="192"/>
      <c r="AU883" s="192"/>
      <c r="AV883" s="192"/>
      <c r="AY883" s="179"/>
      <c r="BA883" s="192"/>
      <c r="BB883" s="192"/>
      <c r="BD883" s="192"/>
      <c r="BE883" s="192"/>
      <c r="BH883" s="179"/>
      <c r="BI883" s="192"/>
      <c r="BJ883" s="192"/>
      <c r="BL883" s="192"/>
      <c r="BM883" s="192"/>
      <c r="BP883" s="179"/>
    </row>
    <row r="884">
      <c r="B884" s="189"/>
      <c r="C884" s="189"/>
      <c r="E884" s="189"/>
      <c r="F884" s="189"/>
      <c r="I884" s="179"/>
      <c r="J884" s="189"/>
      <c r="K884" s="189"/>
      <c r="M884" s="189"/>
      <c r="N884" s="189"/>
      <c r="Q884" s="179"/>
      <c r="S884" s="189"/>
      <c r="T884" s="189"/>
      <c r="V884" s="189"/>
      <c r="W884" s="189"/>
      <c r="Z884" s="179"/>
      <c r="AA884" s="189"/>
      <c r="AB884" s="189"/>
      <c r="AD884" s="189"/>
      <c r="AE884" s="189"/>
      <c r="AH884" s="179"/>
      <c r="AJ884" s="191"/>
      <c r="AK884" s="191"/>
      <c r="AM884" s="191"/>
      <c r="AN884" s="191"/>
      <c r="AQ884" s="179"/>
      <c r="AR884" s="192"/>
      <c r="AS884" s="192"/>
      <c r="AU884" s="192"/>
      <c r="AV884" s="192"/>
      <c r="AY884" s="179"/>
      <c r="BA884" s="192"/>
      <c r="BB884" s="192"/>
      <c r="BD884" s="192"/>
      <c r="BE884" s="192"/>
      <c r="BH884" s="179"/>
      <c r="BI884" s="192"/>
      <c r="BJ884" s="192"/>
      <c r="BL884" s="192"/>
      <c r="BM884" s="192"/>
      <c r="BP884" s="179"/>
    </row>
    <row r="885">
      <c r="B885" s="189"/>
      <c r="C885" s="189"/>
      <c r="E885" s="189"/>
      <c r="F885" s="189"/>
      <c r="I885" s="179"/>
      <c r="J885" s="189"/>
      <c r="K885" s="189"/>
      <c r="M885" s="189"/>
      <c r="N885" s="189"/>
      <c r="Q885" s="179"/>
      <c r="S885" s="189"/>
      <c r="T885" s="189"/>
      <c r="V885" s="189"/>
      <c r="W885" s="189"/>
      <c r="Z885" s="179"/>
      <c r="AA885" s="189"/>
      <c r="AB885" s="189"/>
      <c r="AD885" s="189"/>
      <c r="AE885" s="189"/>
      <c r="AH885" s="179"/>
      <c r="AJ885" s="191"/>
      <c r="AK885" s="191"/>
      <c r="AM885" s="191"/>
      <c r="AN885" s="191"/>
      <c r="AQ885" s="179"/>
      <c r="AR885" s="192"/>
      <c r="AS885" s="192"/>
      <c r="AU885" s="192"/>
      <c r="AV885" s="192"/>
      <c r="AY885" s="179"/>
      <c r="BA885" s="192"/>
      <c r="BB885" s="192"/>
      <c r="BD885" s="192"/>
      <c r="BE885" s="192"/>
      <c r="BH885" s="179"/>
      <c r="BI885" s="192"/>
      <c r="BJ885" s="192"/>
      <c r="BL885" s="192"/>
      <c r="BM885" s="192"/>
      <c r="BP885" s="179"/>
    </row>
    <row r="886">
      <c r="B886" s="189"/>
      <c r="C886" s="189"/>
      <c r="E886" s="189"/>
      <c r="F886" s="189"/>
      <c r="I886" s="179"/>
      <c r="J886" s="189"/>
      <c r="K886" s="189"/>
      <c r="M886" s="189"/>
      <c r="N886" s="189"/>
      <c r="Q886" s="179"/>
      <c r="S886" s="189"/>
      <c r="T886" s="189"/>
      <c r="V886" s="189"/>
      <c r="W886" s="189"/>
      <c r="Z886" s="179"/>
      <c r="AA886" s="189"/>
      <c r="AB886" s="189"/>
      <c r="AD886" s="189"/>
      <c r="AE886" s="189"/>
      <c r="AH886" s="179"/>
      <c r="AJ886" s="191"/>
      <c r="AK886" s="191"/>
      <c r="AM886" s="191"/>
      <c r="AN886" s="191"/>
      <c r="AQ886" s="179"/>
      <c r="AR886" s="192"/>
      <c r="AS886" s="192"/>
      <c r="AU886" s="192"/>
      <c r="AV886" s="192"/>
      <c r="AY886" s="179"/>
      <c r="BA886" s="192"/>
      <c r="BB886" s="192"/>
      <c r="BD886" s="192"/>
      <c r="BE886" s="192"/>
      <c r="BH886" s="179"/>
      <c r="BI886" s="192"/>
      <c r="BJ886" s="192"/>
      <c r="BL886" s="192"/>
      <c r="BM886" s="192"/>
      <c r="BP886" s="179"/>
    </row>
    <row r="887">
      <c r="B887" s="189"/>
      <c r="C887" s="189"/>
      <c r="E887" s="189"/>
      <c r="F887" s="189"/>
      <c r="I887" s="179"/>
      <c r="J887" s="189"/>
      <c r="K887" s="189"/>
      <c r="M887" s="189"/>
      <c r="N887" s="189"/>
      <c r="Q887" s="179"/>
      <c r="S887" s="189"/>
      <c r="T887" s="189"/>
      <c r="V887" s="189"/>
      <c r="W887" s="189"/>
      <c r="Z887" s="179"/>
      <c r="AA887" s="189"/>
      <c r="AB887" s="189"/>
      <c r="AD887" s="189"/>
      <c r="AE887" s="189"/>
      <c r="AH887" s="179"/>
      <c r="AJ887" s="191"/>
      <c r="AK887" s="191"/>
      <c r="AM887" s="191"/>
      <c r="AN887" s="191"/>
      <c r="AQ887" s="179"/>
      <c r="AR887" s="192"/>
      <c r="AS887" s="192"/>
      <c r="AU887" s="192"/>
      <c r="AV887" s="192"/>
      <c r="AY887" s="179"/>
      <c r="BA887" s="192"/>
      <c r="BB887" s="192"/>
      <c r="BD887" s="192"/>
      <c r="BE887" s="192"/>
      <c r="BH887" s="179"/>
      <c r="BI887" s="192"/>
      <c r="BJ887" s="192"/>
      <c r="BL887" s="192"/>
      <c r="BM887" s="192"/>
      <c r="BP887" s="179"/>
    </row>
    <row r="888">
      <c r="B888" s="189"/>
      <c r="C888" s="189"/>
      <c r="E888" s="189"/>
      <c r="F888" s="189"/>
      <c r="I888" s="179"/>
      <c r="J888" s="189"/>
      <c r="K888" s="189"/>
      <c r="M888" s="189"/>
      <c r="N888" s="189"/>
      <c r="Q888" s="179"/>
      <c r="S888" s="189"/>
      <c r="T888" s="189"/>
      <c r="V888" s="189"/>
      <c r="W888" s="189"/>
      <c r="Z888" s="179"/>
      <c r="AA888" s="189"/>
      <c r="AB888" s="189"/>
      <c r="AD888" s="189"/>
      <c r="AE888" s="189"/>
      <c r="AH888" s="179"/>
      <c r="AJ888" s="191"/>
      <c r="AK888" s="191"/>
      <c r="AM888" s="191"/>
      <c r="AN888" s="191"/>
      <c r="AQ888" s="179"/>
      <c r="AR888" s="192"/>
      <c r="AS888" s="192"/>
      <c r="AU888" s="192"/>
      <c r="AV888" s="192"/>
      <c r="AY888" s="179"/>
      <c r="BA888" s="192"/>
      <c r="BB888" s="192"/>
      <c r="BD888" s="192"/>
      <c r="BE888" s="192"/>
      <c r="BH888" s="179"/>
      <c r="BI888" s="192"/>
      <c r="BJ888" s="192"/>
      <c r="BL888" s="192"/>
      <c r="BM888" s="192"/>
      <c r="BP888" s="179"/>
    </row>
    <row r="889">
      <c r="B889" s="189"/>
      <c r="C889" s="189"/>
      <c r="E889" s="189"/>
      <c r="F889" s="189"/>
      <c r="I889" s="179"/>
      <c r="J889" s="189"/>
      <c r="K889" s="189"/>
      <c r="M889" s="189"/>
      <c r="N889" s="189"/>
      <c r="Q889" s="179"/>
      <c r="S889" s="189"/>
      <c r="T889" s="189"/>
      <c r="V889" s="189"/>
      <c r="W889" s="189"/>
      <c r="Z889" s="179"/>
      <c r="AA889" s="189"/>
      <c r="AB889" s="189"/>
      <c r="AD889" s="189"/>
      <c r="AE889" s="189"/>
      <c r="AH889" s="179"/>
      <c r="AJ889" s="191"/>
      <c r="AK889" s="191"/>
      <c r="AM889" s="191"/>
      <c r="AN889" s="191"/>
      <c r="AQ889" s="179"/>
      <c r="AR889" s="192"/>
      <c r="AS889" s="192"/>
      <c r="AU889" s="192"/>
      <c r="AV889" s="192"/>
      <c r="AY889" s="179"/>
      <c r="BA889" s="192"/>
      <c r="BB889" s="192"/>
      <c r="BD889" s="192"/>
      <c r="BE889" s="192"/>
      <c r="BH889" s="179"/>
      <c r="BI889" s="192"/>
      <c r="BJ889" s="192"/>
      <c r="BL889" s="192"/>
      <c r="BM889" s="192"/>
      <c r="BP889" s="179"/>
    </row>
    <row r="890">
      <c r="B890" s="189"/>
      <c r="C890" s="189"/>
      <c r="E890" s="189"/>
      <c r="F890" s="189"/>
      <c r="I890" s="179"/>
      <c r="J890" s="189"/>
      <c r="K890" s="189"/>
      <c r="M890" s="189"/>
      <c r="N890" s="189"/>
      <c r="Q890" s="179"/>
      <c r="S890" s="189"/>
      <c r="T890" s="189"/>
      <c r="V890" s="189"/>
      <c r="W890" s="189"/>
      <c r="Z890" s="179"/>
      <c r="AA890" s="189"/>
      <c r="AB890" s="189"/>
      <c r="AD890" s="189"/>
      <c r="AE890" s="189"/>
      <c r="AH890" s="179"/>
      <c r="AJ890" s="191"/>
      <c r="AK890" s="191"/>
      <c r="AM890" s="191"/>
      <c r="AN890" s="191"/>
      <c r="AQ890" s="179"/>
      <c r="AR890" s="192"/>
      <c r="AS890" s="192"/>
      <c r="AU890" s="192"/>
      <c r="AV890" s="192"/>
      <c r="AY890" s="179"/>
      <c r="BA890" s="192"/>
      <c r="BB890" s="192"/>
      <c r="BD890" s="192"/>
      <c r="BE890" s="192"/>
      <c r="BH890" s="179"/>
      <c r="BI890" s="192"/>
      <c r="BJ890" s="192"/>
      <c r="BL890" s="192"/>
      <c r="BM890" s="192"/>
      <c r="BP890" s="179"/>
    </row>
    <row r="891">
      <c r="B891" s="189"/>
      <c r="C891" s="189"/>
      <c r="E891" s="189"/>
      <c r="F891" s="189"/>
      <c r="I891" s="179"/>
      <c r="J891" s="189"/>
      <c r="K891" s="189"/>
      <c r="M891" s="189"/>
      <c r="N891" s="189"/>
      <c r="Q891" s="179"/>
      <c r="S891" s="189"/>
      <c r="T891" s="189"/>
      <c r="V891" s="189"/>
      <c r="W891" s="189"/>
      <c r="Z891" s="179"/>
      <c r="AA891" s="189"/>
      <c r="AB891" s="189"/>
      <c r="AD891" s="189"/>
      <c r="AE891" s="189"/>
      <c r="AH891" s="179"/>
      <c r="AJ891" s="191"/>
      <c r="AK891" s="191"/>
      <c r="AM891" s="191"/>
      <c r="AN891" s="191"/>
      <c r="AQ891" s="179"/>
      <c r="AR891" s="192"/>
      <c r="AS891" s="192"/>
      <c r="AU891" s="192"/>
      <c r="AV891" s="192"/>
      <c r="AY891" s="179"/>
      <c r="BA891" s="192"/>
      <c r="BB891" s="192"/>
      <c r="BD891" s="192"/>
      <c r="BE891" s="192"/>
      <c r="BH891" s="179"/>
      <c r="BI891" s="192"/>
      <c r="BJ891" s="192"/>
      <c r="BL891" s="192"/>
      <c r="BM891" s="192"/>
      <c r="BP891" s="179"/>
    </row>
    <row r="892">
      <c r="B892" s="189"/>
      <c r="C892" s="189"/>
      <c r="E892" s="189"/>
      <c r="F892" s="189"/>
      <c r="I892" s="179"/>
      <c r="J892" s="189"/>
      <c r="K892" s="189"/>
      <c r="M892" s="189"/>
      <c r="N892" s="189"/>
      <c r="Q892" s="179"/>
      <c r="S892" s="189"/>
      <c r="T892" s="189"/>
      <c r="V892" s="189"/>
      <c r="W892" s="189"/>
      <c r="Z892" s="179"/>
      <c r="AA892" s="189"/>
      <c r="AB892" s="189"/>
      <c r="AD892" s="189"/>
      <c r="AE892" s="189"/>
      <c r="AH892" s="179"/>
      <c r="AJ892" s="191"/>
      <c r="AK892" s="191"/>
      <c r="AM892" s="191"/>
      <c r="AN892" s="191"/>
      <c r="AQ892" s="179"/>
      <c r="AR892" s="192"/>
      <c r="AS892" s="192"/>
      <c r="AU892" s="192"/>
      <c r="AV892" s="192"/>
      <c r="AY892" s="179"/>
      <c r="BA892" s="192"/>
      <c r="BB892" s="192"/>
      <c r="BD892" s="192"/>
      <c r="BE892" s="192"/>
      <c r="BH892" s="179"/>
      <c r="BI892" s="192"/>
      <c r="BJ892" s="192"/>
      <c r="BL892" s="192"/>
      <c r="BM892" s="192"/>
      <c r="BP892" s="179"/>
    </row>
    <row r="893">
      <c r="B893" s="189"/>
      <c r="C893" s="189"/>
      <c r="E893" s="189"/>
      <c r="F893" s="189"/>
      <c r="I893" s="179"/>
      <c r="J893" s="189"/>
      <c r="K893" s="189"/>
      <c r="M893" s="189"/>
      <c r="N893" s="189"/>
      <c r="Q893" s="179"/>
      <c r="S893" s="189"/>
      <c r="T893" s="189"/>
      <c r="V893" s="189"/>
      <c r="W893" s="189"/>
      <c r="Z893" s="179"/>
      <c r="AA893" s="189"/>
      <c r="AB893" s="189"/>
      <c r="AD893" s="189"/>
      <c r="AE893" s="189"/>
      <c r="AH893" s="179"/>
      <c r="AJ893" s="191"/>
      <c r="AK893" s="191"/>
      <c r="AM893" s="191"/>
      <c r="AN893" s="191"/>
      <c r="AQ893" s="179"/>
      <c r="AR893" s="192"/>
      <c r="AS893" s="192"/>
      <c r="AU893" s="192"/>
      <c r="AV893" s="192"/>
      <c r="AY893" s="179"/>
      <c r="BA893" s="192"/>
      <c r="BB893" s="192"/>
      <c r="BD893" s="192"/>
      <c r="BE893" s="192"/>
      <c r="BH893" s="179"/>
      <c r="BI893" s="192"/>
      <c r="BJ893" s="192"/>
      <c r="BL893" s="192"/>
      <c r="BM893" s="192"/>
      <c r="BP893" s="179"/>
    </row>
    <row r="894">
      <c r="B894" s="189"/>
      <c r="C894" s="189"/>
      <c r="E894" s="189"/>
      <c r="F894" s="189"/>
      <c r="I894" s="179"/>
      <c r="J894" s="189"/>
      <c r="K894" s="189"/>
      <c r="M894" s="189"/>
      <c r="N894" s="189"/>
      <c r="Q894" s="179"/>
      <c r="S894" s="189"/>
      <c r="T894" s="189"/>
      <c r="V894" s="189"/>
      <c r="W894" s="189"/>
      <c r="Z894" s="179"/>
      <c r="AA894" s="189"/>
      <c r="AB894" s="189"/>
      <c r="AD894" s="189"/>
      <c r="AE894" s="189"/>
      <c r="AH894" s="179"/>
      <c r="AJ894" s="191"/>
      <c r="AK894" s="191"/>
      <c r="AM894" s="191"/>
      <c r="AN894" s="191"/>
      <c r="AQ894" s="179"/>
      <c r="AR894" s="192"/>
      <c r="AS894" s="192"/>
      <c r="AU894" s="192"/>
      <c r="AV894" s="192"/>
      <c r="AY894" s="179"/>
      <c r="BA894" s="192"/>
      <c r="BB894" s="192"/>
      <c r="BD894" s="192"/>
      <c r="BE894" s="192"/>
      <c r="BH894" s="179"/>
      <c r="BI894" s="192"/>
      <c r="BJ894" s="192"/>
      <c r="BL894" s="192"/>
      <c r="BM894" s="192"/>
      <c r="BP894" s="179"/>
    </row>
    <row r="895">
      <c r="B895" s="189"/>
      <c r="C895" s="189"/>
      <c r="E895" s="189"/>
      <c r="F895" s="189"/>
      <c r="I895" s="179"/>
      <c r="J895" s="189"/>
      <c r="K895" s="189"/>
      <c r="M895" s="189"/>
      <c r="N895" s="189"/>
      <c r="Q895" s="179"/>
      <c r="S895" s="189"/>
      <c r="T895" s="189"/>
      <c r="V895" s="189"/>
      <c r="W895" s="189"/>
      <c r="Z895" s="179"/>
      <c r="AA895" s="189"/>
      <c r="AB895" s="189"/>
      <c r="AD895" s="189"/>
      <c r="AE895" s="189"/>
      <c r="AH895" s="179"/>
      <c r="AJ895" s="191"/>
      <c r="AK895" s="191"/>
      <c r="AM895" s="191"/>
      <c r="AN895" s="191"/>
      <c r="AQ895" s="179"/>
      <c r="AR895" s="192"/>
      <c r="AS895" s="192"/>
      <c r="AU895" s="192"/>
      <c r="AV895" s="192"/>
      <c r="AY895" s="179"/>
      <c r="BA895" s="192"/>
      <c r="BB895" s="192"/>
      <c r="BD895" s="192"/>
      <c r="BE895" s="192"/>
      <c r="BH895" s="179"/>
      <c r="BI895" s="192"/>
      <c r="BJ895" s="192"/>
      <c r="BL895" s="192"/>
      <c r="BM895" s="192"/>
      <c r="BP895" s="179"/>
    </row>
    <row r="896">
      <c r="B896" s="189"/>
      <c r="C896" s="189"/>
      <c r="E896" s="189"/>
      <c r="F896" s="189"/>
      <c r="I896" s="179"/>
      <c r="J896" s="189"/>
      <c r="K896" s="189"/>
      <c r="M896" s="189"/>
      <c r="N896" s="189"/>
      <c r="Q896" s="179"/>
      <c r="S896" s="189"/>
      <c r="T896" s="189"/>
      <c r="V896" s="189"/>
      <c r="W896" s="189"/>
      <c r="Z896" s="179"/>
      <c r="AA896" s="189"/>
      <c r="AB896" s="189"/>
      <c r="AD896" s="189"/>
      <c r="AE896" s="189"/>
      <c r="AH896" s="179"/>
      <c r="AJ896" s="191"/>
      <c r="AK896" s="191"/>
      <c r="AM896" s="191"/>
      <c r="AN896" s="191"/>
      <c r="AQ896" s="179"/>
      <c r="AR896" s="192"/>
      <c r="AS896" s="192"/>
      <c r="AU896" s="192"/>
      <c r="AV896" s="192"/>
      <c r="AY896" s="179"/>
      <c r="BA896" s="192"/>
      <c r="BB896" s="192"/>
      <c r="BD896" s="192"/>
      <c r="BE896" s="192"/>
      <c r="BH896" s="179"/>
      <c r="BI896" s="192"/>
      <c r="BJ896" s="192"/>
      <c r="BL896" s="192"/>
      <c r="BM896" s="192"/>
      <c r="BP896" s="179"/>
    </row>
    <row r="897">
      <c r="B897" s="189"/>
      <c r="C897" s="189"/>
      <c r="E897" s="189"/>
      <c r="F897" s="189"/>
      <c r="I897" s="179"/>
      <c r="J897" s="189"/>
      <c r="K897" s="189"/>
      <c r="M897" s="189"/>
      <c r="N897" s="189"/>
      <c r="Q897" s="179"/>
      <c r="S897" s="189"/>
      <c r="T897" s="189"/>
      <c r="V897" s="189"/>
      <c r="W897" s="189"/>
      <c r="Z897" s="179"/>
      <c r="AA897" s="189"/>
      <c r="AB897" s="189"/>
      <c r="AD897" s="189"/>
      <c r="AE897" s="189"/>
      <c r="AH897" s="179"/>
      <c r="AJ897" s="191"/>
      <c r="AK897" s="191"/>
      <c r="AM897" s="191"/>
      <c r="AN897" s="191"/>
      <c r="AQ897" s="179"/>
      <c r="AR897" s="192"/>
      <c r="AS897" s="192"/>
      <c r="AU897" s="192"/>
      <c r="AV897" s="192"/>
      <c r="AY897" s="179"/>
      <c r="BA897" s="192"/>
      <c r="BB897" s="192"/>
      <c r="BD897" s="192"/>
      <c r="BE897" s="192"/>
      <c r="BH897" s="179"/>
      <c r="BI897" s="192"/>
      <c r="BJ897" s="192"/>
      <c r="BL897" s="192"/>
      <c r="BM897" s="192"/>
      <c r="BP897" s="179"/>
    </row>
    <row r="898">
      <c r="B898" s="189"/>
      <c r="C898" s="189"/>
      <c r="E898" s="189"/>
      <c r="F898" s="189"/>
      <c r="I898" s="179"/>
      <c r="J898" s="189"/>
      <c r="K898" s="189"/>
      <c r="M898" s="189"/>
      <c r="N898" s="189"/>
      <c r="Q898" s="179"/>
      <c r="S898" s="189"/>
      <c r="T898" s="189"/>
      <c r="V898" s="189"/>
      <c r="W898" s="189"/>
      <c r="Z898" s="179"/>
      <c r="AA898" s="189"/>
      <c r="AB898" s="189"/>
      <c r="AD898" s="189"/>
      <c r="AE898" s="189"/>
      <c r="AH898" s="179"/>
      <c r="AJ898" s="191"/>
      <c r="AK898" s="191"/>
      <c r="AM898" s="191"/>
      <c r="AN898" s="191"/>
      <c r="AQ898" s="179"/>
      <c r="AR898" s="192"/>
      <c r="AS898" s="192"/>
      <c r="AU898" s="192"/>
      <c r="AV898" s="192"/>
      <c r="AY898" s="179"/>
      <c r="BA898" s="192"/>
      <c r="BB898" s="192"/>
      <c r="BD898" s="192"/>
      <c r="BE898" s="192"/>
      <c r="BH898" s="179"/>
      <c r="BI898" s="192"/>
      <c r="BJ898" s="192"/>
      <c r="BL898" s="192"/>
      <c r="BM898" s="192"/>
      <c r="BP898" s="179"/>
    </row>
    <row r="899">
      <c r="B899" s="189"/>
      <c r="C899" s="189"/>
      <c r="E899" s="189"/>
      <c r="F899" s="189"/>
      <c r="I899" s="179"/>
      <c r="J899" s="189"/>
      <c r="K899" s="189"/>
      <c r="M899" s="189"/>
      <c r="N899" s="189"/>
      <c r="Q899" s="179"/>
      <c r="S899" s="189"/>
      <c r="T899" s="189"/>
      <c r="V899" s="189"/>
      <c r="W899" s="189"/>
      <c r="Z899" s="179"/>
      <c r="AA899" s="189"/>
      <c r="AB899" s="189"/>
      <c r="AD899" s="189"/>
      <c r="AE899" s="189"/>
      <c r="AH899" s="179"/>
      <c r="AJ899" s="191"/>
      <c r="AK899" s="191"/>
      <c r="AM899" s="191"/>
      <c r="AN899" s="191"/>
      <c r="AQ899" s="179"/>
      <c r="AR899" s="192"/>
      <c r="AS899" s="192"/>
      <c r="AU899" s="192"/>
      <c r="AV899" s="192"/>
      <c r="AY899" s="179"/>
      <c r="BA899" s="192"/>
      <c r="BB899" s="192"/>
      <c r="BD899" s="192"/>
      <c r="BE899" s="192"/>
      <c r="BH899" s="179"/>
      <c r="BI899" s="192"/>
      <c r="BJ899" s="192"/>
      <c r="BL899" s="192"/>
      <c r="BM899" s="192"/>
      <c r="BP899" s="179"/>
    </row>
    <row r="900">
      <c r="B900" s="189"/>
      <c r="C900" s="189"/>
      <c r="E900" s="189"/>
      <c r="F900" s="189"/>
      <c r="I900" s="179"/>
      <c r="J900" s="189"/>
      <c r="K900" s="189"/>
      <c r="M900" s="189"/>
      <c r="N900" s="189"/>
      <c r="Q900" s="179"/>
      <c r="S900" s="189"/>
      <c r="T900" s="189"/>
      <c r="V900" s="189"/>
      <c r="W900" s="189"/>
      <c r="Z900" s="179"/>
      <c r="AA900" s="189"/>
      <c r="AB900" s="189"/>
      <c r="AD900" s="189"/>
      <c r="AE900" s="189"/>
      <c r="AH900" s="179"/>
      <c r="AJ900" s="191"/>
      <c r="AK900" s="191"/>
      <c r="AM900" s="191"/>
      <c r="AN900" s="191"/>
      <c r="AQ900" s="179"/>
      <c r="AR900" s="192"/>
      <c r="AS900" s="192"/>
      <c r="AU900" s="192"/>
      <c r="AV900" s="192"/>
      <c r="AY900" s="179"/>
      <c r="BA900" s="192"/>
      <c r="BB900" s="192"/>
      <c r="BD900" s="192"/>
      <c r="BE900" s="192"/>
      <c r="BH900" s="179"/>
      <c r="BI900" s="192"/>
      <c r="BJ900" s="192"/>
      <c r="BL900" s="192"/>
      <c r="BM900" s="192"/>
      <c r="BP900" s="179"/>
    </row>
    <row r="901">
      <c r="B901" s="189"/>
      <c r="C901" s="189"/>
      <c r="E901" s="189"/>
      <c r="F901" s="189"/>
      <c r="I901" s="179"/>
      <c r="J901" s="189"/>
      <c r="K901" s="189"/>
      <c r="M901" s="189"/>
      <c r="N901" s="189"/>
      <c r="Q901" s="179"/>
      <c r="S901" s="189"/>
      <c r="T901" s="189"/>
      <c r="V901" s="189"/>
      <c r="W901" s="189"/>
      <c r="Z901" s="179"/>
      <c r="AA901" s="189"/>
      <c r="AB901" s="189"/>
      <c r="AD901" s="189"/>
      <c r="AE901" s="189"/>
      <c r="AH901" s="179"/>
      <c r="AJ901" s="191"/>
      <c r="AK901" s="191"/>
      <c r="AM901" s="191"/>
      <c r="AN901" s="191"/>
      <c r="AQ901" s="179"/>
      <c r="AR901" s="192"/>
      <c r="AS901" s="192"/>
      <c r="AU901" s="192"/>
      <c r="AV901" s="192"/>
      <c r="AY901" s="179"/>
      <c r="BA901" s="192"/>
      <c r="BB901" s="192"/>
      <c r="BD901" s="192"/>
      <c r="BE901" s="192"/>
      <c r="BH901" s="179"/>
      <c r="BI901" s="192"/>
      <c r="BJ901" s="192"/>
      <c r="BL901" s="192"/>
      <c r="BM901" s="192"/>
      <c r="BP901" s="179"/>
    </row>
    <row r="902">
      <c r="B902" s="189"/>
      <c r="C902" s="189"/>
      <c r="E902" s="189"/>
      <c r="F902" s="189"/>
      <c r="I902" s="179"/>
      <c r="J902" s="189"/>
      <c r="K902" s="189"/>
      <c r="M902" s="189"/>
      <c r="N902" s="189"/>
      <c r="Q902" s="179"/>
      <c r="S902" s="189"/>
      <c r="T902" s="189"/>
      <c r="V902" s="189"/>
      <c r="W902" s="189"/>
      <c r="Z902" s="179"/>
      <c r="AA902" s="189"/>
      <c r="AB902" s="189"/>
      <c r="AD902" s="189"/>
      <c r="AE902" s="189"/>
      <c r="AH902" s="179"/>
      <c r="AJ902" s="191"/>
      <c r="AK902" s="191"/>
      <c r="AM902" s="191"/>
      <c r="AN902" s="191"/>
      <c r="AQ902" s="179"/>
      <c r="AR902" s="192"/>
      <c r="AS902" s="192"/>
      <c r="AU902" s="192"/>
      <c r="AV902" s="192"/>
      <c r="AY902" s="179"/>
      <c r="BA902" s="192"/>
      <c r="BB902" s="192"/>
      <c r="BD902" s="192"/>
      <c r="BE902" s="192"/>
      <c r="BH902" s="179"/>
      <c r="BI902" s="192"/>
      <c r="BJ902" s="192"/>
      <c r="BL902" s="192"/>
      <c r="BM902" s="192"/>
      <c r="BP902" s="179"/>
    </row>
    <row r="903">
      <c r="B903" s="189"/>
      <c r="C903" s="189"/>
      <c r="E903" s="189"/>
      <c r="F903" s="189"/>
      <c r="I903" s="179"/>
      <c r="J903" s="189"/>
      <c r="K903" s="189"/>
      <c r="M903" s="189"/>
      <c r="N903" s="189"/>
      <c r="Q903" s="179"/>
      <c r="S903" s="189"/>
      <c r="T903" s="189"/>
      <c r="V903" s="189"/>
      <c r="W903" s="189"/>
      <c r="Z903" s="179"/>
      <c r="AA903" s="189"/>
      <c r="AB903" s="189"/>
      <c r="AD903" s="189"/>
      <c r="AE903" s="189"/>
      <c r="AH903" s="179"/>
      <c r="AJ903" s="191"/>
      <c r="AK903" s="191"/>
      <c r="AM903" s="191"/>
      <c r="AN903" s="191"/>
      <c r="AQ903" s="179"/>
      <c r="AR903" s="192"/>
      <c r="AS903" s="192"/>
      <c r="AU903" s="192"/>
      <c r="AV903" s="192"/>
      <c r="AY903" s="179"/>
      <c r="BA903" s="192"/>
      <c r="BB903" s="192"/>
      <c r="BD903" s="192"/>
      <c r="BE903" s="192"/>
      <c r="BH903" s="179"/>
      <c r="BI903" s="192"/>
      <c r="BJ903" s="192"/>
      <c r="BL903" s="192"/>
      <c r="BM903" s="192"/>
      <c r="BP903" s="179"/>
    </row>
    <row r="904">
      <c r="B904" s="189"/>
      <c r="C904" s="189"/>
      <c r="E904" s="189"/>
      <c r="F904" s="189"/>
      <c r="I904" s="179"/>
      <c r="J904" s="189"/>
      <c r="K904" s="189"/>
      <c r="M904" s="189"/>
      <c r="N904" s="189"/>
      <c r="Q904" s="179"/>
      <c r="S904" s="189"/>
      <c r="T904" s="189"/>
      <c r="V904" s="189"/>
      <c r="W904" s="189"/>
      <c r="Z904" s="179"/>
      <c r="AA904" s="189"/>
      <c r="AB904" s="189"/>
      <c r="AD904" s="189"/>
      <c r="AE904" s="189"/>
      <c r="AH904" s="179"/>
      <c r="AJ904" s="191"/>
      <c r="AK904" s="191"/>
      <c r="AM904" s="191"/>
      <c r="AN904" s="191"/>
      <c r="AQ904" s="179"/>
      <c r="AR904" s="192"/>
      <c r="AS904" s="192"/>
      <c r="AU904" s="192"/>
      <c r="AV904" s="192"/>
      <c r="AY904" s="179"/>
      <c r="BA904" s="192"/>
      <c r="BB904" s="192"/>
      <c r="BD904" s="192"/>
      <c r="BE904" s="192"/>
      <c r="BH904" s="179"/>
      <c r="BI904" s="192"/>
      <c r="BJ904" s="192"/>
      <c r="BL904" s="192"/>
      <c r="BM904" s="192"/>
      <c r="BP904" s="179"/>
    </row>
    <row r="905">
      <c r="B905" s="189"/>
      <c r="C905" s="189"/>
      <c r="E905" s="189"/>
      <c r="F905" s="189"/>
      <c r="I905" s="179"/>
      <c r="J905" s="189"/>
      <c r="K905" s="189"/>
      <c r="M905" s="189"/>
      <c r="N905" s="189"/>
      <c r="Q905" s="179"/>
      <c r="S905" s="189"/>
      <c r="T905" s="189"/>
      <c r="V905" s="189"/>
      <c r="W905" s="189"/>
      <c r="Z905" s="179"/>
      <c r="AA905" s="189"/>
      <c r="AB905" s="189"/>
      <c r="AD905" s="189"/>
      <c r="AE905" s="189"/>
      <c r="AH905" s="179"/>
      <c r="AJ905" s="191"/>
      <c r="AK905" s="191"/>
      <c r="AM905" s="191"/>
      <c r="AN905" s="191"/>
      <c r="AQ905" s="179"/>
      <c r="AR905" s="192"/>
      <c r="AS905" s="192"/>
      <c r="AU905" s="192"/>
      <c r="AV905" s="192"/>
      <c r="AY905" s="179"/>
      <c r="BA905" s="192"/>
      <c r="BB905" s="192"/>
      <c r="BD905" s="192"/>
      <c r="BE905" s="192"/>
      <c r="BH905" s="179"/>
      <c r="BI905" s="192"/>
      <c r="BJ905" s="192"/>
      <c r="BL905" s="192"/>
      <c r="BM905" s="192"/>
      <c r="BP905" s="179"/>
    </row>
    <row r="906">
      <c r="B906" s="189"/>
      <c r="C906" s="189"/>
      <c r="E906" s="189"/>
      <c r="F906" s="189"/>
      <c r="I906" s="179"/>
      <c r="J906" s="189"/>
      <c r="K906" s="189"/>
      <c r="M906" s="189"/>
      <c r="N906" s="189"/>
      <c r="Q906" s="179"/>
      <c r="S906" s="189"/>
      <c r="T906" s="189"/>
      <c r="V906" s="189"/>
      <c r="W906" s="189"/>
      <c r="Z906" s="179"/>
      <c r="AA906" s="189"/>
      <c r="AB906" s="189"/>
      <c r="AD906" s="189"/>
      <c r="AE906" s="189"/>
      <c r="AH906" s="179"/>
      <c r="AJ906" s="191"/>
      <c r="AK906" s="191"/>
      <c r="AM906" s="191"/>
      <c r="AN906" s="191"/>
      <c r="AQ906" s="179"/>
      <c r="AR906" s="192"/>
      <c r="AS906" s="192"/>
      <c r="AU906" s="192"/>
      <c r="AV906" s="192"/>
      <c r="AY906" s="179"/>
      <c r="BA906" s="192"/>
      <c r="BB906" s="192"/>
      <c r="BD906" s="192"/>
      <c r="BE906" s="192"/>
      <c r="BH906" s="179"/>
      <c r="BI906" s="192"/>
      <c r="BJ906" s="192"/>
      <c r="BL906" s="192"/>
      <c r="BM906" s="192"/>
      <c r="BP906" s="179"/>
    </row>
    <row r="907">
      <c r="B907" s="189"/>
      <c r="C907" s="189"/>
      <c r="E907" s="189"/>
      <c r="F907" s="189"/>
      <c r="I907" s="179"/>
      <c r="J907" s="189"/>
      <c r="K907" s="189"/>
      <c r="M907" s="189"/>
      <c r="N907" s="189"/>
      <c r="Q907" s="179"/>
      <c r="S907" s="189"/>
      <c r="T907" s="189"/>
      <c r="V907" s="189"/>
      <c r="W907" s="189"/>
      <c r="Z907" s="179"/>
      <c r="AA907" s="189"/>
      <c r="AB907" s="189"/>
      <c r="AD907" s="189"/>
      <c r="AE907" s="189"/>
      <c r="AH907" s="179"/>
      <c r="AJ907" s="191"/>
      <c r="AK907" s="191"/>
      <c r="AM907" s="191"/>
      <c r="AN907" s="191"/>
      <c r="AQ907" s="179"/>
      <c r="AR907" s="192"/>
      <c r="AS907" s="192"/>
      <c r="AU907" s="192"/>
      <c r="AV907" s="192"/>
      <c r="AY907" s="179"/>
      <c r="BA907" s="192"/>
      <c r="BB907" s="192"/>
      <c r="BD907" s="192"/>
      <c r="BE907" s="192"/>
      <c r="BH907" s="179"/>
      <c r="BI907" s="192"/>
      <c r="BJ907" s="192"/>
      <c r="BL907" s="192"/>
      <c r="BM907" s="192"/>
      <c r="BP907" s="179"/>
    </row>
    <row r="908">
      <c r="B908" s="189"/>
      <c r="C908" s="189"/>
      <c r="E908" s="189"/>
      <c r="F908" s="189"/>
      <c r="I908" s="179"/>
      <c r="J908" s="189"/>
      <c r="K908" s="189"/>
      <c r="M908" s="189"/>
      <c r="N908" s="189"/>
      <c r="Q908" s="179"/>
      <c r="S908" s="189"/>
      <c r="T908" s="189"/>
      <c r="V908" s="189"/>
      <c r="W908" s="189"/>
      <c r="Z908" s="179"/>
      <c r="AA908" s="189"/>
      <c r="AB908" s="189"/>
      <c r="AD908" s="189"/>
      <c r="AE908" s="189"/>
      <c r="AH908" s="179"/>
      <c r="AJ908" s="191"/>
      <c r="AK908" s="191"/>
      <c r="AM908" s="191"/>
      <c r="AN908" s="191"/>
      <c r="AQ908" s="179"/>
      <c r="AR908" s="192"/>
      <c r="AS908" s="192"/>
      <c r="AU908" s="192"/>
      <c r="AV908" s="192"/>
      <c r="AY908" s="179"/>
      <c r="BA908" s="192"/>
      <c r="BB908" s="192"/>
      <c r="BD908" s="192"/>
      <c r="BE908" s="192"/>
      <c r="BH908" s="179"/>
      <c r="BI908" s="192"/>
      <c r="BJ908" s="192"/>
      <c r="BL908" s="192"/>
      <c r="BM908" s="192"/>
      <c r="BP908" s="179"/>
    </row>
    <row r="909">
      <c r="B909" s="189"/>
      <c r="C909" s="189"/>
      <c r="E909" s="189"/>
      <c r="F909" s="189"/>
      <c r="I909" s="179"/>
      <c r="J909" s="189"/>
      <c r="K909" s="189"/>
      <c r="M909" s="189"/>
      <c r="N909" s="189"/>
      <c r="Q909" s="179"/>
      <c r="S909" s="189"/>
      <c r="T909" s="189"/>
      <c r="V909" s="189"/>
      <c r="W909" s="189"/>
      <c r="Z909" s="179"/>
      <c r="AA909" s="189"/>
      <c r="AB909" s="189"/>
      <c r="AD909" s="189"/>
      <c r="AE909" s="189"/>
      <c r="AH909" s="179"/>
      <c r="AJ909" s="191"/>
      <c r="AK909" s="191"/>
      <c r="AM909" s="191"/>
      <c r="AN909" s="191"/>
      <c r="AQ909" s="179"/>
      <c r="AR909" s="192"/>
      <c r="AS909" s="192"/>
      <c r="AU909" s="192"/>
      <c r="AV909" s="192"/>
      <c r="AY909" s="179"/>
      <c r="BA909" s="192"/>
      <c r="BB909" s="192"/>
      <c r="BD909" s="192"/>
      <c r="BE909" s="192"/>
      <c r="BH909" s="179"/>
      <c r="BI909" s="192"/>
      <c r="BJ909" s="192"/>
      <c r="BL909" s="192"/>
      <c r="BM909" s="192"/>
      <c r="BP909" s="179"/>
    </row>
    <row r="910">
      <c r="B910" s="189"/>
      <c r="C910" s="189"/>
      <c r="E910" s="189"/>
      <c r="F910" s="189"/>
      <c r="I910" s="179"/>
      <c r="J910" s="189"/>
      <c r="K910" s="189"/>
      <c r="M910" s="189"/>
      <c r="N910" s="189"/>
      <c r="Q910" s="179"/>
      <c r="S910" s="189"/>
      <c r="T910" s="189"/>
      <c r="V910" s="189"/>
      <c r="W910" s="189"/>
      <c r="Z910" s="179"/>
      <c r="AA910" s="189"/>
      <c r="AB910" s="189"/>
      <c r="AD910" s="189"/>
      <c r="AE910" s="189"/>
      <c r="AH910" s="179"/>
      <c r="AJ910" s="191"/>
      <c r="AK910" s="191"/>
      <c r="AM910" s="191"/>
      <c r="AN910" s="191"/>
      <c r="AQ910" s="179"/>
      <c r="AR910" s="192"/>
      <c r="AS910" s="192"/>
      <c r="AU910" s="192"/>
      <c r="AV910" s="192"/>
      <c r="AY910" s="179"/>
      <c r="BA910" s="192"/>
      <c r="BB910" s="192"/>
      <c r="BD910" s="192"/>
      <c r="BE910" s="192"/>
      <c r="BH910" s="179"/>
      <c r="BI910" s="192"/>
      <c r="BJ910" s="192"/>
      <c r="BL910" s="192"/>
      <c r="BM910" s="192"/>
      <c r="BP910" s="179"/>
    </row>
    <row r="911">
      <c r="B911" s="189"/>
      <c r="C911" s="189"/>
      <c r="E911" s="189"/>
      <c r="F911" s="189"/>
      <c r="I911" s="179"/>
      <c r="J911" s="189"/>
      <c r="K911" s="189"/>
      <c r="M911" s="189"/>
      <c r="N911" s="189"/>
      <c r="Q911" s="179"/>
      <c r="S911" s="189"/>
      <c r="T911" s="189"/>
      <c r="V911" s="189"/>
      <c r="W911" s="189"/>
      <c r="Z911" s="179"/>
      <c r="AA911" s="189"/>
      <c r="AB911" s="189"/>
      <c r="AD911" s="189"/>
      <c r="AE911" s="189"/>
      <c r="AH911" s="179"/>
      <c r="AJ911" s="191"/>
      <c r="AK911" s="191"/>
      <c r="AM911" s="191"/>
      <c r="AN911" s="191"/>
      <c r="AQ911" s="179"/>
      <c r="AR911" s="192"/>
      <c r="AS911" s="192"/>
      <c r="AU911" s="192"/>
      <c r="AV911" s="192"/>
      <c r="AY911" s="179"/>
      <c r="BA911" s="192"/>
      <c r="BB911" s="192"/>
      <c r="BD911" s="192"/>
      <c r="BE911" s="192"/>
      <c r="BH911" s="179"/>
      <c r="BI911" s="192"/>
      <c r="BJ911" s="192"/>
      <c r="BL911" s="192"/>
      <c r="BM911" s="192"/>
      <c r="BP911" s="179"/>
    </row>
    <row r="912">
      <c r="B912" s="189"/>
      <c r="C912" s="189"/>
      <c r="E912" s="189"/>
      <c r="F912" s="189"/>
      <c r="I912" s="179"/>
      <c r="J912" s="189"/>
      <c r="K912" s="189"/>
      <c r="M912" s="189"/>
      <c r="N912" s="189"/>
      <c r="Q912" s="179"/>
      <c r="S912" s="189"/>
      <c r="T912" s="189"/>
      <c r="V912" s="189"/>
      <c r="W912" s="189"/>
      <c r="Z912" s="179"/>
      <c r="AA912" s="189"/>
      <c r="AB912" s="189"/>
      <c r="AD912" s="189"/>
      <c r="AE912" s="189"/>
      <c r="AH912" s="179"/>
      <c r="AJ912" s="191"/>
      <c r="AK912" s="191"/>
      <c r="AM912" s="191"/>
      <c r="AN912" s="191"/>
      <c r="AQ912" s="179"/>
      <c r="AR912" s="192"/>
      <c r="AS912" s="192"/>
      <c r="AU912" s="192"/>
      <c r="AV912" s="192"/>
      <c r="AY912" s="179"/>
      <c r="BA912" s="192"/>
      <c r="BB912" s="192"/>
      <c r="BD912" s="192"/>
      <c r="BE912" s="192"/>
      <c r="BH912" s="179"/>
      <c r="BI912" s="192"/>
      <c r="BJ912" s="192"/>
      <c r="BL912" s="192"/>
      <c r="BM912" s="192"/>
      <c r="BP912" s="179"/>
    </row>
    <row r="913">
      <c r="B913" s="189"/>
      <c r="C913" s="189"/>
      <c r="E913" s="189"/>
      <c r="F913" s="189"/>
      <c r="I913" s="179"/>
      <c r="J913" s="189"/>
      <c r="K913" s="189"/>
      <c r="M913" s="189"/>
      <c r="N913" s="189"/>
      <c r="Q913" s="179"/>
      <c r="S913" s="189"/>
      <c r="T913" s="189"/>
      <c r="V913" s="189"/>
      <c r="W913" s="189"/>
      <c r="Z913" s="179"/>
      <c r="AA913" s="189"/>
      <c r="AB913" s="189"/>
      <c r="AD913" s="189"/>
      <c r="AE913" s="189"/>
      <c r="AH913" s="179"/>
      <c r="AJ913" s="191"/>
      <c r="AK913" s="191"/>
      <c r="AM913" s="191"/>
      <c r="AN913" s="191"/>
      <c r="AQ913" s="179"/>
      <c r="AR913" s="192"/>
      <c r="AS913" s="192"/>
      <c r="AU913" s="192"/>
      <c r="AV913" s="192"/>
      <c r="AY913" s="179"/>
      <c r="BA913" s="192"/>
      <c r="BB913" s="192"/>
      <c r="BD913" s="192"/>
      <c r="BE913" s="192"/>
      <c r="BH913" s="179"/>
      <c r="BI913" s="192"/>
      <c r="BJ913" s="192"/>
      <c r="BL913" s="192"/>
      <c r="BM913" s="192"/>
      <c r="BP913" s="179"/>
    </row>
    <row r="914">
      <c r="B914" s="189"/>
      <c r="C914" s="189"/>
      <c r="E914" s="189"/>
      <c r="F914" s="189"/>
      <c r="I914" s="179"/>
      <c r="J914" s="189"/>
      <c r="K914" s="189"/>
      <c r="M914" s="189"/>
      <c r="N914" s="189"/>
      <c r="Q914" s="179"/>
      <c r="S914" s="189"/>
      <c r="T914" s="189"/>
      <c r="V914" s="189"/>
      <c r="W914" s="189"/>
      <c r="Z914" s="179"/>
      <c r="AA914" s="189"/>
      <c r="AB914" s="189"/>
      <c r="AD914" s="189"/>
      <c r="AE914" s="189"/>
      <c r="AH914" s="179"/>
      <c r="AJ914" s="191"/>
      <c r="AK914" s="191"/>
      <c r="AM914" s="191"/>
      <c r="AN914" s="191"/>
      <c r="AQ914" s="179"/>
      <c r="AR914" s="192"/>
      <c r="AS914" s="192"/>
      <c r="AU914" s="192"/>
      <c r="AV914" s="192"/>
      <c r="AY914" s="179"/>
      <c r="BA914" s="192"/>
      <c r="BB914" s="192"/>
      <c r="BD914" s="192"/>
      <c r="BE914" s="192"/>
      <c r="BH914" s="179"/>
      <c r="BI914" s="192"/>
      <c r="BJ914" s="192"/>
      <c r="BL914" s="192"/>
      <c r="BM914" s="192"/>
      <c r="BP914" s="179"/>
    </row>
    <row r="915">
      <c r="B915" s="189"/>
      <c r="C915" s="189"/>
      <c r="E915" s="189"/>
      <c r="F915" s="189"/>
      <c r="I915" s="179"/>
      <c r="J915" s="189"/>
      <c r="K915" s="189"/>
      <c r="M915" s="189"/>
      <c r="N915" s="189"/>
      <c r="Q915" s="179"/>
      <c r="S915" s="189"/>
      <c r="T915" s="189"/>
      <c r="V915" s="189"/>
      <c r="W915" s="189"/>
      <c r="Z915" s="179"/>
      <c r="AA915" s="189"/>
      <c r="AB915" s="189"/>
      <c r="AD915" s="189"/>
      <c r="AE915" s="189"/>
      <c r="AH915" s="179"/>
      <c r="AJ915" s="191"/>
      <c r="AK915" s="191"/>
      <c r="AM915" s="191"/>
      <c r="AN915" s="191"/>
      <c r="AQ915" s="179"/>
      <c r="AR915" s="192"/>
      <c r="AS915" s="192"/>
      <c r="AU915" s="192"/>
      <c r="AV915" s="192"/>
      <c r="AY915" s="179"/>
      <c r="BA915" s="192"/>
      <c r="BB915" s="192"/>
      <c r="BD915" s="192"/>
      <c r="BE915" s="192"/>
      <c r="BH915" s="179"/>
      <c r="BI915" s="192"/>
      <c r="BJ915" s="192"/>
      <c r="BL915" s="192"/>
      <c r="BM915" s="192"/>
      <c r="BP915" s="179"/>
    </row>
    <row r="916">
      <c r="B916" s="189"/>
      <c r="C916" s="189"/>
      <c r="E916" s="189"/>
      <c r="F916" s="189"/>
      <c r="I916" s="179"/>
      <c r="J916" s="189"/>
      <c r="K916" s="189"/>
      <c r="M916" s="189"/>
      <c r="N916" s="189"/>
      <c r="Q916" s="179"/>
      <c r="S916" s="189"/>
      <c r="T916" s="189"/>
      <c r="V916" s="189"/>
      <c r="W916" s="189"/>
      <c r="Z916" s="179"/>
      <c r="AA916" s="189"/>
      <c r="AB916" s="189"/>
      <c r="AD916" s="189"/>
      <c r="AE916" s="189"/>
      <c r="AH916" s="179"/>
      <c r="AJ916" s="191"/>
      <c r="AK916" s="191"/>
      <c r="AM916" s="191"/>
      <c r="AN916" s="191"/>
      <c r="AQ916" s="179"/>
      <c r="AR916" s="192"/>
      <c r="AS916" s="192"/>
      <c r="AU916" s="192"/>
      <c r="AV916" s="192"/>
      <c r="AY916" s="179"/>
      <c r="BA916" s="192"/>
      <c r="BB916" s="192"/>
      <c r="BD916" s="192"/>
      <c r="BE916" s="192"/>
      <c r="BH916" s="179"/>
      <c r="BI916" s="192"/>
      <c r="BJ916" s="192"/>
      <c r="BL916" s="192"/>
      <c r="BM916" s="192"/>
      <c r="BP916" s="179"/>
    </row>
    <row r="917">
      <c r="B917" s="189"/>
      <c r="C917" s="189"/>
      <c r="E917" s="189"/>
      <c r="F917" s="189"/>
      <c r="I917" s="179"/>
      <c r="J917" s="189"/>
      <c r="K917" s="189"/>
      <c r="M917" s="189"/>
      <c r="N917" s="189"/>
      <c r="Q917" s="179"/>
      <c r="S917" s="189"/>
      <c r="T917" s="189"/>
      <c r="V917" s="189"/>
      <c r="W917" s="189"/>
      <c r="Z917" s="179"/>
      <c r="AA917" s="189"/>
      <c r="AB917" s="189"/>
      <c r="AD917" s="189"/>
      <c r="AE917" s="189"/>
      <c r="AH917" s="179"/>
      <c r="AJ917" s="191"/>
      <c r="AK917" s="191"/>
      <c r="AM917" s="191"/>
      <c r="AN917" s="191"/>
      <c r="AQ917" s="179"/>
      <c r="AR917" s="192"/>
      <c r="AS917" s="192"/>
      <c r="AU917" s="192"/>
      <c r="AV917" s="192"/>
      <c r="AY917" s="179"/>
      <c r="BA917" s="192"/>
      <c r="BB917" s="192"/>
      <c r="BD917" s="192"/>
      <c r="BE917" s="192"/>
      <c r="BH917" s="179"/>
      <c r="BI917" s="192"/>
      <c r="BJ917" s="192"/>
      <c r="BL917" s="192"/>
      <c r="BM917" s="192"/>
      <c r="BP917" s="179"/>
    </row>
    <row r="918">
      <c r="B918" s="189"/>
      <c r="C918" s="189"/>
      <c r="E918" s="189"/>
      <c r="F918" s="189"/>
      <c r="I918" s="179"/>
      <c r="J918" s="189"/>
      <c r="K918" s="189"/>
      <c r="M918" s="189"/>
      <c r="N918" s="189"/>
      <c r="Q918" s="179"/>
      <c r="S918" s="189"/>
      <c r="T918" s="189"/>
      <c r="V918" s="189"/>
      <c r="W918" s="189"/>
      <c r="Z918" s="179"/>
      <c r="AA918" s="189"/>
      <c r="AB918" s="189"/>
      <c r="AD918" s="189"/>
      <c r="AE918" s="189"/>
      <c r="AH918" s="179"/>
      <c r="AJ918" s="191"/>
      <c r="AK918" s="191"/>
      <c r="AM918" s="191"/>
      <c r="AN918" s="191"/>
      <c r="AQ918" s="179"/>
      <c r="AR918" s="192"/>
      <c r="AS918" s="192"/>
      <c r="AU918" s="192"/>
      <c r="AV918" s="192"/>
      <c r="AY918" s="179"/>
      <c r="BA918" s="192"/>
      <c r="BB918" s="192"/>
      <c r="BD918" s="192"/>
      <c r="BE918" s="192"/>
      <c r="BH918" s="179"/>
      <c r="BI918" s="192"/>
      <c r="BJ918" s="192"/>
      <c r="BL918" s="192"/>
      <c r="BM918" s="192"/>
      <c r="BP918" s="179"/>
    </row>
    <row r="919">
      <c r="B919" s="189"/>
      <c r="C919" s="189"/>
      <c r="E919" s="189"/>
      <c r="F919" s="189"/>
      <c r="I919" s="179"/>
      <c r="J919" s="189"/>
      <c r="K919" s="189"/>
      <c r="M919" s="189"/>
      <c r="N919" s="189"/>
      <c r="Q919" s="179"/>
      <c r="S919" s="189"/>
      <c r="T919" s="189"/>
      <c r="V919" s="189"/>
      <c r="W919" s="189"/>
      <c r="Z919" s="179"/>
      <c r="AA919" s="189"/>
      <c r="AB919" s="189"/>
      <c r="AD919" s="189"/>
      <c r="AE919" s="189"/>
      <c r="AH919" s="179"/>
      <c r="AJ919" s="191"/>
      <c r="AK919" s="191"/>
      <c r="AM919" s="191"/>
      <c r="AN919" s="191"/>
      <c r="AQ919" s="179"/>
      <c r="AR919" s="192"/>
      <c r="AS919" s="192"/>
      <c r="AU919" s="192"/>
      <c r="AV919" s="192"/>
      <c r="AY919" s="179"/>
      <c r="BA919" s="192"/>
      <c r="BB919" s="192"/>
      <c r="BD919" s="192"/>
      <c r="BE919" s="192"/>
      <c r="BH919" s="179"/>
      <c r="BI919" s="192"/>
      <c r="BJ919" s="192"/>
      <c r="BL919" s="192"/>
      <c r="BM919" s="192"/>
      <c r="BP919" s="179"/>
    </row>
    <row r="920">
      <c r="B920" s="189"/>
      <c r="C920" s="189"/>
      <c r="E920" s="189"/>
      <c r="F920" s="189"/>
      <c r="I920" s="179"/>
      <c r="J920" s="189"/>
      <c r="K920" s="189"/>
      <c r="M920" s="189"/>
      <c r="N920" s="189"/>
      <c r="Q920" s="179"/>
      <c r="S920" s="189"/>
      <c r="T920" s="189"/>
      <c r="V920" s="189"/>
      <c r="W920" s="189"/>
      <c r="Z920" s="179"/>
      <c r="AA920" s="189"/>
      <c r="AB920" s="189"/>
      <c r="AD920" s="189"/>
      <c r="AE920" s="189"/>
      <c r="AH920" s="179"/>
      <c r="AJ920" s="191"/>
      <c r="AK920" s="191"/>
      <c r="AM920" s="191"/>
      <c r="AN920" s="191"/>
      <c r="AQ920" s="179"/>
      <c r="AR920" s="192"/>
      <c r="AS920" s="192"/>
      <c r="AU920" s="192"/>
      <c r="AV920" s="192"/>
      <c r="AY920" s="179"/>
      <c r="BA920" s="192"/>
      <c r="BB920" s="192"/>
      <c r="BD920" s="192"/>
      <c r="BE920" s="192"/>
      <c r="BH920" s="179"/>
      <c r="BI920" s="192"/>
      <c r="BJ920" s="192"/>
      <c r="BL920" s="192"/>
      <c r="BM920" s="192"/>
      <c r="BP920" s="179"/>
    </row>
    <row r="921">
      <c r="B921" s="189"/>
      <c r="C921" s="189"/>
      <c r="E921" s="189"/>
      <c r="F921" s="189"/>
      <c r="I921" s="179"/>
      <c r="J921" s="189"/>
      <c r="K921" s="189"/>
      <c r="M921" s="189"/>
      <c r="N921" s="189"/>
      <c r="Q921" s="179"/>
      <c r="S921" s="189"/>
      <c r="T921" s="189"/>
      <c r="V921" s="189"/>
      <c r="W921" s="189"/>
      <c r="Z921" s="179"/>
      <c r="AA921" s="189"/>
      <c r="AB921" s="189"/>
      <c r="AD921" s="189"/>
      <c r="AE921" s="189"/>
      <c r="AH921" s="179"/>
      <c r="AJ921" s="191"/>
      <c r="AK921" s="191"/>
      <c r="AM921" s="191"/>
      <c r="AN921" s="191"/>
      <c r="AQ921" s="179"/>
      <c r="AR921" s="192"/>
      <c r="AS921" s="192"/>
      <c r="AU921" s="192"/>
      <c r="AV921" s="192"/>
      <c r="AY921" s="179"/>
      <c r="BA921" s="192"/>
      <c r="BB921" s="192"/>
      <c r="BD921" s="192"/>
      <c r="BE921" s="192"/>
      <c r="BH921" s="179"/>
      <c r="BI921" s="192"/>
      <c r="BJ921" s="192"/>
      <c r="BL921" s="192"/>
      <c r="BM921" s="192"/>
      <c r="BP921" s="179"/>
    </row>
    <row r="922">
      <c r="B922" s="189"/>
      <c r="C922" s="189"/>
      <c r="E922" s="189"/>
      <c r="F922" s="189"/>
      <c r="I922" s="179"/>
      <c r="J922" s="189"/>
      <c r="K922" s="189"/>
      <c r="M922" s="189"/>
      <c r="N922" s="189"/>
      <c r="Q922" s="179"/>
      <c r="S922" s="189"/>
      <c r="T922" s="189"/>
      <c r="V922" s="189"/>
      <c r="W922" s="189"/>
      <c r="Z922" s="179"/>
      <c r="AA922" s="189"/>
      <c r="AB922" s="189"/>
      <c r="AD922" s="189"/>
      <c r="AE922" s="189"/>
      <c r="AH922" s="179"/>
      <c r="AJ922" s="191"/>
      <c r="AK922" s="191"/>
      <c r="AM922" s="191"/>
      <c r="AN922" s="191"/>
      <c r="AQ922" s="179"/>
      <c r="AR922" s="192"/>
      <c r="AS922" s="192"/>
      <c r="AU922" s="192"/>
      <c r="AV922" s="192"/>
      <c r="AY922" s="179"/>
      <c r="BA922" s="192"/>
      <c r="BB922" s="192"/>
      <c r="BD922" s="192"/>
      <c r="BE922" s="192"/>
      <c r="BH922" s="179"/>
      <c r="BI922" s="192"/>
      <c r="BJ922" s="192"/>
      <c r="BL922" s="192"/>
      <c r="BM922" s="192"/>
      <c r="BP922" s="179"/>
    </row>
    <row r="923">
      <c r="B923" s="189"/>
      <c r="C923" s="189"/>
      <c r="E923" s="189"/>
      <c r="F923" s="189"/>
      <c r="I923" s="179"/>
      <c r="J923" s="189"/>
      <c r="K923" s="189"/>
      <c r="M923" s="189"/>
      <c r="N923" s="189"/>
      <c r="Q923" s="179"/>
      <c r="S923" s="189"/>
      <c r="T923" s="189"/>
      <c r="V923" s="189"/>
      <c r="W923" s="189"/>
      <c r="Z923" s="179"/>
      <c r="AA923" s="189"/>
      <c r="AB923" s="189"/>
      <c r="AD923" s="189"/>
      <c r="AE923" s="189"/>
      <c r="AH923" s="179"/>
      <c r="AJ923" s="191"/>
      <c r="AK923" s="191"/>
      <c r="AM923" s="191"/>
      <c r="AN923" s="191"/>
      <c r="AQ923" s="179"/>
      <c r="AR923" s="192"/>
      <c r="AS923" s="192"/>
      <c r="AU923" s="192"/>
      <c r="AV923" s="192"/>
      <c r="AY923" s="179"/>
      <c r="BA923" s="192"/>
      <c r="BB923" s="192"/>
      <c r="BD923" s="192"/>
      <c r="BE923" s="192"/>
      <c r="BH923" s="179"/>
      <c r="BI923" s="192"/>
      <c r="BJ923" s="192"/>
      <c r="BL923" s="192"/>
      <c r="BM923" s="192"/>
      <c r="BP923" s="179"/>
    </row>
    <row r="924">
      <c r="B924" s="189"/>
      <c r="C924" s="189"/>
      <c r="E924" s="189"/>
      <c r="F924" s="189"/>
      <c r="I924" s="179"/>
      <c r="J924" s="189"/>
      <c r="K924" s="189"/>
      <c r="M924" s="189"/>
      <c r="N924" s="189"/>
      <c r="Q924" s="179"/>
      <c r="S924" s="189"/>
      <c r="T924" s="189"/>
      <c r="V924" s="189"/>
      <c r="W924" s="189"/>
      <c r="Z924" s="179"/>
      <c r="AA924" s="189"/>
      <c r="AB924" s="189"/>
      <c r="AD924" s="189"/>
      <c r="AE924" s="189"/>
      <c r="AH924" s="179"/>
      <c r="AJ924" s="191"/>
      <c r="AK924" s="191"/>
      <c r="AM924" s="191"/>
      <c r="AN924" s="191"/>
      <c r="AQ924" s="179"/>
      <c r="AR924" s="192"/>
      <c r="AS924" s="192"/>
      <c r="AU924" s="192"/>
      <c r="AV924" s="192"/>
      <c r="AY924" s="179"/>
      <c r="BA924" s="192"/>
      <c r="BB924" s="192"/>
      <c r="BD924" s="192"/>
      <c r="BE924" s="192"/>
      <c r="BH924" s="179"/>
      <c r="BI924" s="192"/>
      <c r="BJ924" s="192"/>
      <c r="BL924" s="192"/>
      <c r="BM924" s="192"/>
      <c r="BP924" s="179"/>
    </row>
    <row r="925">
      <c r="B925" s="189"/>
      <c r="C925" s="189"/>
      <c r="E925" s="189"/>
      <c r="F925" s="189"/>
      <c r="I925" s="179"/>
      <c r="J925" s="189"/>
      <c r="K925" s="189"/>
      <c r="M925" s="189"/>
      <c r="N925" s="189"/>
      <c r="Q925" s="179"/>
      <c r="S925" s="189"/>
      <c r="T925" s="189"/>
      <c r="V925" s="189"/>
      <c r="W925" s="189"/>
      <c r="Z925" s="179"/>
      <c r="AA925" s="189"/>
      <c r="AB925" s="189"/>
      <c r="AD925" s="189"/>
      <c r="AE925" s="189"/>
      <c r="AH925" s="179"/>
      <c r="AJ925" s="191"/>
      <c r="AK925" s="191"/>
      <c r="AM925" s="191"/>
      <c r="AN925" s="191"/>
      <c r="AQ925" s="179"/>
      <c r="AR925" s="192"/>
      <c r="AS925" s="192"/>
      <c r="AU925" s="192"/>
      <c r="AV925" s="192"/>
      <c r="AY925" s="179"/>
      <c r="BA925" s="192"/>
      <c r="BB925" s="192"/>
      <c r="BD925" s="192"/>
      <c r="BE925" s="192"/>
      <c r="BH925" s="179"/>
      <c r="BI925" s="192"/>
      <c r="BJ925" s="192"/>
      <c r="BL925" s="192"/>
      <c r="BM925" s="192"/>
      <c r="BP925" s="179"/>
    </row>
    <row r="926">
      <c r="B926" s="189"/>
      <c r="C926" s="189"/>
      <c r="E926" s="189"/>
      <c r="F926" s="189"/>
      <c r="I926" s="179"/>
      <c r="J926" s="189"/>
      <c r="K926" s="189"/>
      <c r="M926" s="189"/>
      <c r="N926" s="189"/>
      <c r="Q926" s="179"/>
      <c r="S926" s="189"/>
      <c r="T926" s="189"/>
      <c r="V926" s="189"/>
      <c r="W926" s="189"/>
      <c r="Z926" s="179"/>
      <c r="AA926" s="189"/>
      <c r="AB926" s="189"/>
      <c r="AD926" s="189"/>
      <c r="AE926" s="189"/>
      <c r="AH926" s="179"/>
      <c r="AJ926" s="191"/>
      <c r="AK926" s="191"/>
      <c r="AM926" s="191"/>
      <c r="AN926" s="191"/>
      <c r="AQ926" s="179"/>
      <c r="AR926" s="192"/>
      <c r="AS926" s="192"/>
      <c r="AU926" s="192"/>
      <c r="AV926" s="192"/>
      <c r="AY926" s="179"/>
      <c r="BA926" s="192"/>
      <c r="BB926" s="192"/>
      <c r="BD926" s="192"/>
      <c r="BE926" s="192"/>
      <c r="BH926" s="179"/>
      <c r="BI926" s="192"/>
      <c r="BJ926" s="192"/>
      <c r="BL926" s="192"/>
      <c r="BM926" s="192"/>
      <c r="BP926" s="179"/>
    </row>
    <row r="927">
      <c r="B927" s="189"/>
      <c r="C927" s="189"/>
      <c r="E927" s="189"/>
      <c r="F927" s="189"/>
      <c r="I927" s="179"/>
      <c r="J927" s="189"/>
      <c r="K927" s="189"/>
      <c r="M927" s="189"/>
      <c r="N927" s="189"/>
      <c r="Q927" s="179"/>
      <c r="S927" s="189"/>
      <c r="T927" s="189"/>
      <c r="V927" s="189"/>
      <c r="W927" s="189"/>
      <c r="Z927" s="179"/>
      <c r="AA927" s="189"/>
      <c r="AB927" s="189"/>
      <c r="AD927" s="189"/>
      <c r="AE927" s="189"/>
      <c r="AH927" s="179"/>
      <c r="AJ927" s="191"/>
      <c r="AK927" s="191"/>
      <c r="AM927" s="191"/>
      <c r="AN927" s="191"/>
      <c r="AQ927" s="179"/>
      <c r="AR927" s="192"/>
      <c r="AS927" s="192"/>
      <c r="AU927" s="192"/>
      <c r="AV927" s="192"/>
      <c r="AY927" s="179"/>
      <c r="BA927" s="192"/>
      <c r="BB927" s="192"/>
      <c r="BD927" s="192"/>
      <c r="BE927" s="192"/>
      <c r="BH927" s="179"/>
      <c r="BI927" s="192"/>
      <c r="BJ927" s="192"/>
      <c r="BL927" s="192"/>
      <c r="BM927" s="192"/>
      <c r="BP927" s="179"/>
    </row>
    <row r="928">
      <c r="B928" s="189"/>
      <c r="C928" s="189"/>
      <c r="E928" s="189"/>
      <c r="F928" s="189"/>
      <c r="I928" s="179"/>
      <c r="J928" s="189"/>
      <c r="K928" s="189"/>
      <c r="M928" s="189"/>
      <c r="N928" s="189"/>
      <c r="Q928" s="179"/>
      <c r="S928" s="189"/>
      <c r="T928" s="189"/>
      <c r="V928" s="189"/>
      <c r="W928" s="189"/>
      <c r="Z928" s="179"/>
      <c r="AA928" s="189"/>
      <c r="AB928" s="189"/>
      <c r="AD928" s="189"/>
      <c r="AE928" s="189"/>
      <c r="AH928" s="179"/>
      <c r="AJ928" s="191"/>
      <c r="AK928" s="191"/>
      <c r="AM928" s="191"/>
      <c r="AN928" s="191"/>
      <c r="AQ928" s="179"/>
      <c r="AR928" s="192"/>
      <c r="AS928" s="192"/>
      <c r="AU928" s="192"/>
      <c r="AV928" s="192"/>
      <c r="AY928" s="179"/>
      <c r="BA928" s="192"/>
      <c r="BB928" s="192"/>
      <c r="BD928" s="192"/>
      <c r="BE928" s="192"/>
      <c r="BH928" s="179"/>
      <c r="BI928" s="192"/>
      <c r="BJ928" s="192"/>
      <c r="BL928" s="192"/>
      <c r="BM928" s="192"/>
      <c r="BP928" s="179"/>
    </row>
    <row r="929">
      <c r="B929" s="189"/>
      <c r="C929" s="189"/>
      <c r="E929" s="189"/>
      <c r="F929" s="189"/>
      <c r="I929" s="179"/>
      <c r="J929" s="189"/>
      <c r="K929" s="189"/>
      <c r="M929" s="189"/>
      <c r="N929" s="189"/>
      <c r="Q929" s="179"/>
      <c r="S929" s="189"/>
      <c r="T929" s="189"/>
      <c r="V929" s="189"/>
      <c r="W929" s="189"/>
      <c r="Z929" s="179"/>
      <c r="AA929" s="189"/>
      <c r="AB929" s="189"/>
      <c r="AD929" s="189"/>
      <c r="AE929" s="189"/>
      <c r="AH929" s="179"/>
      <c r="AJ929" s="191"/>
      <c r="AK929" s="191"/>
      <c r="AM929" s="191"/>
      <c r="AN929" s="191"/>
      <c r="AQ929" s="179"/>
      <c r="AR929" s="192"/>
      <c r="AS929" s="192"/>
      <c r="AU929" s="192"/>
      <c r="AV929" s="192"/>
      <c r="AY929" s="179"/>
      <c r="BA929" s="192"/>
      <c r="BB929" s="192"/>
      <c r="BD929" s="192"/>
      <c r="BE929" s="192"/>
      <c r="BH929" s="179"/>
      <c r="BI929" s="192"/>
      <c r="BJ929" s="192"/>
      <c r="BL929" s="192"/>
      <c r="BM929" s="192"/>
      <c r="BP929" s="179"/>
    </row>
    <row r="930">
      <c r="B930" s="189"/>
      <c r="C930" s="189"/>
      <c r="E930" s="189"/>
      <c r="F930" s="189"/>
      <c r="I930" s="179"/>
      <c r="J930" s="189"/>
      <c r="K930" s="189"/>
      <c r="M930" s="189"/>
      <c r="N930" s="189"/>
      <c r="Q930" s="179"/>
      <c r="S930" s="189"/>
      <c r="T930" s="189"/>
      <c r="V930" s="189"/>
      <c r="W930" s="189"/>
      <c r="Z930" s="179"/>
      <c r="AA930" s="189"/>
      <c r="AB930" s="189"/>
      <c r="AD930" s="189"/>
      <c r="AE930" s="189"/>
      <c r="AH930" s="179"/>
      <c r="AJ930" s="191"/>
      <c r="AK930" s="191"/>
      <c r="AM930" s="191"/>
      <c r="AN930" s="191"/>
      <c r="AQ930" s="179"/>
      <c r="AR930" s="192"/>
      <c r="AS930" s="192"/>
      <c r="AU930" s="192"/>
      <c r="AV930" s="192"/>
      <c r="AY930" s="179"/>
      <c r="BA930" s="192"/>
      <c r="BB930" s="192"/>
      <c r="BD930" s="192"/>
      <c r="BE930" s="192"/>
      <c r="BH930" s="179"/>
      <c r="BI930" s="192"/>
      <c r="BJ930" s="192"/>
      <c r="BL930" s="192"/>
      <c r="BM930" s="192"/>
      <c r="BP930" s="179"/>
    </row>
    <row r="931">
      <c r="B931" s="189"/>
      <c r="C931" s="189"/>
      <c r="E931" s="189"/>
      <c r="F931" s="189"/>
      <c r="I931" s="179"/>
      <c r="J931" s="189"/>
      <c r="K931" s="189"/>
      <c r="M931" s="189"/>
      <c r="N931" s="189"/>
      <c r="Q931" s="179"/>
      <c r="S931" s="189"/>
      <c r="T931" s="189"/>
      <c r="V931" s="189"/>
      <c r="W931" s="189"/>
      <c r="Z931" s="179"/>
      <c r="AA931" s="189"/>
      <c r="AB931" s="189"/>
      <c r="AD931" s="189"/>
      <c r="AE931" s="189"/>
      <c r="AH931" s="179"/>
      <c r="AJ931" s="191"/>
      <c r="AK931" s="191"/>
      <c r="AM931" s="191"/>
      <c r="AN931" s="191"/>
      <c r="AQ931" s="179"/>
      <c r="AR931" s="192"/>
      <c r="AS931" s="192"/>
      <c r="AU931" s="192"/>
      <c r="AV931" s="192"/>
      <c r="AY931" s="179"/>
      <c r="BA931" s="192"/>
      <c r="BB931" s="192"/>
      <c r="BD931" s="192"/>
      <c r="BE931" s="192"/>
      <c r="BH931" s="179"/>
      <c r="BI931" s="192"/>
      <c r="BJ931" s="192"/>
      <c r="BL931" s="192"/>
      <c r="BM931" s="192"/>
      <c r="BP931" s="179"/>
    </row>
    <row r="932">
      <c r="B932" s="189"/>
      <c r="C932" s="189"/>
      <c r="E932" s="189"/>
      <c r="F932" s="189"/>
      <c r="I932" s="179"/>
      <c r="J932" s="189"/>
      <c r="K932" s="189"/>
      <c r="M932" s="189"/>
      <c r="N932" s="189"/>
      <c r="Q932" s="179"/>
      <c r="S932" s="189"/>
      <c r="T932" s="189"/>
      <c r="V932" s="189"/>
      <c r="W932" s="189"/>
      <c r="Z932" s="179"/>
      <c r="AA932" s="189"/>
      <c r="AB932" s="189"/>
      <c r="AD932" s="189"/>
      <c r="AE932" s="189"/>
      <c r="AH932" s="179"/>
      <c r="AJ932" s="191"/>
      <c r="AK932" s="191"/>
      <c r="AM932" s="191"/>
      <c r="AN932" s="191"/>
      <c r="AQ932" s="179"/>
      <c r="AR932" s="192"/>
      <c r="AS932" s="192"/>
      <c r="AU932" s="192"/>
      <c r="AV932" s="192"/>
      <c r="AY932" s="179"/>
      <c r="BA932" s="192"/>
      <c r="BB932" s="192"/>
      <c r="BD932" s="192"/>
      <c r="BE932" s="192"/>
      <c r="BH932" s="179"/>
      <c r="BI932" s="192"/>
      <c r="BJ932" s="192"/>
      <c r="BL932" s="192"/>
      <c r="BM932" s="192"/>
      <c r="BP932" s="179"/>
    </row>
    <row r="933">
      <c r="B933" s="189"/>
      <c r="C933" s="189"/>
      <c r="E933" s="189"/>
      <c r="F933" s="189"/>
      <c r="I933" s="179"/>
      <c r="J933" s="189"/>
      <c r="K933" s="189"/>
      <c r="M933" s="189"/>
      <c r="N933" s="189"/>
      <c r="Q933" s="179"/>
      <c r="S933" s="189"/>
      <c r="T933" s="189"/>
      <c r="V933" s="189"/>
      <c r="W933" s="189"/>
      <c r="Z933" s="179"/>
      <c r="AA933" s="189"/>
      <c r="AB933" s="189"/>
      <c r="AD933" s="189"/>
      <c r="AE933" s="189"/>
      <c r="AH933" s="179"/>
      <c r="AJ933" s="191"/>
      <c r="AK933" s="191"/>
      <c r="AM933" s="191"/>
      <c r="AN933" s="191"/>
      <c r="AQ933" s="179"/>
      <c r="AR933" s="192"/>
      <c r="AS933" s="192"/>
      <c r="AU933" s="192"/>
      <c r="AV933" s="192"/>
      <c r="AY933" s="179"/>
      <c r="BA933" s="192"/>
      <c r="BB933" s="192"/>
      <c r="BD933" s="192"/>
      <c r="BE933" s="192"/>
      <c r="BH933" s="179"/>
      <c r="BI933" s="192"/>
      <c r="BJ933" s="192"/>
      <c r="BL933" s="192"/>
      <c r="BM933" s="192"/>
      <c r="BP933" s="179"/>
    </row>
    <row r="934">
      <c r="B934" s="189"/>
      <c r="C934" s="189"/>
      <c r="E934" s="189"/>
      <c r="F934" s="189"/>
      <c r="I934" s="179"/>
      <c r="J934" s="189"/>
      <c r="K934" s="189"/>
      <c r="M934" s="189"/>
      <c r="N934" s="189"/>
      <c r="Q934" s="179"/>
      <c r="S934" s="189"/>
      <c r="T934" s="189"/>
      <c r="V934" s="189"/>
      <c r="W934" s="189"/>
      <c r="Z934" s="179"/>
      <c r="AA934" s="189"/>
      <c r="AB934" s="189"/>
      <c r="AD934" s="189"/>
      <c r="AE934" s="189"/>
      <c r="AH934" s="179"/>
      <c r="AJ934" s="191"/>
      <c r="AK934" s="191"/>
      <c r="AM934" s="191"/>
      <c r="AN934" s="191"/>
      <c r="AQ934" s="179"/>
      <c r="AR934" s="192"/>
      <c r="AS934" s="192"/>
      <c r="AU934" s="192"/>
      <c r="AV934" s="192"/>
      <c r="AY934" s="179"/>
      <c r="BA934" s="192"/>
      <c r="BB934" s="192"/>
      <c r="BD934" s="192"/>
      <c r="BE934" s="192"/>
      <c r="BH934" s="179"/>
      <c r="BI934" s="192"/>
      <c r="BJ934" s="192"/>
      <c r="BL934" s="192"/>
      <c r="BM934" s="192"/>
      <c r="BP934" s="179"/>
    </row>
    <row r="935">
      <c r="B935" s="189"/>
      <c r="C935" s="189"/>
      <c r="E935" s="189"/>
      <c r="F935" s="189"/>
      <c r="I935" s="179"/>
      <c r="J935" s="189"/>
      <c r="K935" s="189"/>
      <c r="M935" s="189"/>
      <c r="N935" s="189"/>
      <c r="Q935" s="179"/>
      <c r="S935" s="189"/>
      <c r="T935" s="189"/>
      <c r="V935" s="189"/>
      <c r="W935" s="189"/>
      <c r="Z935" s="179"/>
      <c r="AA935" s="189"/>
      <c r="AB935" s="189"/>
      <c r="AD935" s="189"/>
      <c r="AE935" s="189"/>
      <c r="AH935" s="179"/>
      <c r="AJ935" s="191"/>
      <c r="AK935" s="191"/>
      <c r="AM935" s="191"/>
      <c r="AN935" s="191"/>
      <c r="AQ935" s="179"/>
      <c r="AR935" s="192"/>
      <c r="AS935" s="192"/>
      <c r="AU935" s="192"/>
      <c r="AV935" s="192"/>
      <c r="AY935" s="179"/>
      <c r="BA935" s="192"/>
      <c r="BB935" s="192"/>
      <c r="BD935" s="192"/>
      <c r="BE935" s="192"/>
      <c r="BH935" s="179"/>
      <c r="BI935" s="192"/>
      <c r="BJ935" s="192"/>
      <c r="BL935" s="192"/>
      <c r="BM935" s="192"/>
      <c r="BP935" s="179"/>
    </row>
    <row r="936">
      <c r="B936" s="189"/>
      <c r="C936" s="189"/>
      <c r="E936" s="189"/>
      <c r="F936" s="189"/>
      <c r="I936" s="179"/>
      <c r="J936" s="189"/>
      <c r="K936" s="189"/>
      <c r="M936" s="189"/>
      <c r="N936" s="189"/>
      <c r="Q936" s="179"/>
      <c r="S936" s="189"/>
      <c r="T936" s="189"/>
      <c r="V936" s="189"/>
      <c r="W936" s="189"/>
      <c r="Z936" s="179"/>
      <c r="AA936" s="189"/>
      <c r="AB936" s="189"/>
      <c r="AD936" s="189"/>
      <c r="AE936" s="189"/>
      <c r="AH936" s="179"/>
      <c r="AJ936" s="191"/>
      <c r="AK936" s="191"/>
      <c r="AM936" s="191"/>
      <c r="AN936" s="191"/>
      <c r="AQ936" s="179"/>
      <c r="AR936" s="192"/>
      <c r="AS936" s="192"/>
      <c r="AU936" s="192"/>
      <c r="AV936" s="192"/>
      <c r="AY936" s="179"/>
      <c r="BA936" s="192"/>
      <c r="BB936" s="192"/>
      <c r="BD936" s="192"/>
      <c r="BE936" s="192"/>
      <c r="BH936" s="179"/>
      <c r="BI936" s="192"/>
      <c r="BJ936" s="192"/>
      <c r="BL936" s="192"/>
      <c r="BM936" s="192"/>
      <c r="BP936" s="179"/>
    </row>
    <row r="937">
      <c r="B937" s="189"/>
      <c r="C937" s="189"/>
      <c r="E937" s="189"/>
      <c r="F937" s="189"/>
      <c r="I937" s="179"/>
      <c r="J937" s="189"/>
      <c r="K937" s="189"/>
      <c r="M937" s="189"/>
      <c r="N937" s="189"/>
      <c r="Q937" s="179"/>
      <c r="S937" s="189"/>
      <c r="T937" s="189"/>
      <c r="V937" s="189"/>
      <c r="W937" s="189"/>
      <c r="Z937" s="179"/>
      <c r="AA937" s="189"/>
      <c r="AB937" s="189"/>
      <c r="AD937" s="189"/>
      <c r="AE937" s="189"/>
      <c r="AH937" s="179"/>
      <c r="AJ937" s="191"/>
      <c r="AK937" s="191"/>
      <c r="AM937" s="191"/>
      <c r="AN937" s="191"/>
      <c r="AQ937" s="179"/>
      <c r="AR937" s="192"/>
      <c r="AS937" s="192"/>
      <c r="AU937" s="192"/>
      <c r="AV937" s="192"/>
      <c r="AY937" s="179"/>
      <c r="BA937" s="192"/>
      <c r="BB937" s="192"/>
      <c r="BD937" s="192"/>
      <c r="BE937" s="192"/>
      <c r="BH937" s="179"/>
      <c r="BI937" s="192"/>
      <c r="BJ937" s="192"/>
      <c r="BL937" s="192"/>
      <c r="BM937" s="192"/>
      <c r="BP937" s="179"/>
    </row>
    <row r="938">
      <c r="B938" s="189"/>
      <c r="C938" s="189"/>
      <c r="E938" s="189"/>
      <c r="F938" s="189"/>
      <c r="I938" s="179"/>
      <c r="J938" s="189"/>
      <c r="K938" s="189"/>
      <c r="M938" s="189"/>
      <c r="N938" s="189"/>
      <c r="Q938" s="179"/>
      <c r="S938" s="189"/>
      <c r="T938" s="189"/>
      <c r="V938" s="189"/>
      <c r="W938" s="189"/>
      <c r="Z938" s="179"/>
      <c r="AA938" s="189"/>
      <c r="AB938" s="189"/>
      <c r="AD938" s="189"/>
      <c r="AE938" s="189"/>
      <c r="AH938" s="179"/>
      <c r="AJ938" s="191"/>
      <c r="AK938" s="191"/>
      <c r="AM938" s="191"/>
      <c r="AN938" s="191"/>
      <c r="AQ938" s="179"/>
      <c r="AR938" s="192"/>
      <c r="AS938" s="192"/>
      <c r="AU938" s="192"/>
      <c r="AV938" s="192"/>
      <c r="AY938" s="179"/>
      <c r="BA938" s="192"/>
      <c r="BB938" s="192"/>
      <c r="BD938" s="192"/>
      <c r="BE938" s="192"/>
      <c r="BH938" s="179"/>
      <c r="BI938" s="192"/>
      <c r="BJ938" s="192"/>
      <c r="BL938" s="192"/>
      <c r="BM938" s="192"/>
      <c r="BP938" s="179"/>
    </row>
    <row r="939">
      <c r="B939" s="189"/>
      <c r="C939" s="189"/>
      <c r="E939" s="189"/>
      <c r="F939" s="189"/>
      <c r="I939" s="179"/>
      <c r="J939" s="189"/>
      <c r="K939" s="189"/>
      <c r="M939" s="189"/>
      <c r="N939" s="189"/>
      <c r="Q939" s="179"/>
      <c r="S939" s="189"/>
      <c r="T939" s="189"/>
      <c r="V939" s="189"/>
      <c r="W939" s="189"/>
      <c r="Z939" s="179"/>
      <c r="AA939" s="189"/>
      <c r="AB939" s="189"/>
      <c r="AD939" s="189"/>
      <c r="AE939" s="189"/>
      <c r="AH939" s="179"/>
      <c r="AJ939" s="191"/>
      <c r="AK939" s="191"/>
      <c r="AM939" s="191"/>
      <c r="AN939" s="191"/>
      <c r="AQ939" s="179"/>
      <c r="AR939" s="192"/>
      <c r="AS939" s="192"/>
      <c r="AU939" s="192"/>
      <c r="AV939" s="192"/>
      <c r="AY939" s="179"/>
      <c r="BA939" s="192"/>
      <c r="BB939" s="192"/>
      <c r="BD939" s="192"/>
      <c r="BE939" s="192"/>
      <c r="BH939" s="179"/>
      <c r="BI939" s="192"/>
      <c r="BJ939" s="192"/>
      <c r="BL939" s="192"/>
      <c r="BM939" s="192"/>
      <c r="BP939" s="179"/>
    </row>
    <row r="940">
      <c r="B940" s="189"/>
      <c r="C940" s="189"/>
      <c r="E940" s="189"/>
      <c r="F940" s="189"/>
      <c r="I940" s="179"/>
      <c r="J940" s="189"/>
      <c r="K940" s="189"/>
      <c r="M940" s="189"/>
      <c r="N940" s="189"/>
      <c r="Q940" s="179"/>
      <c r="S940" s="189"/>
      <c r="T940" s="189"/>
      <c r="V940" s="189"/>
      <c r="W940" s="189"/>
      <c r="Z940" s="179"/>
      <c r="AA940" s="189"/>
      <c r="AB940" s="189"/>
      <c r="AD940" s="189"/>
      <c r="AE940" s="189"/>
      <c r="AH940" s="179"/>
      <c r="AJ940" s="191"/>
      <c r="AK940" s="191"/>
      <c r="AM940" s="191"/>
      <c r="AN940" s="191"/>
      <c r="AQ940" s="179"/>
      <c r="AR940" s="192"/>
      <c r="AS940" s="192"/>
      <c r="AU940" s="192"/>
      <c r="AV940" s="192"/>
      <c r="AY940" s="179"/>
      <c r="BA940" s="192"/>
      <c r="BB940" s="192"/>
      <c r="BD940" s="192"/>
      <c r="BE940" s="192"/>
      <c r="BH940" s="179"/>
      <c r="BI940" s="192"/>
      <c r="BJ940" s="192"/>
      <c r="BL940" s="192"/>
      <c r="BM940" s="192"/>
      <c r="BP940" s="179"/>
    </row>
    <row r="941">
      <c r="B941" s="189"/>
      <c r="C941" s="189"/>
      <c r="E941" s="189"/>
      <c r="F941" s="189"/>
      <c r="I941" s="179"/>
      <c r="J941" s="189"/>
      <c r="K941" s="189"/>
      <c r="M941" s="189"/>
      <c r="N941" s="189"/>
      <c r="Q941" s="179"/>
      <c r="S941" s="189"/>
      <c r="T941" s="189"/>
      <c r="V941" s="189"/>
      <c r="W941" s="189"/>
      <c r="Z941" s="179"/>
      <c r="AA941" s="189"/>
      <c r="AB941" s="189"/>
      <c r="AD941" s="189"/>
      <c r="AE941" s="189"/>
      <c r="AH941" s="179"/>
      <c r="AJ941" s="191"/>
      <c r="AK941" s="191"/>
      <c r="AM941" s="191"/>
      <c r="AN941" s="191"/>
      <c r="AQ941" s="179"/>
      <c r="AR941" s="192"/>
      <c r="AS941" s="192"/>
      <c r="AU941" s="192"/>
      <c r="AV941" s="192"/>
      <c r="AY941" s="179"/>
      <c r="BA941" s="192"/>
      <c r="BB941" s="192"/>
      <c r="BD941" s="192"/>
      <c r="BE941" s="192"/>
      <c r="BH941" s="179"/>
      <c r="BI941" s="192"/>
      <c r="BJ941" s="192"/>
      <c r="BL941" s="192"/>
      <c r="BM941" s="192"/>
      <c r="BP941" s="179"/>
    </row>
    <row r="942">
      <c r="B942" s="189"/>
      <c r="C942" s="189"/>
      <c r="E942" s="189"/>
      <c r="F942" s="189"/>
      <c r="I942" s="179"/>
      <c r="J942" s="189"/>
      <c r="K942" s="189"/>
      <c r="M942" s="189"/>
      <c r="N942" s="189"/>
      <c r="Q942" s="179"/>
      <c r="S942" s="189"/>
      <c r="T942" s="189"/>
      <c r="V942" s="189"/>
      <c r="W942" s="189"/>
      <c r="Z942" s="179"/>
      <c r="AA942" s="189"/>
      <c r="AB942" s="189"/>
      <c r="AD942" s="189"/>
      <c r="AE942" s="189"/>
      <c r="AH942" s="179"/>
      <c r="AJ942" s="191"/>
      <c r="AK942" s="191"/>
      <c r="AM942" s="191"/>
      <c r="AN942" s="191"/>
      <c r="AQ942" s="179"/>
      <c r="AR942" s="192"/>
      <c r="AS942" s="192"/>
      <c r="AU942" s="192"/>
      <c r="AV942" s="192"/>
      <c r="AY942" s="179"/>
      <c r="BA942" s="192"/>
      <c r="BB942" s="192"/>
      <c r="BD942" s="192"/>
      <c r="BE942" s="192"/>
      <c r="BH942" s="179"/>
      <c r="BI942" s="192"/>
      <c r="BJ942" s="192"/>
      <c r="BL942" s="192"/>
      <c r="BM942" s="192"/>
      <c r="BP942" s="179"/>
    </row>
    <row r="943">
      <c r="B943" s="189"/>
      <c r="C943" s="189"/>
      <c r="E943" s="189"/>
      <c r="F943" s="189"/>
      <c r="I943" s="179"/>
      <c r="J943" s="189"/>
      <c r="K943" s="189"/>
      <c r="M943" s="189"/>
      <c r="N943" s="189"/>
      <c r="Q943" s="179"/>
      <c r="S943" s="189"/>
      <c r="T943" s="189"/>
      <c r="V943" s="189"/>
      <c r="W943" s="189"/>
      <c r="Z943" s="179"/>
      <c r="AA943" s="189"/>
      <c r="AB943" s="189"/>
      <c r="AD943" s="189"/>
      <c r="AE943" s="189"/>
      <c r="AH943" s="179"/>
      <c r="AJ943" s="191"/>
      <c r="AK943" s="191"/>
      <c r="AM943" s="191"/>
      <c r="AN943" s="191"/>
      <c r="AQ943" s="179"/>
      <c r="AR943" s="192"/>
      <c r="AS943" s="192"/>
      <c r="AU943" s="192"/>
      <c r="AV943" s="192"/>
      <c r="AY943" s="179"/>
      <c r="BA943" s="192"/>
      <c r="BB943" s="192"/>
      <c r="BD943" s="192"/>
      <c r="BE943" s="192"/>
      <c r="BH943" s="179"/>
      <c r="BI943" s="192"/>
      <c r="BJ943" s="192"/>
      <c r="BL943" s="192"/>
      <c r="BM943" s="192"/>
      <c r="BP943" s="179"/>
    </row>
    <row r="944">
      <c r="B944" s="189"/>
      <c r="C944" s="189"/>
      <c r="E944" s="189"/>
      <c r="F944" s="189"/>
      <c r="I944" s="179"/>
      <c r="J944" s="189"/>
      <c r="K944" s="189"/>
      <c r="M944" s="189"/>
      <c r="N944" s="189"/>
      <c r="Q944" s="179"/>
      <c r="S944" s="189"/>
      <c r="T944" s="189"/>
      <c r="V944" s="189"/>
      <c r="W944" s="189"/>
      <c r="Z944" s="179"/>
      <c r="AA944" s="189"/>
      <c r="AB944" s="189"/>
      <c r="AD944" s="189"/>
      <c r="AE944" s="189"/>
      <c r="AH944" s="179"/>
      <c r="AJ944" s="191"/>
      <c r="AK944" s="191"/>
      <c r="AM944" s="191"/>
      <c r="AN944" s="191"/>
      <c r="AQ944" s="179"/>
      <c r="AR944" s="192"/>
      <c r="AS944" s="192"/>
      <c r="AU944" s="192"/>
      <c r="AV944" s="192"/>
      <c r="AY944" s="179"/>
      <c r="BA944" s="192"/>
      <c r="BB944" s="192"/>
      <c r="BD944" s="192"/>
      <c r="BE944" s="192"/>
      <c r="BH944" s="179"/>
      <c r="BI944" s="192"/>
      <c r="BJ944" s="192"/>
      <c r="BL944" s="192"/>
      <c r="BM944" s="192"/>
      <c r="BP944" s="179"/>
    </row>
    <row r="945">
      <c r="B945" s="189"/>
      <c r="C945" s="189"/>
      <c r="E945" s="189"/>
      <c r="F945" s="189"/>
      <c r="I945" s="179"/>
      <c r="J945" s="189"/>
      <c r="K945" s="189"/>
      <c r="M945" s="189"/>
      <c r="N945" s="189"/>
      <c r="Q945" s="179"/>
      <c r="S945" s="189"/>
      <c r="T945" s="189"/>
      <c r="V945" s="189"/>
      <c r="W945" s="189"/>
      <c r="Z945" s="179"/>
      <c r="AA945" s="189"/>
      <c r="AB945" s="189"/>
      <c r="AD945" s="189"/>
      <c r="AE945" s="189"/>
      <c r="AH945" s="179"/>
      <c r="AJ945" s="191"/>
      <c r="AK945" s="191"/>
      <c r="AM945" s="191"/>
      <c r="AN945" s="191"/>
      <c r="AQ945" s="179"/>
      <c r="AR945" s="192"/>
      <c r="AS945" s="192"/>
      <c r="AU945" s="192"/>
      <c r="AV945" s="192"/>
      <c r="AY945" s="179"/>
      <c r="BA945" s="192"/>
      <c r="BB945" s="192"/>
      <c r="BD945" s="192"/>
      <c r="BE945" s="192"/>
      <c r="BH945" s="179"/>
      <c r="BI945" s="192"/>
      <c r="BJ945" s="192"/>
      <c r="BL945" s="192"/>
      <c r="BM945" s="192"/>
      <c r="BP945" s="179"/>
    </row>
    <row r="946">
      <c r="B946" s="189"/>
      <c r="C946" s="189"/>
      <c r="E946" s="189"/>
      <c r="F946" s="189"/>
      <c r="I946" s="179"/>
      <c r="J946" s="189"/>
      <c r="K946" s="189"/>
      <c r="M946" s="189"/>
      <c r="N946" s="189"/>
      <c r="Q946" s="179"/>
      <c r="S946" s="189"/>
      <c r="T946" s="189"/>
      <c r="V946" s="189"/>
      <c r="W946" s="189"/>
      <c r="Z946" s="179"/>
      <c r="AA946" s="189"/>
      <c r="AB946" s="189"/>
      <c r="AD946" s="189"/>
      <c r="AE946" s="189"/>
      <c r="AH946" s="179"/>
      <c r="AJ946" s="191"/>
      <c r="AK946" s="191"/>
      <c r="AM946" s="191"/>
      <c r="AN946" s="191"/>
      <c r="AQ946" s="179"/>
      <c r="AR946" s="192"/>
      <c r="AS946" s="192"/>
      <c r="AU946" s="192"/>
      <c r="AV946" s="192"/>
      <c r="AY946" s="179"/>
      <c r="BA946" s="192"/>
      <c r="BB946" s="192"/>
      <c r="BD946" s="192"/>
      <c r="BE946" s="192"/>
      <c r="BH946" s="179"/>
      <c r="BI946" s="192"/>
      <c r="BJ946" s="192"/>
      <c r="BL946" s="192"/>
      <c r="BM946" s="192"/>
      <c r="BP946" s="179"/>
    </row>
    <row r="947">
      <c r="B947" s="189"/>
      <c r="C947" s="189"/>
      <c r="E947" s="189"/>
      <c r="F947" s="189"/>
      <c r="I947" s="179"/>
      <c r="J947" s="189"/>
      <c r="K947" s="189"/>
      <c r="M947" s="189"/>
      <c r="N947" s="189"/>
      <c r="Q947" s="179"/>
      <c r="S947" s="189"/>
      <c r="T947" s="189"/>
      <c r="V947" s="189"/>
      <c r="W947" s="189"/>
      <c r="Z947" s="179"/>
      <c r="AA947" s="189"/>
      <c r="AB947" s="189"/>
      <c r="AD947" s="189"/>
      <c r="AE947" s="189"/>
      <c r="AH947" s="179"/>
      <c r="AJ947" s="191"/>
      <c r="AK947" s="191"/>
      <c r="AM947" s="191"/>
      <c r="AN947" s="191"/>
      <c r="AQ947" s="179"/>
      <c r="AR947" s="192"/>
      <c r="AS947" s="192"/>
      <c r="AU947" s="192"/>
      <c r="AV947" s="192"/>
      <c r="AY947" s="179"/>
      <c r="BA947" s="192"/>
      <c r="BB947" s="192"/>
      <c r="BD947" s="192"/>
      <c r="BE947" s="192"/>
      <c r="BH947" s="179"/>
      <c r="BI947" s="192"/>
      <c r="BJ947" s="192"/>
      <c r="BL947" s="192"/>
      <c r="BM947" s="192"/>
      <c r="BP947" s="179"/>
    </row>
    <row r="948">
      <c r="B948" s="189"/>
      <c r="C948" s="189"/>
      <c r="E948" s="189"/>
      <c r="F948" s="189"/>
      <c r="I948" s="179"/>
      <c r="J948" s="189"/>
      <c r="K948" s="189"/>
      <c r="M948" s="189"/>
      <c r="N948" s="189"/>
      <c r="Q948" s="179"/>
      <c r="S948" s="189"/>
      <c r="T948" s="189"/>
      <c r="V948" s="189"/>
      <c r="W948" s="189"/>
      <c r="Z948" s="179"/>
      <c r="AA948" s="189"/>
      <c r="AB948" s="189"/>
      <c r="AD948" s="189"/>
      <c r="AE948" s="189"/>
      <c r="AH948" s="179"/>
      <c r="AJ948" s="191"/>
      <c r="AK948" s="191"/>
      <c r="AM948" s="191"/>
      <c r="AN948" s="191"/>
      <c r="AQ948" s="179"/>
      <c r="AR948" s="192"/>
      <c r="AS948" s="192"/>
      <c r="AU948" s="192"/>
      <c r="AV948" s="192"/>
      <c r="AY948" s="179"/>
      <c r="BA948" s="192"/>
      <c r="BB948" s="192"/>
      <c r="BD948" s="192"/>
      <c r="BE948" s="192"/>
      <c r="BH948" s="179"/>
      <c r="BI948" s="192"/>
      <c r="BJ948" s="192"/>
      <c r="BL948" s="192"/>
      <c r="BM948" s="192"/>
      <c r="BP948" s="179"/>
    </row>
    <row r="949">
      <c r="B949" s="189"/>
      <c r="C949" s="189"/>
      <c r="E949" s="189"/>
      <c r="F949" s="189"/>
      <c r="I949" s="179"/>
      <c r="J949" s="189"/>
      <c r="K949" s="189"/>
      <c r="M949" s="189"/>
      <c r="N949" s="189"/>
      <c r="Q949" s="179"/>
      <c r="S949" s="189"/>
      <c r="T949" s="189"/>
      <c r="V949" s="189"/>
      <c r="W949" s="189"/>
      <c r="Z949" s="179"/>
      <c r="AA949" s="189"/>
      <c r="AB949" s="189"/>
      <c r="AD949" s="189"/>
      <c r="AE949" s="189"/>
      <c r="AH949" s="179"/>
      <c r="AJ949" s="191"/>
      <c r="AK949" s="191"/>
      <c r="AM949" s="191"/>
      <c r="AN949" s="191"/>
      <c r="AQ949" s="179"/>
      <c r="AR949" s="192"/>
      <c r="AS949" s="192"/>
      <c r="AU949" s="192"/>
      <c r="AV949" s="192"/>
      <c r="AY949" s="179"/>
      <c r="BA949" s="192"/>
      <c r="BB949" s="192"/>
      <c r="BD949" s="192"/>
      <c r="BE949" s="192"/>
      <c r="BH949" s="179"/>
      <c r="BI949" s="192"/>
      <c r="BJ949" s="192"/>
      <c r="BL949" s="192"/>
      <c r="BM949" s="192"/>
      <c r="BP949" s="179"/>
    </row>
    <row r="950">
      <c r="B950" s="189"/>
      <c r="C950" s="189"/>
      <c r="E950" s="189"/>
      <c r="F950" s="189"/>
      <c r="I950" s="179"/>
      <c r="J950" s="189"/>
      <c r="K950" s="189"/>
      <c r="M950" s="189"/>
      <c r="N950" s="189"/>
      <c r="Q950" s="179"/>
      <c r="S950" s="189"/>
      <c r="T950" s="189"/>
      <c r="V950" s="189"/>
      <c r="W950" s="189"/>
      <c r="Z950" s="179"/>
      <c r="AA950" s="189"/>
      <c r="AB950" s="189"/>
      <c r="AD950" s="189"/>
      <c r="AE950" s="189"/>
      <c r="AH950" s="179"/>
      <c r="AJ950" s="191"/>
      <c r="AK950" s="191"/>
      <c r="AM950" s="191"/>
      <c r="AN950" s="191"/>
      <c r="AQ950" s="179"/>
      <c r="AR950" s="192"/>
      <c r="AS950" s="192"/>
      <c r="AU950" s="192"/>
      <c r="AV950" s="192"/>
      <c r="AY950" s="179"/>
      <c r="BA950" s="192"/>
      <c r="BB950" s="192"/>
      <c r="BD950" s="192"/>
      <c r="BE950" s="192"/>
      <c r="BH950" s="179"/>
      <c r="BI950" s="192"/>
      <c r="BJ950" s="192"/>
      <c r="BL950" s="192"/>
      <c r="BM950" s="192"/>
      <c r="BP950" s="179"/>
    </row>
    <row r="951">
      <c r="B951" s="189"/>
      <c r="C951" s="189"/>
      <c r="E951" s="189"/>
      <c r="F951" s="189"/>
      <c r="I951" s="179"/>
      <c r="J951" s="189"/>
      <c r="K951" s="189"/>
      <c r="M951" s="189"/>
      <c r="N951" s="189"/>
      <c r="Q951" s="179"/>
      <c r="S951" s="189"/>
      <c r="T951" s="189"/>
      <c r="V951" s="189"/>
      <c r="W951" s="189"/>
      <c r="Z951" s="179"/>
      <c r="AA951" s="189"/>
      <c r="AB951" s="189"/>
      <c r="AD951" s="189"/>
      <c r="AE951" s="189"/>
      <c r="AH951" s="179"/>
      <c r="AJ951" s="191"/>
      <c r="AK951" s="191"/>
      <c r="AM951" s="191"/>
      <c r="AN951" s="191"/>
      <c r="AQ951" s="179"/>
      <c r="AR951" s="192"/>
      <c r="AS951" s="192"/>
      <c r="AU951" s="192"/>
      <c r="AV951" s="192"/>
      <c r="AY951" s="179"/>
      <c r="BA951" s="192"/>
      <c r="BB951" s="192"/>
      <c r="BD951" s="192"/>
      <c r="BE951" s="192"/>
      <c r="BH951" s="179"/>
      <c r="BI951" s="192"/>
      <c r="BJ951" s="192"/>
      <c r="BL951" s="192"/>
      <c r="BM951" s="192"/>
      <c r="BP951" s="179"/>
    </row>
    <row r="952">
      <c r="B952" s="189"/>
      <c r="C952" s="189"/>
      <c r="E952" s="189"/>
      <c r="F952" s="189"/>
      <c r="I952" s="179"/>
      <c r="J952" s="189"/>
      <c r="K952" s="189"/>
      <c r="M952" s="189"/>
      <c r="N952" s="189"/>
      <c r="Q952" s="179"/>
      <c r="S952" s="189"/>
      <c r="T952" s="189"/>
      <c r="V952" s="189"/>
      <c r="W952" s="189"/>
      <c r="Z952" s="179"/>
      <c r="AA952" s="189"/>
      <c r="AB952" s="189"/>
      <c r="AD952" s="189"/>
      <c r="AE952" s="189"/>
      <c r="AH952" s="179"/>
      <c r="AJ952" s="191"/>
      <c r="AK952" s="191"/>
      <c r="AM952" s="191"/>
      <c r="AN952" s="191"/>
      <c r="AQ952" s="179"/>
      <c r="AR952" s="192"/>
      <c r="AS952" s="192"/>
      <c r="AU952" s="192"/>
      <c r="AV952" s="192"/>
      <c r="AY952" s="179"/>
      <c r="BA952" s="192"/>
      <c r="BB952" s="192"/>
      <c r="BD952" s="192"/>
      <c r="BE952" s="192"/>
      <c r="BH952" s="179"/>
      <c r="BI952" s="192"/>
      <c r="BJ952" s="192"/>
      <c r="BL952" s="192"/>
      <c r="BM952" s="192"/>
      <c r="BP952" s="179"/>
    </row>
    <row r="953">
      <c r="B953" s="189"/>
      <c r="C953" s="189"/>
      <c r="E953" s="189"/>
      <c r="F953" s="189"/>
      <c r="I953" s="179"/>
      <c r="J953" s="189"/>
      <c r="K953" s="189"/>
      <c r="M953" s="189"/>
      <c r="N953" s="189"/>
      <c r="Q953" s="179"/>
      <c r="S953" s="189"/>
      <c r="T953" s="189"/>
      <c r="V953" s="189"/>
      <c r="W953" s="189"/>
      <c r="Z953" s="179"/>
      <c r="AA953" s="189"/>
      <c r="AB953" s="189"/>
      <c r="AD953" s="189"/>
      <c r="AE953" s="189"/>
      <c r="AH953" s="179"/>
      <c r="AJ953" s="191"/>
      <c r="AK953" s="191"/>
      <c r="AM953" s="191"/>
      <c r="AN953" s="191"/>
      <c r="AQ953" s="179"/>
      <c r="AR953" s="192"/>
      <c r="AS953" s="192"/>
      <c r="AU953" s="192"/>
      <c r="AV953" s="192"/>
      <c r="AY953" s="179"/>
      <c r="BA953" s="192"/>
      <c r="BB953" s="192"/>
      <c r="BD953" s="192"/>
      <c r="BE953" s="192"/>
      <c r="BH953" s="179"/>
      <c r="BI953" s="192"/>
      <c r="BJ953" s="192"/>
      <c r="BL953" s="192"/>
      <c r="BM953" s="192"/>
      <c r="BP953" s="179"/>
    </row>
    <row r="954">
      <c r="B954" s="189"/>
      <c r="C954" s="189"/>
      <c r="E954" s="189"/>
      <c r="F954" s="189"/>
      <c r="I954" s="179"/>
      <c r="J954" s="189"/>
      <c r="K954" s="189"/>
      <c r="M954" s="189"/>
      <c r="N954" s="189"/>
      <c r="Q954" s="179"/>
      <c r="S954" s="189"/>
      <c r="T954" s="189"/>
      <c r="V954" s="189"/>
      <c r="W954" s="189"/>
      <c r="Z954" s="179"/>
      <c r="AA954" s="189"/>
      <c r="AB954" s="189"/>
      <c r="AD954" s="189"/>
      <c r="AE954" s="189"/>
      <c r="AH954" s="179"/>
      <c r="AJ954" s="191"/>
      <c r="AK954" s="191"/>
      <c r="AM954" s="191"/>
      <c r="AN954" s="191"/>
      <c r="AQ954" s="179"/>
      <c r="AR954" s="192"/>
      <c r="AS954" s="192"/>
      <c r="AU954" s="192"/>
      <c r="AV954" s="192"/>
      <c r="AY954" s="179"/>
      <c r="BA954" s="192"/>
      <c r="BB954" s="192"/>
      <c r="BD954" s="192"/>
      <c r="BE954" s="192"/>
      <c r="BH954" s="179"/>
      <c r="BI954" s="192"/>
      <c r="BJ954" s="192"/>
      <c r="BL954" s="192"/>
      <c r="BM954" s="192"/>
      <c r="BP954" s="179"/>
    </row>
    <row r="955">
      <c r="B955" s="189"/>
      <c r="C955" s="189"/>
      <c r="E955" s="189"/>
      <c r="F955" s="189"/>
      <c r="I955" s="179"/>
      <c r="J955" s="189"/>
      <c r="K955" s="189"/>
      <c r="M955" s="189"/>
      <c r="N955" s="189"/>
      <c r="Q955" s="179"/>
      <c r="S955" s="189"/>
      <c r="T955" s="189"/>
      <c r="V955" s="189"/>
      <c r="W955" s="189"/>
      <c r="Z955" s="179"/>
      <c r="AA955" s="189"/>
      <c r="AB955" s="189"/>
      <c r="AD955" s="189"/>
      <c r="AE955" s="189"/>
      <c r="AH955" s="179"/>
      <c r="AJ955" s="191"/>
      <c r="AK955" s="191"/>
      <c r="AM955" s="191"/>
      <c r="AN955" s="191"/>
      <c r="AQ955" s="179"/>
      <c r="AR955" s="192"/>
      <c r="AS955" s="192"/>
      <c r="AU955" s="192"/>
      <c r="AV955" s="192"/>
      <c r="AY955" s="179"/>
      <c r="BA955" s="192"/>
      <c r="BB955" s="192"/>
      <c r="BD955" s="192"/>
      <c r="BE955" s="192"/>
      <c r="BH955" s="179"/>
      <c r="BI955" s="192"/>
      <c r="BJ955" s="192"/>
      <c r="BL955" s="192"/>
      <c r="BM955" s="192"/>
      <c r="BP955" s="179"/>
    </row>
    <row r="956">
      <c r="B956" s="189"/>
      <c r="C956" s="189"/>
      <c r="E956" s="189"/>
      <c r="F956" s="189"/>
      <c r="I956" s="179"/>
      <c r="J956" s="189"/>
      <c r="K956" s="189"/>
      <c r="M956" s="189"/>
      <c r="N956" s="189"/>
      <c r="Q956" s="179"/>
      <c r="S956" s="189"/>
      <c r="T956" s="189"/>
      <c r="V956" s="189"/>
      <c r="W956" s="189"/>
      <c r="Z956" s="179"/>
      <c r="AA956" s="189"/>
      <c r="AB956" s="189"/>
      <c r="AD956" s="189"/>
      <c r="AE956" s="189"/>
      <c r="AH956" s="179"/>
      <c r="AJ956" s="191"/>
      <c r="AK956" s="191"/>
      <c r="AM956" s="191"/>
      <c r="AN956" s="191"/>
      <c r="AQ956" s="179"/>
      <c r="AR956" s="192"/>
      <c r="AS956" s="192"/>
      <c r="AU956" s="192"/>
      <c r="AV956" s="192"/>
      <c r="AY956" s="179"/>
      <c r="BA956" s="192"/>
      <c r="BB956" s="192"/>
      <c r="BD956" s="192"/>
      <c r="BE956" s="192"/>
      <c r="BH956" s="179"/>
      <c r="BI956" s="192"/>
      <c r="BJ956" s="192"/>
      <c r="BL956" s="192"/>
      <c r="BM956" s="192"/>
      <c r="BP956" s="179"/>
    </row>
    <row r="957">
      <c r="B957" s="189"/>
      <c r="C957" s="189"/>
      <c r="E957" s="189"/>
      <c r="F957" s="189"/>
      <c r="I957" s="179"/>
      <c r="J957" s="189"/>
      <c r="K957" s="189"/>
      <c r="M957" s="189"/>
      <c r="N957" s="189"/>
      <c r="Q957" s="179"/>
      <c r="S957" s="189"/>
      <c r="T957" s="189"/>
      <c r="V957" s="189"/>
      <c r="W957" s="189"/>
      <c r="Z957" s="179"/>
      <c r="AA957" s="189"/>
      <c r="AB957" s="189"/>
      <c r="AD957" s="189"/>
      <c r="AE957" s="189"/>
      <c r="AH957" s="179"/>
      <c r="AJ957" s="191"/>
      <c r="AK957" s="191"/>
      <c r="AM957" s="191"/>
      <c r="AN957" s="191"/>
      <c r="AQ957" s="179"/>
      <c r="AR957" s="192"/>
      <c r="AS957" s="192"/>
      <c r="AU957" s="192"/>
      <c r="AV957" s="192"/>
      <c r="AY957" s="179"/>
      <c r="BA957" s="192"/>
      <c r="BB957" s="192"/>
      <c r="BD957" s="192"/>
      <c r="BE957" s="192"/>
      <c r="BH957" s="179"/>
      <c r="BI957" s="192"/>
      <c r="BJ957" s="192"/>
      <c r="BL957" s="192"/>
      <c r="BM957" s="192"/>
      <c r="BP957" s="179"/>
    </row>
    <row r="958">
      <c r="B958" s="189"/>
      <c r="C958" s="189"/>
      <c r="E958" s="189"/>
      <c r="F958" s="189"/>
      <c r="I958" s="179"/>
      <c r="J958" s="189"/>
      <c r="K958" s="189"/>
      <c r="M958" s="189"/>
      <c r="N958" s="189"/>
      <c r="Q958" s="179"/>
      <c r="S958" s="189"/>
      <c r="T958" s="189"/>
      <c r="V958" s="189"/>
      <c r="W958" s="189"/>
      <c r="Z958" s="179"/>
      <c r="AA958" s="189"/>
      <c r="AB958" s="189"/>
      <c r="AD958" s="189"/>
      <c r="AE958" s="189"/>
      <c r="AH958" s="179"/>
      <c r="AJ958" s="191"/>
      <c r="AK958" s="191"/>
      <c r="AM958" s="191"/>
      <c r="AN958" s="191"/>
      <c r="AQ958" s="179"/>
      <c r="AR958" s="192"/>
      <c r="AS958" s="192"/>
      <c r="AU958" s="192"/>
      <c r="AV958" s="192"/>
      <c r="AY958" s="179"/>
      <c r="BA958" s="192"/>
      <c r="BB958" s="192"/>
      <c r="BD958" s="192"/>
      <c r="BE958" s="192"/>
      <c r="BH958" s="179"/>
      <c r="BI958" s="192"/>
      <c r="BJ958" s="192"/>
      <c r="BL958" s="192"/>
      <c r="BM958" s="192"/>
      <c r="BP958" s="179"/>
    </row>
    <row r="959">
      <c r="B959" s="189"/>
      <c r="C959" s="189"/>
      <c r="E959" s="189"/>
      <c r="F959" s="189"/>
      <c r="I959" s="179"/>
      <c r="J959" s="189"/>
      <c r="K959" s="189"/>
      <c r="M959" s="189"/>
      <c r="N959" s="189"/>
      <c r="Q959" s="179"/>
      <c r="S959" s="189"/>
      <c r="T959" s="189"/>
      <c r="V959" s="189"/>
      <c r="W959" s="189"/>
      <c r="Z959" s="179"/>
      <c r="AA959" s="189"/>
      <c r="AB959" s="189"/>
      <c r="AD959" s="189"/>
      <c r="AE959" s="189"/>
      <c r="AH959" s="179"/>
      <c r="AJ959" s="191"/>
      <c r="AK959" s="191"/>
      <c r="AM959" s="191"/>
      <c r="AN959" s="191"/>
      <c r="AQ959" s="179"/>
      <c r="AR959" s="192"/>
      <c r="AS959" s="192"/>
      <c r="AU959" s="192"/>
      <c r="AV959" s="192"/>
      <c r="AY959" s="179"/>
      <c r="BA959" s="192"/>
      <c r="BB959" s="192"/>
      <c r="BD959" s="192"/>
      <c r="BE959" s="192"/>
      <c r="BH959" s="179"/>
      <c r="BI959" s="192"/>
      <c r="BJ959" s="192"/>
      <c r="BL959" s="192"/>
      <c r="BM959" s="192"/>
      <c r="BP959" s="179"/>
    </row>
    <row r="960">
      <c r="B960" s="189"/>
      <c r="C960" s="189"/>
      <c r="E960" s="189"/>
      <c r="F960" s="189"/>
      <c r="I960" s="179"/>
      <c r="J960" s="189"/>
      <c r="K960" s="189"/>
      <c r="M960" s="189"/>
      <c r="N960" s="189"/>
      <c r="Q960" s="179"/>
      <c r="S960" s="189"/>
      <c r="T960" s="189"/>
      <c r="V960" s="189"/>
      <c r="W960" s="189"/>
      <c r="Z960" s="179"/>
      <c r="AA960" s="189"/>
      <c r="AB960" s="189"/>
      <c r="AD960" s="189"/>
      <c r="AE960" s="189"/>
      <c r="AH960" s="179"/>
      <c r="AJ960" s="191"/>
      <c r="AK960" s="191"/>
      <c r="AM960" s="191"/>
      <c r="AN960" s="191"/>
      <c r="AQ960" s="179"/>
      <c r="AR960" s="192"/>
      <c r="AS960" s="192"/>
      <c r="AU960" s="192"/>
      <c r="AV960" s="192"/>
      <c r="AY960" s="179"/>
      <c r="BA960" s="192"/>
      <c r="BB960" s="192"/>
      <c r="BD960" s="192"/>
      <c r="BE960" s="192"/>
      <c r="BH960" s="179"/>
      <c r="BI960" s="192"/>
      <c r="BJ960" s="192"/>
      <c r="BL960" s="192"/>
      <c r="BM960" s="192"/>
      <c r="BP960" s="179"/>
    </row>
    <row r="961">
      <c r="B961" s="189"/>
      <c r="C961" s="189"/>
      <c r="E961" s="189"/>
      <c r="F961" s="189"/>
      <c r="I961" s="179"/>
      <c r="J961" s="189"/>
      <c r="K961" s="189"/>
      <c r="M961" s="189"/>
      <c r="N961" s="189"/>
      <c r="Q961" s="179"/>
      <c r="S961" s="189"/>
      <c r="T961" s="189"/>
      <c r="V961" s="189"/>
      <c r="W961" s="189"/>
      <c r="Z961" s="179"/>
      <c r="AA961" s="189"/>
      <c r="AB961" s="189"/>
      <c r="AD961" s="189"/>
      <c r="AE961" s="189"/>
      <c r="AH961" s="179"/>
      <c r="AJ961" s="191"/>
      <c r="AK961" s="191"/>
      <c r="AM961" s="191"/>
      <c r="AN961" s="191"/>
      <c r="AQ961" s="179"/>
      <c r="AR961" s="192"/>
      <c r="AS961" s="192"/>
      <c r="AU961" s="192"/>
      <c r="AV961" s="192"/>
      <c r="AY961" s="179"/>
      <c r="BA961" s="192"/>
      <c r="BB961" s="192"/>
      <c r="BD961" s="192"/>
      <c r="BE961" s="192"/>
      <c r="BH961" s="179"/>
      <c r="BI961" s="192"/>
      <c r="BJ961" s="192"/>
      <c r="BL961" s="192"/>
      <c r="BM961" s="192"/>
      <c r="BP961" s="179"/>
    </row>
    <row r="962">
      <c r="B962" s="189"/>
      <c r="C962" s="189"/>
      <c r="E962" s="189"/>
      <c r="F962" s="189"/>
      <c r="I962" s="179"/>
      <c r="J962" s="189"/>
      <c r="K962" s="189"/>
      <c r="M962" s="189"/>
      <c r="N962" s="189"/>
      <c r="Q962" s="179"/>
      <c r="S962" s="189"/>
      <c r="T962" s="189"/>
      <c r="V962" s="189"/>
      <c r="W962" s="189"/>
      <c r="Z962" s="179"/>
      <c r="AA962" s="189"/>
      <c r="AB962" s="189"/>
      <c r="AD962" s="189"/>
      <c r="AE962" s="189"/>
      <c r="AH962" s="179"/>
      <c r="AJ962" s="191"/>
      <c r="AK962" s="191"/>
      <c r="AM962" s="191"/>
      <c r="AN962" s="191"/>
      <c r="AQ962" s="179"/>
      <c r="AR962" s="192"/>
      <c r="AS962" s="192"/>
      <c r="AU962" s="192"/>
      <c r="AV962" s="192"/>
      <c r="AY962" s="179"/>
      <c r="BA962" s="192"/>
      <c r="BB962" s="192"/>
      <c r="BD962" s="192"/>
      <c r="BE962" s="192"/>
      <c r="BH962" s="179"/>
      <c r="BI962" s="192"/>
      <c r="BJ962" s="192"/>
      <c r="BL962" s="192"/>
      <c r="BM962" s="192"/>
      <c r="BP962" s="179"/>
    </row>
    <row r="963">
      <c r="B963" s="189"/>
      <c r="C963" s="189"/>
      <c r="E963" s="189"/>
      <c r="F963" s="189"/>
      <c r="I963" s="179"/>
      <c r="J963" s="189"/>
      <c r="K963" s="189"/>
      <c r="M963" s="189"/>
      <c r="N963" s="189"/>
      <c r="Q963" s="179"/>
      <c r="S963" s="189"/>
      <c r="T963" s="189"/>
      <c r="V963" s="189"/>
      <c r="W963" s="189"/>
      <c r="Z963" s="179"/>
      <c r="AA963" s="189"/>
      <c r="AB963" s="189"/>
      <c r="AD963" s="189"/>
      <c r="AE963" s="189"/>
      <c r="AH963" s="179"/>
      <c r="AJ963" s="191"/>
      <c r="AK963" s="191"/>
      <c r="AM963" s="191"/>
      <c r="AN963" s="191"/>
      <c r="AQ963" s="179"/>
      <c r="AR963" s="192"/>
      <c r="AS963" s="192"/>
      <c r="AU963" s="192"/>
      <c r="AV963" s="192"/>
      <c r="AY963" s="179"/>
      <c r="BA963" s="192"/>
      <c r="BB963" s="192"/>
      <c r="BD963" s="192"/>
      <c r="BE963" s="192"/>
      <c r="BH963" s="179"/>
      <c r="BI963" s="192"/>
      <c r="BJ963" s="192"/>
      <c r="BL963" s="192"/>
      <c r="BM963" s="192"/>
      <c r="BP963" s="179"/>
    </row>
    <row r="964">
      <c r="B964" s="189"/>
      <c r="C964" s="189"/>
      <c r="E964" s="189"/>
      <c r="F964" s="189"/>
      <c r="I964" s="179"/>
      <c r="J964" s="189"/>
      <c r="K964" s="189"/>
      <c r="M964" s="189"/>
      <c r="N964" s="189"/>
      <c r="Q964" s="179"/>
      <c r="S964" s="189"/>
      <c r="T964" s="189"/>
      <c r="V964" s="189"/>
      <c r="W964" s="189"/>
      <c r="Z964" s="179"/>
      <c r="AA964" s="189"/>
      <c r="AB964" s="189"/>
      <c r="AD964" s="189"/>
      <c r="AE964" s="189"/>
      <c r="AH964" s="179"/>
      <c r="AJ964" s="191"/>
      <c r="AK964" s="191"/>
      <c r="AM964" s="191"/>
      <c r="AN964" s="191"/>
      <c r="AQ964" s="179"/>
      <c r="AR964" s="192"/>
      <c r="AS964" s="192"/>
      <c r="AU964" s="192"/>
      <c r="AV964" s="192"/>
      <c r="AY964" s="179"/>
      <c r="BA964" s="192"/>
      <c r="BB964" s="192"/>
      <c r="BD964" s="192"/>
      <c r="BE964" s="192"/>
      <c r="BH964" s="179"/>
      <c r="BI964" s="192"/>
      <c r="BJ964" s="192"/>
      <c r="BL964" s="192"/>
      <c r="BM964" s="192"/>
      <c r="BP964" s="179"/>
    </row>
    <row r="965">
      <c r="B965" s="189"/>
      <c r="C965" s="189"/>
      <c r="E965" s="189"/>
      <c r="F965" s="189"/>
      <c r="I965" s="179"/>
      <c r="J965" s="189"/>
      <c r="K965" s="189"/>
      <c r="M965" s="189"/>
      <c r="N965" s="189"/>
      <c r="Q965" s="179"/>
      <c r="S965" s="189"/>
      <c r="T965" s="189"/>
      <c r="V965" s="189"/>
      <c r="W965" s="189"/>
      <c r="Z965" s="179"/>
      <c r="AA965" s="189"/>
      <c r="AB965" s="189"/>
      <c r="AD965" s="189"/>
      <c r="AE965" s="189"/>
      <c r="AH965" s="179"/>
      <c r="AJ965" s="191"/>
      <c r="AK965" s="191"/>
      <c r="AM965" s="191"/>
      <c r="AN965" s="191"/>
      <c r="AQ965" s="179"/>
      <c r="AR965" s="192"/>
      <c r="AS965" s="192"/>
      <c r="AU965" s="192"/>
      <c r="AV965" s="192"/>
      <c r="AY965" s="179"/>
      <c r="BA965" s="192"/>
      <c r="BB965" s="192"/>
      <c r="BD965" s="192"/>
      <c r="BE965" s="192"/>
      <c r="BH965" s="179"/>
      <c r="BI965" s="192"/>
      <c r="BJ965" s="192"/>
      <c r="BL965" s="192"/>
      <c r="BM965" s="192"/>
      <c r="BP965" s="179"/>
    </row>
    <row r="966">
      <c r="B966" s="189"/>
      <c r="C966" s="189"/>
      <c r="E966" s="189"/>
      <c r="F966" s="189"/>
      <c r="I966" s="179"/>
      <c r="J966" s="189"/>
      <c r="K966" s="189"/>
      <c r="M966" s="189"/>
      <c r="N966" s="189"/>
      <c r="Q966" s="179"/>
      <c r="S966" s="189"/>
      <c r="T966" s="189"/>
      <c r="V966" s="189"/>
      <c r="W966" s="189"/>
      <c r="Z966" s="179"/>
      <c r="AA966" s="189"/>
      <c r="AB966" s="189"/>
      <c r="AD966" s="189"/>
      <c r="AE966" s="189"/>
      <c r="AH966" s="179"/>
      <c r="AJ966" s="191"/>
      <c r="AK966" s="191"/>
      <c r="AM966" s="191"/>
      <c r="AN966" s="191"/>
      <c r="AQ966" s="179"/>
      <c r="AR966" s="192"/>
      <c r="AS966" s="192"/>
      <c r="AU966" s="192"/>
      <c r="AV966" s="192"/>
      <c r="AY966" s="179"/>
      <c r="BA966" s="192"/>
      <c r="BB966" s="192"/>
      <c r="BD966" s="192"/>
      <c r="BE966" s="192"/>
      <c r="BH966" s="179"/>
      <c r="BI966" s="192"/>
      <c r="BJ966" s="192"/>
      <c r="BL966" s="192"/>
      <c r="BM966" s="192"/>
      <c r="BP966" s="179"/>
    </row>
    <row r="967">
      <c r="B967" s="189"/>
      <c r="C967" s="189"/>
      <c r="E967" s="189"/>
      <c r="F967" s="189"/>
      <c r="I967" s="179"/>
      <c r="J967" s="189"/>
      <c r="K967" s="189"/>
      <c r="M967" s="189"/>
      <c r="N967" s="189"/>
      <c r="Q967" s="179"/>
      <c r="S967" s="189"/>
      <c r="T967" s="189"/>
      <c r="V967" s="189"/>
      <c r="W967" s="189"/>
      <c r="Z967" s="179"/>
      <c r="AA967" s="189"/>
      <c r="AB967" s="189"/>
      <c r="AD967" s="189"/>
      <c r="AE967" s="189"/>
      <c r="AH967" s="179"/>
      <c r="AJ967" s="191"/>
      <c r="AK967" s="191"/>
      <c r="AM967" s="191"/>
      <c r="AN967" s="191"/>
      <c r="AQ967" s="179"/>
      <c r="AR967" s="192"/>
      <c r="AS967" s="192"/>
      <c r="AU967" s="192"/>
      <c r="AV967" s="192"/>
      <c r="AY967" s="179"/>
      <c r="BA967" s="192"/>
      <c r="BB967" s="192"/>
      <c r="BD967" s="192"/>
      <c r="BE967" s="192"/>
      <c r="BH967" s="179"/>
      <c r="BI967" s="192"/>
      <c r="BJ967" s="192"/>
      <c r="BL967" s="192"/>
      <c r="BM967" s="192"/>
      <c r="BP967" s="179"/>
    </row>
    <row r="968">
      <c r="B968" s="189"/>
      <c r="C968" s="189"/>
      <c r="E968" s="189"/>
      <c r="F968" s="189"/>
      <c r="I968" s="179"/>
      <c r="J968" s="189"/>
      <c r="K968" s="189"/>
      <c r="M968" s="189"/>
      <c r="N968" s="189"/>
      <c r="Q968" s="179"/>
      <c r="S968" s="189"/>
      <c r="T968" s="189"/>
      <c r="V968" s="189"/>
      <c r="W968" s="189"/>
      <c r="Z968" s="179"/>
      <c r="AA968" s="189"/>
      <c r="AB968" s="189"/>
      <c r="AD968" s="189"/>
      <c r="AE968" s="189"/>
      <c r="AH968" s="179"/>
      <c r="AJ968" s="191"/>
      <c r="AK968" s="191"/>
      <c r="AM968" s="191"/>
      <c r="AN968" s="191"/>
      <c r="AQ968" s="179"/>
      <c r="AR968" s="192"/>
      <c r="AS968" s="192"/>
      <c r="AU968" s="192"/>
      <c r="AV968" s="192"/>
      <c r="AY968" s="179"/>
      <c r="BA968" s="192"/>
      <c r="BB968" s="192"/>
      <c r="BD968" s="192"/>
      <c r="BE968" s="192"/>
      <c r="BH968" s="179"/>
      <c r="BI968" s="192"/>
      <c r="BJ968" s="192"/>
      <c r="BL968" s="192"/>
      <c r="BM968" s="192"/>
      <c r="BP968" s="179"/>
    </row>
    <row r="969">
      <c r="B969" s="189"/>
      <c r="C969" s="189"/>
      <c r="E969" s="189"/>
      <c r="F969" s="189"/>
      <c r="I969" s="179"/>
      <c r="J969" s="189"/>
      <c r="K969" s="189"/>
      <c r="M969" s="189"/>
      <c r="N969" s="189"/>
      <c r="Q969" s="179"/>
      <c r="S969" s="189"/>
      <c r="T969" s="189"/>
      <c r="V969" s="189"/>
      <c r="W969" s="189"/>
      <c r="Z969" s="179"/>
      <c r="AA969" s="189"/>
      <c r="AB969" s="189"/>
      <c r="AD969" s="189"/>
      <c r="AE969" s="189"/>
      <c r="AH969" s="179"/>
      <c r="AJ969" s="191"/>
      <c r="AK969" s="191"/>
      <c r="AM969" s="191"/>
      <c r="AN969" s="191"/>
      <c r="AQ969" s="179"/>
      <c r="AR969" s="192"/>
      <c r="AS969" s="192"/>
      <c r="AU969" s="192"/>
      <c r="AV969" s="192"/>
      <c r="AY969" s="179"/>
      <c r="BA969" s="192"/>
      <c r="BB969" s="192"/>
      <c r="BD969" s="192"/>
      <c r="BE969" s="192"/>
      <c r="BH969" s="179"/>
      <c r="BI969" s="192"/>
      <c r="BJ969" s="192"/>
      <c r="BL969" s="192"/>
      <c r="BM969" s="192"/>
      <c r="BP969" s="179"/>
    </row>
    <row r="970">
      <c r="B970" s="189"/>
      <c r="C970" s="189"/>
      <c r="E970" s="189"/>
      <c r="F970" s="189"/>
      <c r="I970" s="179"/>
      <c r="J970" s="189"/>
      <c r="K970" s="189"/>
      <c r="M970" s="189"/>
      <c r="N970" s="189"/>
      <c r="Q970" s="179"/>
      <c r="S970" s="189"/>
      <c r="T970" s="189"/>
      <c r="V970" s="189"/>
      <c r="W970" s="189"/>
      <c r="Z970" s="179"/>
      <c r="AA970" s="189"/>
      <c r="AB970" s="189"/>
      <c r="AD970" s="189"/>
      <c r="AE970" s="189"/>
      <c r="AH970" s="179"/>
      <c r="AJ970" s="191"/>
      <c r="AK970" s="191"/>
      <c r="AM970" s="191"/>
      <c r="AN970" s="191"/>
      <c r="AQ970" s="179"/>
      <c r="AR970" s="192"/>
      <c r="AS970" s="192"/>
      <c r="AU970" s="192"/>
      <c r="AV970" s="192"/>
      <c r="AY970" s="179"/>
      <c r="BA970" s="192"/>
      <c r="BB970" s="192"/>
      <c r="BD970" s="192"/>
      <c r="BE970" s="192"/>
      <c r="BH970" s="179"/>
      <c r="BI970" s="192"/>
      <c r="BJ970" s="192"/>
      <c r="BL970" s="192"/>
      <c r="BM970" s="192"/>
      <c r="BP970" s="179"/>
    </row>
    <row r="971">
      <c r="B971" s="189"/>
      <c r="C971" s="189"/>
      <c r="E971" s="189"/>
      <c r="F971" s="189"/>
      <c r="I971" s="179"/>
      <c r="J971" s="189"/>
      <c r="K971" s="189"/>
      <c r="M971" s="189"/>
      <c r="N971" s="189"/>
      <c r="Q971" s="179"/>
      <c r="S971" s="189"/>
      <c r="T971" s="189"/>
      <c r="V971" s="189"/>
      <c r="W971" s="189"/>
      <c r="Z971" s="179"/>
      <c r="AA971" s="189"/>
      <c r="AB971" s="189"/>
      <c r="AD971" s="189"/>
      <c r="AE971" s="189"/>
      <c r="AH971" s="179"/>
      <c r="AJ971" s="191"/>
      <c r="AK971" s="191"/>
      <c r="AM971" s="191"/>
      <c r="AN971" s="191"/>
      <c r="AQ971" s="179"/>
      <c r="AR971" s="192"/>
      <c r="AS971" s="192"/>
      <c r="AU971" s="192"/>
      <c r="AV971" s="192"/>
      <c r="AY971" s="179"/>
      <c r="BA971" s="192"/>
      <c r="BB971" s="192"/>
      <c r="BD971" s="192"/>
      <c r="BE971" s="192"/>
      <c r="BH971" s="179"/>
      <c r="BI971" s="192"/>
      <c r="BJ971" s="192"/>
      <c r="BL971" s="192"/>
      <c r="BM971" s="192"/>
      <c r="BP971" s="179"/>
    </row>
    <row r="972">
      <c r="B972" s="189"/>
      <c r="C972" s="189"/>
      <c r="E972" s="189"/>
      <c r="F972" s="189"/>
      <c r="I972" s="179"/>
      <c r="J972" s="189"/>
      <c r="K972" s="189"/>
      <c r="M972" s="189"/>
      <c r="N972" s="189"/>
      <c r="Q972" s="179"/>
      <c r="S972" s="189"/>
      <c r="T972" s="189"/>
      <c r="V972" s="189"/>
      <c r="W972" s="189"/>
      <c r="Z972" s="179"/>
      <c r="AA972" s="189"/>
      <c r="AB972" s="189"/>
      <c r="AD972" s="189"/>
      <c r="AE972" s="189"/>
      <c r="AH972" s="179"/>
      <c r="AJ972" s="191"/>
      <c r="AK972" s="191"/>
      <c r="AM972" s="191"/>
      <c r="AN972" s="191"/>
      <c r="AQ972" s="179"/>
      <c r="AR972" s="192"/>
      <c r="AS972" s="192"/>
      <c r="AU972" s="192"/>
      <c r="AV972" s="192"/>
      <c r="AY972" s="179"/>
      <c r="BA972" s="192"/>
      <c r="BB972" s="192"/>
      <c r="BD972" s="192"/>
      <c r="BE972" s="192"/>
      <c r="BH972" s="179"/>
      <c r="BI972" s="192"/>
      <c r="BJ972" s="192"/>
      <c r="BL972" s="192"/>
      <c r="BM972" s="192"/>
      <c r="BP972" s="179"/>
    </row>
    <row r="973">
      <c r="B973" s="189"/>
      <c r="C973" s="189"/>
      <c r="E973" s="189"/>
      <c r="F973" s="189"/>
      <c r="I973" s="179"/>
      <c r="J973" s="189"/>
      <c r="K973" s="189"/>
      <c r="M973" s="189"/>
      <c r="N973" s="189"/>
      <c r="Q973" s="179"/>
      <c r="S973" s="189"/>
      <c r="T973" s="189"/>
      <c r="V973" s="189"/>
      <c r="W973" s="189"/>
      <c r="Z973" s="179"/>
      <c r="AA973" s="189"/>
      <c r="AB973" s="189"/>
      <c r="AD973" s="189"/>
      <c r="AE973" s="189"/>
      <c r="AH973" s="179"/>
      <c r="AJ973" s="191"/>
      <c r="AK973" s="191"/>
      <c r="AM973" s="191"/>
      <c r="AN973" s="191"/>
      <c r="AQ973" s="179"/>
      <c r="AR973" s="192"/>
      <c r="AS973" s="192"/>
      <c r="AU973" s="192"/>
      <c r="AV973" s="192"/>
      <c r="AY973" s="179"/>
      <c r="BA973" s="192"/>
      <c r="BB973" s="192"/>
      <c r="BD973" s="192"/>
      <c r="BE973" s="192"/>
      <c r="BH973" s="179"/>
      <c r="BI973" s="192"/>
      <c r="BJ973" s="192"/>
      <c r="BL973" s="192"/>
      <c r="BM973" s="192"/>
      <c r="BP973" s="179"/>
    </row>
    <row r="974">
      <c r="B974" s="189"/>
      <c r="C974" s="189"/>
      <c r="E974" s="189"/>
      <c r="F974" s="189"/>
      <c r="I974" s="179"/>
      <c r="J974" s="189"/>
      <c r="K974" s="189"/>
      <c r="M974" s="189"/>
      <c r="N974" s="189"/>
      <c r="Q974" s="179"/>
      <c r="S974" s="189"/>
      <c r="T974" s="189"/>
      <c r="V974" s="189"/>
      <c r="W974" s="189"/>
      <c r="Z974" s="179"/>
      <c r="AA974" s="189"/>
      <c r="AB974" s="189"/>
      <c r="AD974" s="189"/>
      <c r="AE974" s="189"/>
      <c r="AH974" s="179"/>
      <c r="AJ974" s="191"/>
      <c r="AK974" s="191"/>
      <c r="AM974" s="191"/>
      <c r="AN974" s="191"/>
      <c r="AQ974" s="179"/>
      <c r="AR974" s="192"/>
      <c r="AS974" s="192"/>
      <c r="AU974" s="192"/>
      <c r="AV974" s="192"/>
      <c r="AY974" s="179"/>
      <c r="BA974" s="192"/>
      <c r="BB974" s="192"/>
      <c r="BD974" s="192"/>
      <c r="BE974" s="192"/>
      <c r="BH974" s="179"/>
      <c r="BI974" s="192"/>
      <c r="BJ974" s="192"/>
      <c r="BL974" s="192"/>
      <c r="BM974" s="192"/>
      <c r="BP974" s="179"/>
    </row>
    <row r="975">
      <c r="B975" s="189"/>
      <c r="C975" s="189"/>
      <c r="E975" s="189"/>
      <c r="F975" s="189"/>
      <c r="I975" s="179"/>
      <c r="J975" s="189"/>
      <c r="K975" s="189"/>
      <c r="M975" s="189"/>
      <c r="N975" s="189"/>
      <c r="Q975" s="179"/>
      <c r="S975" s="189"/>
      <c r="T975" s="189"/>
      <c r="V975" s="189"/>
      <c r="W975" s="189"/>
      <c r="Z975" s="179"/>
      <c r="AA975" s="189"/>
      <c r="AB975" s="189"/>
      <c r="AD975" s="189"/>
      <c r="AE975" s="189"/>
      <c r="AH975" s="179"/>
      <c r="AJ975" s="191"/>
      <c r="AK975" s="191"/>
      <c r="AM975" s="191"/>
      <c r="AN975" s="191"/>
      <c r="AQ975" s="179"/>
      <c r="AR975" s="192"/>
      <c r="AS975" s="192"/>
      <c r="AU975" s="192"/>
      <c r="AV975" s="192"/>
      <c r="AY975" s="179"/>
      <c r="BA975" s="192"/>
      <c r="BB975" s="192"/>
      <c r="BD975" s="192"/>
      <c r="BE975" s="192"/>
      <c r="BH975" s="179"/>
      <c r="BI975" s="192"/>
      <c r="BJ975" s="192"/>
      <c r="BL975" s="192"/>
      <c r="BM975" s="192"/>
      <c r="BP975" s="179"/>
    </row>
    <row r="976">
      <c r="B976" s="189"/>
      <c r="C976" s="189"/>
      <c r="E976" s="189"/>
      <c r="F976" s="189"/>
      <c r="I976" s="179"/>
      <c r="J976" s="189"/>
      <c r="K976" s="189"/>
      <c r="M976" s="189"/>
      <c r="N976" s="189"/>
      <c r="Q976" s="179"/>
      <c r="S976" s="189"/>
      <c r="T976" s="189"/>
      <c r="V976" s="189"/>
      <c r="W976" s="189"/>
      <c r="Z976" s="179"/>
      <c r="AA976" s="189"/>
      <c r="AB976" s="189"/>
      <c r="AD976" s="189"/>
      <c r="AE976" s="189"/>
      <c r="AH976" s="179"/>
      <c r="AJ976" s="191"/>
      <c r="AK976" s="191"/>
      <c r="AM976" s="191"/>
      <c r="AN976" s="191"/>
      <c r="AQ976" s="179"/>
      <c r="AR976" s="192"/>
      <c r="AS976" s="192"/>
      <c r="AU976" s="192"/>
      <c r="AV976" s="192"/>
      <c r="AY976" s="179"/>
      <c r="BA976" s="192"/>
      <c r="BB976" s="192"/>
      <c r="BD976" s="192"/>
      <c r="BE976" s="192"/>
      <c r="BH976" s="179"/>
      <c r="BI976" s="192"/>
      <c r="BJ976" s="192"/>
      <c r="BL976" s="192"/>
      <c r="BM976" s="192"/>
      <c r="BP976" s="179"/>
    </row>
    <row r="977">
      <c r="B977" s="189"/>
      <c r="C977" s="189"/>
      <c r="E977" s="189"/>
      <c r="F977" s="189"/>
      <c r="I977" s="179"/>
      <c r="J977" s="189"/>
      <c r="K977" s="189"/>
      <c r="M977" s="189"/>
      <c r="N977" s="189"/>
      <c r="Q977" s="179"/>
      <c r="S977" s="189"/>
      <c r="T977" s="189"/>
      <c r="V977" s="189"/>
      <c r="W977" s="189"/>
      <c r="Z977" s="179"/>
      <c r="AA977" s="189"/>
      <c r="AB977" s="189"/>
      <c r="AD977" s="189"/>
      <c r="AE977" s="189"/>
      <c r="AH977" s="179"/>
      <c r="AJ977" s="191"/>
      <c r="AK977" s="191"/>
      <c r="AM977" s="191"/>
      <c r="AN977" s="191"/>
      <c r="AQ977" s="179"/>
      <c r="AR977" s="192"/>
      <c r="AS977" s="192"/>
      <c r="AU977" s="192"/>
      <c r="AV977" s="192"/>
      <c r="AY977" s="179"/>
      <c r="BA977" s="192"/>
      <c r="BB977" s="192"/>
      <c r="BD977" s="192"/>
      <c r="BE977" s="192"/>
      <c r="BH977" s="179"/>
      <c r="BI977" s="192"/>
      <c r="BJ977" s="192"/>
      <c r="BL977" s="192"/>
      <c r="BM977" s="192"/>
      <c r="BP977" s="179"/>
    </row>
    <row r="978">
      <c r="B978" s="189"/>
      <c r="C978" s="189"/>
      <c r="E978" s="189"/>
      <c r="F978" s="189"/>
      <c r="I978" s="179"/>
      <c r="J978" s="189"/>
      <c r="K978" s="189"/>
      <c r="M978" s="189"/>
      <c r="N978" s="189"/>
      <c r="Q978" s="179"/>
      <c r="S978" s="189"/>
      <c r="T978" s="189"/>
      <c r="V978" s="189"/>
      <c r="W978" s="189"/>
      <c r="Z978" s="179"/>
      <c r="AA978" s="189"/>
      <c r="AB978" s="189"/>
      <c r="AD978" s="189"/>
      <c r="AE978" s="189"/>
      <c r="AH978" s="179"/>
      <c r="AJ978" s="191"/>
      <c r="AK978" s="191"/>
      <c r="AM978" s="191"/>
      <c r="AN978" s="191"/>
      <c r="AQ978" s="179"/>
      <c r="AR978" s="192"/>
      <c r="AS978" s="192"/>
      <c r="AU978" s="192"/>
      <c r="AV978" s="192"/>
      <c r="AY978" s="179"/>
      <c r="BA978" s="192"/>
      <c r="BB978" s="192"/>
      <c r="BD978" s="192"/>
      <c r="BE978" s="192"/>
      <c r="BH978" s="179"/>
      <c r="BI978" s="192"/>
      <c r="BJ978" s="192"/>
      <c r="BL978" s="192"/>
      <c r="BM978" s="192"/>
      <c r="BP978" s="179"/>
    </row>
    <row r="979">
      <c r="B979" s="189"/>
      <c r="C979" s="189"/>
      <c r="E979" s="189"/>
      <c r="F979" s="189"/>
      <c r="I979" s="179"/>
      <c r="J979" s="189"/>
      <c r="K979" s="189"/>
      <c r="M979" s="189"/>
      <c r="N979" s="189"/>
      <c r="Q979" s="179"/>
      <c r="S979" s="189"/>
      <c r="T979" s="189"/>
      <c r="V979" s="189"/>
      <c r="W979" s="189"/>
      <c r="Z979" s="179"/>
      <c r="AA979" s="189"/>
      <c r="AB979" s="189"/>
      <c r="AD979" s="189"/>
      <c r="AE979" s="189"/>
      <c r="AH979" s="179"/>
      <c r="AJ979" s="191"/>
      <c r="AK979" s="191"/>
      <c r="AM979" s="191"/>
      <c r="AN979" s="191"/>
      <c r="AQ979" s="179"/>
      <c r="AR979" s="192"/>
      <c r="AS979" s="192"/>
      <c r="AU979" s="192"/>
      <c r="AV979" s="192"/>
      <c r="AY979" s="179"/>
      <c r="BA979" s="192"/>
      <c r="BB979" s="192"/>
      <c r="BD979" s="192"/>
      <c r="BE979" s="192"/>
      <c r="BH979" s="179"/>
      <c r="BI979" s="192"/>
      <c r="BJ979" s="192"/>
      <c r="BL979" s="192"/>
      <c r="BM979" s="192"/>
      <c r="BP979" s="179"/>
    </row>
    <row r="980">
      <c r="B980" s="189"/>
      <c r="C980" s="189"/>
      <c r="E980" s="189"/>
      <c r="F980" s="189"/>
      <c r="I980" s="179"/>
      <c r="J980" s="189"/>
      <c r="K980" s="189"/>
      <c r="M980" s="189"/>
      <c r="N980" s="189"/>
      <c r="Q980" s="179"/>
      <c r="S980" s="189"/>
      <c r="T980" s="189"/>
      <c r="V980" s="189"/>
      <c r="W980" s="189"/>
      <c r="Z980" s="179"/>
      <c r="AA980" s="189"/>
      <c r="AB980" s="189"/>
      <c r="AD980" s="189"/>
      <c r="AE980" s="189"/>
      <c r="AH980" s="179"/>
      <c r="AJ980" s="191"/>
      <c r="AK980" s="191"/>
      <c r="AM980" s="191"/>
      <c r="AN980" s="191"/>
      <c r="AQ980" s="179"/>
      <c r="AR980" s="192"/>
      <c r="AS980" s="192"/>
      <c r="AU980" s="192"/>
      <c r="AV980" s="192"/>
      <c r="AY980" s="179"/>
      <c r="BA980" s="192"/>
      <c r="BB980" s="192"/>
      <c r="BD980" s="192"/>
      <c r="BE980" s="192"/>
      <c r="BH980" s="179"/>
      <c r="BI980" s="192"/>
      <c r="BJ980" s="192"/>
      <c r="BL980" s="192"/>
      <c r="BM980" s="192"/>
      <c r="BP980" s="179"/>
    </row>
    <row r="981">
      <c r="B981" s="189"/>
      <c r="C981" s="189"/>
      <c r="E981" s="189"/>
      <c r="F981" s="189"/>
      <c r="I981" s="179"/>
      <c r="J981" s="189"/>
      <c r="K981" s="189"/>
      <c r="M981" s="189"/>
      <c r="N981" s="189"/>
      <c r="Q981" s="179"/>
      <c r="S981" s="189"/>
      <c r="T981" s="189"/>
      <c r="V981" s="189"/>
      <c r="W981" s="189"/>
      <c r="Z981" s="179"/>
      <c r="AA981" s="189"/>
      <c r="AB981" s="189"/>
      <c r="AD981" s="189"/>
      <c r="AE981" s="189"/>
      <c r="AH981" s="179"/>
      <c r="AJ981" s="191"/>
      <c r="AK981" s="191"/>
      <c r="AM981" s="191"/>
      <c r="AN981" s="191"/>
      <c r="AQ981" s="179"/>
      <c r="AR981" s="192"/>
      <c r="AS981" s="192"/>
      <c r="AU981" s="192"/>
      <c r="AV981" s="192"/>
      <c r="AY981" s="179"/>
      <c r="BA981" s="192"/>
      <c r="BB981" s="192"/>
      <c r="BD981" s="192"/>
      <c r="BE981" s="192"/>
      <c r="BH981" s="179"/>
      <c r="BI981" s="192"/>
      <c r="BJ981" s="192"/>
      <c r="BL981" s="192"/>
      <c r="BM981" s="192"/>
      <c r="BP981" s="179"/>
    </row>
    <row r="982">
      <c r="B982" s="189"/>
      <c r="C982" s="189"/>
      <c r="E982" s="189"/>
      <c r="F982" s="189"/>
      <c r="I982" s="179"/>
      <c r="J982" s="189"/>
      <c r="K982" s="189"/>
      <c r="M982" s="189"/>
      <c r="N982" s="189"/>
      <c r="Q982" s="179"/>
      <c r="S982" s="189"/>
      <c r="T982" s="189"/>
      <c r="V982" s="189"/>
      <c r="W982" s="189"/>
      <c r="Z982" s="179"/>
      <c r="AA982" s="189"/>
      <c r="AB982" s="189"/>
      <c r="AD982" s="189"/>
      <c r="AE982" s="189"/>
      <c r="AH982" s="179"/>
      <c r="AJ982" s="191"/>
      <c r="AK982" s="191"/>
      <c r="AM982" s="191"/>
      <c r="AN982" s="191"/>
      <c r="AQ982" s="179"/>
      <c r="AR982" s="192"/>
      <c r="AS982" s="192"/>
      <c r="AU982" s="192"/>
      <c r="AV982" s="192"/>
      <c r="AY982" s="179"/>
      <c r="BA982" s="192"/>
      <c r="BB982" s="192"/>
      <c r="BD982" s="192"/>
      <c r="BE982" s="192"/>
      <c r="BH982" s="179"/>
      <c r="BI982" s="192"/>
      <c r="BJ982" s="192"/>
      <c r="BL982" s="192"/>
      <c r="BM982" s="192"/>
      <c r="BP982" s="179"/>
    </row>
    <row r="983">
      <c r="B983" s="189"/>
      <c r="C983" s="189"/>
      <c r="E983" s="189"/>
      <c r="F983" s="189"/>
      <c r="I983" s="179"/>
      <c r="J983" s="189"/>
      <c r="K983" s="189"/>
      <c r="M983" s="189"/>
      <c r="N983" s="189"/>
      <c r="Q983" s="179"/>
      <c r="S983" s="189"/>
      <c r="T983" s="189"/>
      <c r="V983" s="189"/>
      <c r="W983" s="189"/>
      <c r="Z983" s="179"/>
      <c r="AA983" s="189"/>
      <c r="AB983" s="189"/>
      <c r="AD983" s="189"/>
      <c r="AE983" s="189"/>
      <c r="AH983" s="179"/>
      <c r="AJ983" s="191"/>
      <c r="AK983" s="191"/>
      <c r="AM983" s="191"/>
      <c r="AN983" s="191"/>
      <c r="AQ983" s="179"/>
      <c r="AR983" s="192"/>
      <c r="AS983" s="192"/>
      <c r="AU983" s="192"/>
      <c r="AV983" s="192"/>
      <c r="AY983" s="179"/>
      <c r="BA983" s="192"/>
      <c r="BB983" s="192"/>
      <c r="BD983" s="192"/>
      <c r="BE983" s="192"/>
      <c r="BH983" s="179"/>
      <c r="BI983" s="192"/>
      <c r="BJ983" s="192"/>
      <c r="BL983" s="192"/>
      <c r="BM983" s="192"/>
      <c r="BP983" s="179"/>
    </row>
    <row r="984">
      <c r="B984" s="189"/>
      <c r="C984" s="189"/>
      <c r="E984" s="189"/>
      <c r="F984" s="189"/>
      <c r="I984" s="179"/>
      <c r="J984" s="189"/>
      <c r="K984" s="189"/>
      <c r="M984" s="189"/>
      <c r="N984" s="189"/>
      <c r="Q984" s="179"/>
      <c r="S984" s="189"/>
      <c r="T984" s="189"/>
      <c r="V984" s="189"/>
      <c r="W984" s="189"/>
      <c r="Z984" s="179"/>
      <c r="AA984" s="189"/>
      <c r="AB984" s="189"/>
      <c r="AD984" s="189"/>
      <c r="AE984" s="189"/>
      <c r="AH984" s="179"/>
      <c r="AJ984" s="191"/>
      <c r="AK984" s="191"/>
      <c r="AM984" s="191"/>
      <c r="AN984" s="191"/>
      <c r="AQ984" s="179"/>
      <c r="AR984" s="192"/>
      <c r="AS984" s="192"/>
      <c r="AU984" s="192"/>
      <c r="AV984" s="192"/>
      <c r="AY984" s="179"/>
      <c r="BA984" s="192"/>
      <c r="BB984" s="192"/>
      <c r="BD984" s="192"/>
      <c r="BE984" s="192"/>
      <c r="BH984" s="179"/>
      <c r="BI984" s="192"/>
      <c r="BJ984" s="192"/>
      <c r="BL984" s="192"/>
      <c r="BM984" s="192"/>
      <c r="BP984" s="179"/>
    </row>
    <row r="985">
      <c r="B985" s="189"/>
      <c r="C985" s="189"/>
      <c r="E985" s="189"/>
      <c r="F985" s="189"/>
      <c r="I985" s="179"/>
      <c r="J985" s="189"/>
      <c r="K985" s="189"/>
      <c r="M985" s="189"/>
      <c r="N985" s="189"/>
      <c r="Q985" s="179"/>
      <c r="S985" s="189"/>
      <c r="T985" s="189"/>
      <c r="V985" s="189"/>
      <c r="W985" s="189"/>
      <c r="Z985" s="179"/>
      <c r="AA985" s="189"/>
      <c r="AB985" s="189"/>
      <c r="AD985" s="189"/>
      <c r="AE985" s="189"/>
      <c r="AH985" s="179"/>
      <c r="AJ985" s="191"/>
      <c r="AK985" s="191"/>
      <c r="AM985" s="191"/>
      <c r="AN985" s="191"/>
      <c r="AQ985" s="179"/>
      <c r="AR985" s="192"/>
      <c r="AS985" s="192"/>
      <c r="AU985" s="192"/>
      <c r="AV985" s="192"/>
      <c r="AY985" s="179"/>
      <c r="BA985" s="192"/>
      <c r="BB985" s="192"/>
      <c r="BD985" s="192"/>
      <c r="BE985" s="192"/>
      <c r="BH985" s="179"/>
      <c r="BI985" s="192"/>
      <c r="BJ985" s="192"/>
      <c r="BL985" s="192"/>
      <c r="BM985" s="192"/>
      <c r="BP985" s="179"/>
    </row>
    <row r="986">
      <c r="B986" s="189"/>
      <c r="C986" s="189"/>
      <c r="E986" s="189"/>
      <c r="F986" s="189"/>
      <c r="I986" s="179"/>
      <c r="J986" s="189"/>
      <c r="K986" s="189"/>
      <c r="M986" s="189"/>
      <c r="N986" s="189"/>
      <c r="Q986" s="179"/>
      <c r="S986" s="189"/>
      <c r="T986" s="189"/>
      <c r="V986" s="189"/>
      <c r="W986" s="189"/>
      <c r="Z986" s="179"/>
      <c r="AA986" s="189"/>
      <c r="AB986" s="189"/>
      <c r="AD986" s="189"/>
      <c r="AE986" s="189"/>
      <c r="AH986" s="179"/>
      <c r="AJ986" s="191"/>
      <c r="AK986" s="191"/>
      <c r="AM986" s="191"/>
      <c r="AN986" s="191"/>
      <c r="AQ986" s="179"/>
      <c r="AR986" s="192"/>
      <c r="AS986" s="192"/>
      <c r="AU986" s="192"/>
      <c r="AV986" s="192"/>
      <c r="AY986" s="179"/>
      <c r="BA986" s="192"/>
      <c r="BB986" s="192"/>
      <c r="BD986" s="192"/>
      <c r="BE986" s="192"/>
      <c r="BH986" s="179"/>
      <c r="BI986" s="192"/>
      <c r="BJ986" s="192"/>
      <c r="BL986" s="192"/>
      <c r="BM986" s="192"/>
      <c r="BP986" s="179"/>
    </row>
    <row r="987">
      <c r="B987" s="189"/>
      <c r="C987" s="189"/>
      <c r="E987" s="189"/>
      <c r="F987" s="189"/>
      <c r="I987" s="179"/>
      <c r="J987" s="189"/>
      <c r="K987" s="189"/>
      <c r="M987" s="189"/>
      <c r="N987" s="189"/>
      <c r="Q987" s="179"/>
      <c r="S987" s="189"/>
      <c r="T987" s="189"/>
      <c r="V987" s="189"/>
      <c r="W987" s="189"/>
      <c r="Z987" s="179"/>
      <c r="AA987" s="189"/>
      <c r="AB987" s="189"/>
      <c r="AD987" s="189"/>
      <c r="AE987" s="189"/>
      <c r="AH987" s="179"/>
      <c r="AJ987" s="191"/>
      <c r="AK987" s="191"/>
      <c r="AM987" s="191"/>
      <c r="AN987" s="191"/>
      <c r="AQ987" s="179"/>
      <c r="AR987" s="192"/>
      <c r="AS987" s="192"/>
      <c r="AU987" s="192"/>
      <c r="AV987" s="192"/>
      <c r="AY987" s="179"/>
      <c r="BA987" s="192"/>
      <c r="BB987" s="192"/>
      <c r="BD987" s="192"/>
      <c r="BE987" s="192"/>
      <c r="BH987" s="179"/>
      <c r="BI987" s="192"/>
      <c r="BJ987" s="192"/>
      <c r="BL987" s="192"/>
      <c r="BM987" s="192"/>
      <c r="BP987" s="179"/>
    </row>
    <row r="988">
      <c r="B988" s="189"/>
      <c r="C988" s="189"/>
      <c r="E988" s="189"/>
      <c r="F988" s="189"/>
      <c r="I988" s="179"/>
      <c r="J988" s="189"/>
      <c r="K988" s="189"/>
      <c r="M988" s="189"/>
      <c r="N988" s="189"/>
      <c r="Q988" s="179"/>
      <c r="S988" s="189"/>
      <c r="T988" s="189"/>
      <c r="V988" s="189"/>
      <c r="W988" s="189"/>
      <c r="Z988" s="179"/>
      <c r="AA988" s="189"/>
      <c r="AB988" s="189"/>
      <c r="AD988" s="189"/>
      <c r="AE988" s="189"/>
      <c r="AH988" s="179"/>
      <c r="AJ988" s="191"/>
      <c r="AK988" s="191"/>
      <c r="AM988" s="191"/>
      <c r="AN988" s="191"/>
      <c r="AQ988" s="179"/>
      <c r="AR988" s="192"/>
      <c r="AS988" s="192"/>
      <c r="AU988" s="192"/>
      <c r="AV988" s="192"/>
      <c r="AY988" s="179"/>
      <c r="BA988" s="192"/>
      <c r="BB988" s="192"/>
      <c r="BD988" s="192"/>
      <c r="BE988" s="192"/>
      <c r="BH988" s="179"/>
      <c r="BI988" s="192"/>
      <c r="BJ988" s="192"/>
      <c r="BL988" s="192"/>
      <c r="BM988" s="192"/>
      <c r="BP988" s="179"/>
    </row>
    <row r="989">
      <c r="B989" s="189"/>
      <c r="C989" s="189"/>
      <c r="E989" s="189"/>
      <c r="F989" s="189"/>
      <c r="I989" s="179"/>
      <c r="J989" s="189"/>
      <c r="K989" s="189"/>
      <c r="M989" s="189"/>
      <c r="N989" s="189"/>
      <c r="Q989" s="179"/>
      <c r="S989" s="189"/>
      <c r="T989" s="189"/>
      <c r="V989" s="189"/>
      <c r="W989" s="189"/>
      <c r="Z989" s="179"/>
      <c r="AA989" s="189"/>
      <c r="AB989" s="189"/>
      <c r="AD989" s="189"/>
      <c r="AE989" s="189"/>
      <c r="AH989" s="179"/>
      <c r="AJ989" s="191"/>
      <c r="AK989" s="191"/>
      <c r="AM989" s="191"/>
      <c r="AN989" s="191"/>
      <c r="AQ989" s="179"/>
      <c r="AR989" s="192"/>
      <c r="AS989" s="192"/>
      <c r="AU989" s="192"/>
      <c r="AV989" s="192"/>
      <c r="AY989" s="179"/>
      <c r="BA989" s="192"/>
      <c r="BB989" s="192"/>
      <c r="BD989" s="192"/>
      <c r="BE989" s="192"/>
      <c r="BH989" s="179"/>
      <c r="BI989" s="192"/>
      <c r="BJ989" s="192"/>
      <c r="BL989" s="192"/>
      <c r="BM989" s="192"/>
      <c r="BP989" s="179"/>
    </row>
    <row r="990">
      <c r="B990" s="189"/>
      <c r="C990" s="189"/>
      <c r="E990" s="189"/>
      <c r="F990" s="189"/>
      <c r="I990" s="179"/>
      <c r="J990" s="189"/>
      <c r="K990" s="189"/>
      <c r="M990" s="189"/>
      <c r="N990" s="189"/>
      <c r="Q990" s="179"/>
      <c r="S990" s="189"/>
      <c r="T990" s="189"/>
      <c r="V990" s="189"/>
      <c r="W990" s="189"/>
      <c r="Z990" s="179"/>
      <c r="AA990" s="189"/>
      <c r="AB990" s="189"/>
      <c r="AD990" s="189"/>
      <c r="AE990" s="189"/>
      <c r="AH990" s="179"/>
      <c r="AJ990" s="191"/>
      <c r="AK990" s="191"/>
      <c r="AM990" s="191"/>
      <c r="AN990" s="191"/>
      <c r="AQ990" s="179"/>
      <c r="AR990" s="192"/>
      <c r="AS990" s="192"/>
      <c r="AU990" s="192"/>
      <c r="AV990" s="192"/>
      <c r="AY990" s="179"/>
      <c r="BA990" s="192"/>
      <c r="BB990" s="192"/>
      <c r="BD990" s="192"/>
      <c r="BE990" s="192"/>
      <c r="BH990" s="179"/>
      <c r="BI990" s="192"/>
      <c r="BJ990" s="192"/>
      <c r="BL990" s="192"/>
      <c r="BM990" s="192"/>
      <c r="BP990" s="179"/>
    </row>
    <row r="991">
      <c r="B991" s="189"/>
      <c r="C991" s="189"/>
      <c r="E991" s="189"/>
      <c r="F991" s="189"/>
      <c r="I991" s="179"/>
      <c r="J991" s="189"/>
      <c r="K991" s="189"/>
      <c r="M991" s="189"/>
      <c r="N991" s="189"/>
      <c r="Q991" s="179"/>
      <c r="S991" s="189"/>
      <c r="T991" s="189"/>
      <c r="V991" s="189"/>
      <c r="W991" s="189"/>
      <c r="Z991" s="179"/>
      <c r="AA991" s="189"/>
      <c r="AB991" s="189"/>
      <c r="AD991" s="189"/>
      <c r="AE991" s="189"/>
      <c r="AH991" s="179"/>
      <c r="AJ991" s="191"/>
      <c r="AK991" s="191"/>
      <c r="AM991" s="191"/>
      <c r="AN991" s="191"/>
      <c r="AQ991" s="179"/>
      <c r="AR991" s="192"/>
      <c r="AS991" s="192"/>
      <c r="AU991" s="192"/>
      <c r="AV991" s="192"/>
      <c r="AY991" s="179"/>
      <c r="BA991" s="192"/>
      <c r="BB991" s="192"/>
      <c r="BD991" s="192"/>
      <c r="BE991" s="192"/>
      <c r="BH991" s="179"/>
      <c r="BI991" s="192"/>
      <c r="BJ991" s="192"/>
      <c r="BL991" s="192"/>
      <c r="BM991" s="192"/>
      <c r="BP991" s="179"/>
    </row>
    <row r="992">
      <c r="B992" s="189"/>
      <c r="C992" s="189"/>
      <c r="E992" s="189"/>
      <c r="F992" s="189"/>
      <c r="I992" s="179"/>
      <c r="J992" s="189"/>
      <c r="K992" s="189"/>
      <c r="M992" s="189"/>
      <c r="N992" s="189"/>
      <c r="Q992" s="179"/>
      <c r="S992" s="189"/>
      <c r="T992" s="189"/>
      <c r="V992" s="189"/>
      <c r="W992" s="189"/>
      <c r="Z992" s="179"/>
      <c r="AA992" s="189"/>
      <c r="AB992" s="189"/>
      <c r="AD992" s="189"/>
      <c r="AE992" s="189"/>
      <c r="AH992" s="179"/>
      <c r="AJ992" s="191"/>
      <c r="AK992" s="191"/>
      <c r="AM992" s="191"/>
      <c r="AN992" s="191"/>
      <c r="AQ992" s="179"/>
      <c r="AR992" s="192"/>
      <c r="AS992" s="192"/>
      <c r="AU992" s="192"/>
      <c r="AV992" s="192"/>
      <c r="AY992" s="179"/>
      <c r="BA992" s="192"/>
      <c r="BB992" s="192"/>
      <c r="BD992" s="192"/>
      <c r="BE992" s="192"/>
      <c r="BH992" s="179"/>
      <c r="BI992" s="192"/>
      <c r="BJ992" s="192"/>
      <c r="BL992" s="192"/>
      <c r="BM992" s="192"/>
      <c r="BP992" s="179"/>
    </row>
    <row r="993">
      <c r="B993" s="189"/>
      <c r="C993" s="189"/>
      <c r="E993" s="189"/>
      <c r="F993" s="189"/>
      <c r="I993" s="179"/>
      <c r="J993" s="189"/>
      <c r="K993" s="189"/>
      <c r="M993" s="189"/>
      <c r="N993" s="189"/>
      <c r="Q993" s="179"/>
      <c r="S993" s="189"/>
      <c r="T993" s="189"/>
      <c r="V993" s="189"/>
      <c r="W993" s="189"/>
      <c r="Z993" s="179"/>
      <c r="AA993" s="189"/>
      <c r="AB993" s="189"/>
      <c r="AD993" s="189"/>
      <c r="AE993" s="189"/>
      <c r="AH993" s="179"/>
      <c r="AJ993" s="191"/>
      <c r="AK993" s="191"/>
      <c r="AM993" s="191"/>
      <c r="AN993" s="191"/>
      <c r="AQ993" s="179"/>
      <c r="AR993" s="192"/>
      <c r="AS993" s="192"/>
      <c r="AU993" s="192"/>
      <c r="AV993" s="192"/>
      <c r="AY993" s="179"/>
      <c r="BA993" s="192"/>
      <c r="BB993" s="192"/>
      <c r="BD993" s="192"/>
      <c r="BE993" s="192"/>
      <c r="BH993" s="179"/>
      <c r="BI993" s="192"/>
      <c r="BJ993" s="192"/>
      <c r="BL993" s="192"/>
      <c r="BM993" s="192"/>
      <c r="BP993" s="179"/>
    </row>
    <row r="994">
      <c r="B994" s="189"/>
      <c r="C994" s="189"/>
      <c r="E994" s="189"/>
      <c r="F994" s="189"/>
      <c r="I994" s="179"/>
      <c r="J994" s="189"/>
      <c r="K994" s="189"/>
      <c r="M994" s="189"/>
      <c r="N994" s="189"/>
      <c r="Q994" s="179"/>
      <c r="S994" s="189"/>
      <c r="T994" s="189"/>
      <c r="V994" s="189"/>
      <c r="W994" s="189"/>
      <c r="Z994" s="179"/>
      <c r="AA994" s="189"/>
      <c r="AB994" s="189"/>
      <c r="AD994" s="189"/>
      <c r="AE994" s="189"/>
      <c r="AH994" s="179"/>
      <c r="AJ994" s="191"/>
      <c r="AK994" s="191"/>
      <c r="AM994" s="191"/>
      <c r="AN994" s="191"/>
      <c r="AQ994" s="179"/>
      <c r="AR994" s="192"/>
      <c r="AS994" s="192"/>
      <c r="AU994" s="192"/>
      <c r="AV994" s="192"/>
      <c r="AY994" s="179"/>
      <c r="BA994" s="192"/>
      <c r="BB994" s="192"/>
      <c r="BD994" s="192"/>
      <c r="BE994" s="192"/>
      <c r="BH994" s="179"/>
      <c r="BI994" s="192"/>
      <c r="BJ994" s="192"/>
      <c r="BL994" s="192"/>
      <c r="BM994" s="192"/>
      <c r="BP994" s="179"/>
    </row>
    <row r="995">
      <c r="B995" s="189"/>
      <c r="C995" s="189"/>
      <c r="E995" s="189"/>
      <c r="F995" s="189"/>
      <c r="I995" s="179"/>
      <c r="J995" s="189"/>
      <c r="K995" s="189"/>
      <c r="M995" s="189"/>
      <c r="N995" s="189"/>
      <c r="Q995" s="179"/>
      <c r="S995" s="189"/>
      <c r="T995" s="189"/>
      <c r="V995" s="189"/>
      <c r="W995" s="189"/>
      <c r="Z995" s="179"/>
      <c r="AA995" s="189"/>
      <c r="AB995" s="189"/>
      <c r="AD995" s="189"/>
      <c r="AE995" s="189"/>
      <c r="AH995" s="179"/>
      <c r="AJ995" s="191"/>
      <c r="AK995" s="191"/>
      <c r="AM995" s="191"/>
      <c r="AN995" s="191"/>
      <c r="AQ995" s="179"/>
      <c r="AR995" s="192"/>
      <c r="AS995" s="192"/>
      <c r="AU995" s="192"/>
      <c r="AV995" s="192"/>
      <c r="AY995" s="179"/>
      <c r="BA995" s="192"/>
      <c r="BB995" s="192"/>
      <c r="BD995" s="192"/>
      <c r="BE995" s="192"/>
      <c r="BH995" s="179"/>
      <c r="BI995" s="192"/>
      <c r="BJ995" s="192"/>
      <c r="BL995" s="192"/>
      <c r="BM995" s="192"/>
      <c r="BP995" s="179"/>
    </row>
    <row r="996">
      <c r="B996" s="189"/>
      <c r="C996" s="189"/>
      <c r="E996" s="189"/>
      <c r="F996" s="189"/>
      <c r="I996" s="179"/>
      <c r="J996" s="189"/>
      <c r="K996" s="189"/>
      <c r="M996" s="189"/>
      <c r="N996" s="189"/>
      <c r="Q996" s="179"/>
      <c r="S996" s="189"/>
      <c r="T996" s="189"/>
      <c r="V996" s="189"/>
      <c r="W996" s="189"/>
      <c r="Z996" s="179"/>
      <c r="AA996" s="189"/>
      <c r="AB996" s="189"/>
      <c r="AD996" s="189"/>
      <c r="AE996" s="189"/>
      <c r="AH996" s="179"/>
      <c r="AJ996" s="191"/>
      <c r="AK996" s="191"/>
      <c r="AM996" s="191"/>
      <c r="AN996" s="191"/>
      <c r="AQ996" s="179"/>
      <c r="AR996" s="192"/>
      <c r="AS996" s="192"/>
      <c r="AU996" s="192"/>
      <c r="AV996" s="192"/>
      <c r="AY996" s="179"/>
      <c r="BA996" s="192"/>
      <c r="BB996" s="192"/>
      <c r="BD996" s="192"/>
      <c r="BE996" s="192"/>
      <c r="BH996" s="179"/>
      <c r="BI996" s="192"/>
      <c r="BJ996" s="192"/>
      <c r="BL996" s="192"/>
      <c r="BM996" s="192"/>
      <c r="BP996" s="179"/>
    </row>
    <row r="997">
      <c r="B997" s="189"/>
      <c r="C997" s="189"/>
      <c r="E997" s="189"/>
      <c r="F997" s="189"/>
      <c r="I997" s="179"/>
      <c r="J997" s="189"/>
      <c r="K997" s="189"/>
      <c r="M997" s="189"/>
      <c r="N997" s="189"/>
      <c r="Q997" s="179"/>
      <c r="S997" s="189"/>
      <c r="T997" s="189"/>
      <c r="V997" s="189"/>
      <c r="W997" s="189"/>
      <c r="Z997" s="179"/>
      <c r="AA997" s="189"/>
      <c r="AB997" s="189"/>
      <c r="AD997" s="189"/>
      <c r="AE997" s="189"/>
      <c r="AH997" s="179"/>
      <c r="AJ997" s="191"/>
      <c r="AK997" s="191"/>
      <c r="AM997" s="191"/>
      <c r="AN997" s="191"/>
      <c r="AQ997" s="179"/>
      <c r="AR997" s="192"/>
      <c r="AS997" s="192"/>
      <c r="AU997" s="192"/>
      <c r="AV997" s="192"/>
      <c r="AY997" s="179"/>
      <c r="BA997" s="192"/>
      <c r="BB997" s="192"/>
      <c r="BD997" s="192"/>
      <c r="BE997" s="192"/>
      <c r="BH997" s="179"/>
      <c r="BI997" s="192"/>
      <c r="BJ997" s="192"/>
      <c r="BL997" s="192"/>
      <c r="BM997" s="192"/>
      <c r="BP997" s="179"/>
    </row>
    <row r="998">
      <c r="B998" s="189"/>
      <c r="C998" s="189"/>
      <c r="E998" s="189"/>
      <c r="F998" s="189"/>
      <c r="I998" s="179"/>
      <c r="J998" s="189"/>
      <c r="K998" s="189"/>
      <c r="M998" s="189"/>
      <c r="N998" s="189"/>
      <c r="Q998" s="179"/>
      <c r="S998" s="189"/>
      <c r="T998" s="189"/>
      <c r="V998" s="189"/>
      <c r="W998" s="189"/>
      <c r="Z998" s="179"/>
      <c r="AA998" s="189"/>
      <c r="AB998" s="189"/>
      <c r="AD998" s="189"/>
      <c r="AE998" s="189"/>
      <c r="AH998" s="179"/>
      <c r="AJ998" s="191"/>
      <c r="AK998" s="191"/>
      <c r="AM998" s="191"/>
      <c r="AN998" s="191"/>
      <c r="AQ998" s="179"/>
      <c r="AR998" s="192"/>
      <c r="AS998" s="192"/>
      <c r="AU998" s="192"/>
      <c r="AV998" s="192"/>
      <c r="AY998" s="179"/>
      <c r="BA998" s="192"/>
      <c r="BB998" s="192"/>
      <c r="BD998" s="192"/>
      <c r="BE998" s="192"/>
      <c r="BH998" s="179"/>
      <c r="BI998" s="192"/>
      <c r="BJ998" s="192"/>
      <c r="BL998" s="192"/>
      <c r="BM998" s="192"/>
      <c r="BP998" s="179"/>
    </row>
    <row r="999">
      <c r="B999" s="189"/>
      <c r="C999" s="189"/>
      <c r="E999" s="189"/>
      <c r="F999" s="189"/>
      <c r="I999" s="179"/>
      <c r="J999" s="189"/>
      <c r="K999" s="189"/>
      <c r="M999" s="189"/>
      <c r="N999" s="189"/>
      <c r="Q999" s="179"/>
      <c r="S999" s="189"/>
      <c r="T999" s="189"/>
      <c r="V999" s="189"/>
      <c r="W999" s="189"/>
      <c r="Z999" s="179"/>
      <c r="AA999" s="189"/>
      <c r="AB999" s="189"/>
      <c r="AD999" s="189"/>
      <c r="AE999" s="189"/>
      <c r="AH999" s="179"/>
      <c r="AJ999" s="191"/>
      <c r="AK999" s="191"/>
      <c r="AM999" s="191"/>
      <c r="AN999" s="191"/>
      <c r="AQ999" s="179"/>
      <c r="AR999" s="192"/>
      <c r="AS999" s="192"/>
      <c r="AU999" s="192"/>
      <c r="AV999" s="192"/>
      <c r="AY999" s="179"/>
      <c r="BA999" s="192"/>
      <c r="BB999" s="192"/>
      <c r="BD999" s="192"/>
      <c r="BE999" s="192"/>
      <c r="BH999" s="179"/>
      <c r="BI999" s="192"/>
      <c r="BJ999" s="192"/>
      <c r="BL999" s="192"/>
      <c r="BM999" s="192"/>
      <c r="BP999" s="179"/>
    </row>
    <row r="1000">
      <c r="B1000" s="189"/>
      <c r="C1000" s="189"/>
      <c r="E1000" s="189"/>
      <c r="F1000" s="189"/>
      <c r="I1000" s="179"/>
      <c r="J1000" s="189"/>
      <c r="K1000" s="189"/>
      <c r="M1000" s="189"/>
      <c r="N1000" s="189"/>
      <c r="Q1000" s="179"/>
      <c r="S1000" s="189"/>
      <c r="T1000" s="189"/>
      <c r="V1000" s="189"/>
      <c r="W1000" s="189"/>
      <c r="Z1000" s="179"/>
      <c r="AA1000" s="189"/>
      <c r="AB1000" s="189"/>
      <c r="AD1000" s="189"/>
      <c r="AE1000" s="189"/>
      <c r="AH1000" s="179"/>
      <c r="AJ1000" s="191"/>
      <c r="AK1000" s="191"/>
      <c r="AM1000" s="191"/>
      <c r="AN1000" s="191"/>
      <c r="AQ1000" s="179"/>
      <c r="AR1000" s="192"/>
      <c r="AS1000" s="192"/>
      <c r="AU1000" s="192"/>
      <c r="AV1000" s="192"/>
      <c r="AY1000" s="179"/>
      <c r="BA1000" s="192"/>
      <c r="BB1000" s="192"/>
      <c r="BD1000" s="192"/>
      <c r="BE1000" s="192"/>
      <c r="BH1000" s="179"/>
      <c r="BI1000" s="192"/>
      <c r="BJ1000" s="192"/>
      <c r="BL1000" s="192"/>
      <c r="BM1000" s="192"/>
      <c r="BP1000" s="17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 ht="43.5" customHeight="1">
      <c r="A4" s="4" t="s">
        <v>60</v>
      </c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41</v>
      </c>
      <c r="W5" s="4">
        <v>0.1</v>
      </c>
      <c r="X5" s="4" t="s">
        <v>2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9.5395E-10</v>
      </c>
      <c r="L6" s="11">
        <v>1.1159773992136E-11</v>
      </c>
      <c r="M6" s="10">
        <f t="shared" ref="M6:M66" si="1">K6*1000000</f>
        <v>0.00095395</v>
      </c>
      <c r="N6" s="10">
        <v>3.388E-6</v>
      </c>
      <c r="O6" s="10">
        <v>9.54702E-4</v>
      </c>
      <c r="P6" s="10">
        <v>3.587E-6</v>
      </c>
      <c r="Q6" s="12">
        <f t="shared" ref="Q6:Q66" si="2">(O6-M6)/M6</f>
        <v>0.0007883012737</v>
      </c>
      <c r="R6" s="13">
        <f t="shared" ref="R6:R66" si="3">(O6-M6)/sqrt(N6*N6+P6*P6)</f>
        <v>0.1524094666</v>
      </c>
      <c r="S6" s="8"/>
      <c r="T6" s="14">
        <f t="shared" ref="T6:T47" si="4">K6/$K$14</f>
        <v>0.001716447451</v>
      </c>
      <c r="U6" s="14">
        <f t="shared" ref="U6:U12" si="5">K6/$K$7</f>
        <v>0.02738009816</v>
      </c>
      <c r="V6" s="10">
        <f t="shared" ref="V6:V66" si="6">M6/O6</f>
        <v>0.9992123197</v>
      </c>
      <c r="W6" s="15">
        <f t="shared" ref="W6:W66" si="7">IF(abs(1/V6-1)&lt;$W$5, 1, 0)</f>
        <v>1</v>
      </c>
      <c r="X6" s="8">
        <f t="shared" ref="X6:X66" si="8">B6</f>
        <v>1</v>
      </c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3.4841E-8</v>
      </c>
      <c r="L7" s="11">
        <v>2.99905540684618E-10</v>
      </c>
      <c r="M7" s="10">
        <f t="shared" si="1"/>
        <v>0.034841</v>
      </c>
      <c r="N7" s="10">
        <v>1.23317E-4</v>
      </c>
      <c r="O7" s="10">
        <v>0.03474186</v>
      </c>
      <c r="P7" s="10">
        <v>1.22655E-4</v>
      </c>
      <c r="Q7" s="12">
        <f t="shared" si="2"/>
        <v>-0.00284549812</v>
      </c>
      <c r="R7" s="13">
        <f t="shared" si="3"/>
        <v>-0.5700023775</v>
      </c>
      <c r="S7" s="8"/>
      <c r="T7" s="14">
        <f t="shared" si="4"/>
        <v>0.06268960181</v>
      </c>
      <c r="U7" s="14">
        <f t="shared" si="5"/>
        <v>1</v>
      </c>
      <c r="V7" s="10">
        <f t="shared" si="6"/>
        <v>1.002853618</v>
      </c>
      <c r="W7" s="8">
        <f t="shared" si="7"/>
        <v>1</v>
      </c>
      <c r="X7" s="8">
        <f t="shared" si="8"/>
        <v>2</v>
      </c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/>
      <c r="L8" s="11"/>
      <c r="M8" s="10">
        <f t="shared" si="1"/>
        <v>0</v>
      </c>
      <c r="N8" s="10"/>
      <c r="O8" s="10"/>
      <c r="P8" s="10"/>
      <c r="Q8" s="12" t="str">
        <f t="shared" si="2"/>
        <v>#DIV/0!</v>
      </c>
      <c r="R8" s="13" t="str">
        <f t="shared" si="3"/>
        <v>#DIV/0!</v>
      </c>
      <c r="S8" s="8"/>
      <c r="T8" s="14">
        <f t="shared" si="4"/>
        <v>0</v>
      </c>
      <c r="U8" s="14">
        <f t="shared" si="5"/>
        <v>0</v>
      </c>
      <c r="V8" s="8" t="str">
        <f t="shared" si="6"/>
        <v>#DIV/0!</v>
      </c>
      <c r="W8" s="8" t="str">
        <f t="shared" si="7"/>
        <v>#DIV/0!</v>
      </c>
      <c r="X8" s="8">
        <f t="shared" si="8"/>
        <v>3</v>
      </c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/>
      <c r="L9" s="11"/>
      <c r="M9" s="10">
        <f t="shared" si="1"/>
        <v>0</v>
      </c>
      <c r="N9" s="10"/>
      <c r="O9" s="10"/>
      <c r="P9" s="10"/>
      <c r="Q9" s="12" t="str">
        <f t="shared" si="2"/>
        <v>#DIV/0!</v>
      </c>
      <c r="R9" s="13" t="str">
        <f t="shared" si="3"/>
        <v>#DIV/0!</v>
      </c>
      <c r="S9" s="8"/>
      <c r="T9" s="14">
        <f t="shared" si="4"/>
        <v>0</v>
      </c>
      <c r="U9" s="14">
        <f t="shared" si="5"/>
        <v>0</v>
      </c>
      <c r="V9" s="8" t="str">
        <f t="shared" si="6"/>
        <v>#DIV/0!</v>
      </c>
      <c r="W9" s="8" t="str">
        <f t="shared" si="7"/>
        <v>#DIV/0!</v>
      </c>
      <c r="X9" s="88">
        <f t="shared" si="8"/>
        <v>4</v>
      </c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/>
      <c r="L10" s="11"/>
      <c r="M10" s="10">
        <f t="shared" si="1"/>
        <v>0</v>
      </c>
      <c r="N10" s="10"/>
      <c r="O10" s="10"/>
      <c r="P10" s="10"/>
      <c r="Q10" s="12" t="str">
        <f t="shared" si="2"/>
        <v>#DIV/0!</v>
      </c>
      <c r="R10" s="13" t="str">
        <f t="shared" si="3"/>
        <v>#DIV/0!</v>
      </c>
      <c r="S10" s="8"/>
      <c r="T10" s="14">
        <f t="shared" si="4"/>
        <v>0</v>
      </c>
      <c r="U10" s="14">
        <f t="shared" si="5"/>
        <v>0</v>
      </c>
      <c r="V10" s="8" t="str">
        <f t="shared" si="6"/>
        <v>#DIV/0!</v>
      </c>
      <c r="W10" s="8" t="str">
        <f t="shared" si="7"/>
        <v>#DIV/0!</v>
      </c>
      <c r="X10" s="88">
        <f t="shared" si="8"/>
        <v>5</v>
      </c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/>
      <c r="L11" s="11"/>
      <c r="M11" s="10">
        <f t="shared" si="1"/>
        <v>0</v>
      </c>
      <c r="N11" s="10"/>
      <c r="O11" s="10"/>
      <c r="P11" s="10"/>
      <c r="Q11" s="12" t="str">
        <f t="shared" si="2"/>
        <v>#DIV/0!</v>
      </c>
      <c r="R11" s="13" t="str">
        <f t="shared" si="3"/>
        <v>#DIV/0!</v>
      </c>
      <c r="S11" s="8"/>
      <c r="T11" s="14">
        <f t="shared" si="4"/>
        <v>0</v>
      </c>
      <c r="U11" s="14">
        <f t="shared" si="5"/>
        <v>0</v>
      </c>
      <c r="V11" s="8" t="str">
        <f t="shared" si="6"/>
        <v>#DIV/0!</v>
      </c>
      <c r="W11" s="8" t="str">
        <f t="shared" si="7"/>
        <v>#DIV/0!</v>
      </c>
      <c r="X11" s="88">
        <f t="shared" si="8"/>
        <v>6</v>
      </c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/>
      <c r="L12" s="11"/>
      <c r="M12" s="10">
        <f t="shared" si="1"/>
        <v>0</v>
      </c>
      <c r="N12" s="10"/>
      <c r="O12" s="10"/>
      <c r="P12" s="10"/>
      <c r="Q12" s="12" t="str">
        <f t="shared" si="2"/>
        <v>#DIV/0!</v>
      </c>
      <c r="R12" s="13" t="str">
        <f t="shared" si="3"/>
        <v>#DIV/0!</v>
      </c>
      <c r="S12" s="8"/>
      <c r="T12" s="14">
        <f t="shared" si="4"/>
        <v>0</v>
      </c>
      <c r="U12" s="14">
        <f t="shared" si="5"/>
        <v>0</v>
      </c>
      <c r="V12" s="8" t="str">
        <f t="shared" si="6"/>
        <v>#DIV/0!</v>
      </c>
      <c r="W12" s="8" t="str">
        <f t="shared" si="7"/>
        <v>#DIV/0!</v>
      </c>
      <c r="X12" s="8">
        <f t="shared" si="8"/>
        <v>7</v>
      </c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/>
      <c r="L13" s="24"/>
      <c r="M13" s="23">
        <f t="shared" si="1"/>
        <v>0</v>
      </c>
      <c r="N13" s="23"/>
      <c r="O13" s="23"/>
      <c r="P13" s="23"/>
      <c r="Q13" s="26" t="str">
        <f t="shared" si="2"/>
        <v>#DIV/0!</v>
      </c>
      <c r="R13" s="27" t="str">
        <f t="shared" si="3"/>
        <v>#DIV/0!</v>
      </c>
      <c r="S13" s="22"/>
      <c r="T13" s="28">
        <f t="shared" si="4"/>
        <v>0</v>
      </c>
      <c r="U13" s="28">
        <f t="shared" ref="U13:U19" si="9">K13/$K$14</f>
        <v>0</v>
      </c>
      <c r="V13" s="22" t="str">
        <f t="shared" si="6"/>
        <v>#DIV/0!</v>
      </c>
      <c r="W13" s="22" t="str">
        <f t="shared" si="7"/>
        <v>#DIV/0!</v>
      </c>
      <c r="X13" s="22">
        <f t="shared" si="8"/>
        <v>8</v>
      </c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5.5577E-7</v>
      </c>
      <c r="L14" s="31">
        <v>5.38228575978644E-9</v>
      </c>
      <c r="M14" s="30">
        <f t="shared" si="1"/>
        <v>0.55577</v>
      </c>
      <c r="N14" s="30">
        <v>0.001962477</v>
      </c>
      <c r="O14" s="30">
        <v>0.555869758</v>
      </c>
      <c r="P14" s="30">
        <v>0.001962477</v>
      </c>
      <c r="Q14" s="32">
        <f t="shared" si="2"/>
        <v>0.0001794951149</v>
      </c>
      <c r="R14" s="34">
        <f t="shared" si="3"/>
        <v>0.03594414522</v>
      </c>
      <c r="S14" s="29"/>
      <c r="T14" s="35">
        <f t="shared" si="4"/>
        <v>1</v>
      </c>
      <c r="U14" s="35">
        <f t="shared" si="9"/>
        <v>1</v>
      </c>
      <c r="V14" s="30">
        <f t="shared" si="6"/>
        <v>0.9998205371</v>
      </c>
      <c r="W14" s="29">
        <f t="shared" si="7"/>
        <v>1</v>
      </c>
      <c r="X14" s="88">
        <f t="shared" si="8"/>
        <v>9</v>
      </c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/>
      <c r="L15" s="24"/>
      <c r="M15" s="23">
        <f t="shared" si="1"/>
        <v>0</v>
      </c>
      <c r="N15" s="23"/>
      <c r="O15" s="23"/>
      <c r="P15" s="23"/>
      <c r="Q15" s="26" t="str">
        <f t="shared" si="2"/>
        <v>#DIV/0!</v>
      </c>
      <c r="R15" s="27" t="str">
        <f t="shared" si="3"/>
        <v>#DIV/0!</v>
      </c>
      <c r="S15" s="22"/>
      <c r="T15" s="28">
        <f t="shared" si="4"/>
        <v>0</v>
      </c>
      <c r="U15" s="28">
        <f t="shared" si="9"/>
        <v>0</v>
      </c>
      <c r="V15" s="22" t="str">
        <f t="shared" si="6"/>
        <v>#DIV/0!</v>
      </c>
      <c r="W15" s="22" t="str">
        <f t="shared" si="7"/>
        <v>#DIV/0!</v>
      </c>
      <c r="X15" s="88">
        <f t="shared" si="8"/>
        <v>10</v>
      </c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/>
      <c r="L16" s="24"/>
      <c r="M16" s="23">
        <f t="shared" si="1"/>
        <v>0</v>
      </c>
      <c r="N16" s="23"/>
      <c r="O16" s="23"/>
      <c r="P16" s="23"/>
      <c r="Q16" s="26" t="str">
        <f t="shared" si="2"/>
        <v>#DIV/0!</v>
      </c>
      <c r="R16" s="27" t="str">
        <f t="shared" si="3"/>
        <v>#DIV/0!</v>
      </c>
      <c r="S16" s="22"/>
      <c r="T16" s="28">
        <f t="shared" si="4"/>
        <v>0</v>
      </c>
      <c r="U16" s="28">
        <f t="shared" si="9"/>
        <v>0</v>
      </c>
      <c r="V16" s="22" t="str">
        <f t="shared" si="6"/>
        <v>#DIV/0!</v>
      </c>
      <c r="W16" s="22" t="str">
        <f t="shared" si="7"/>
        <v>#DIV/0!</v>
      </c>
      <c r="X16" s="88">
        <f t="shared" si="8"/>
        <v>11</v>
      </c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/>
      <c r="L17" s="24"/>
      <c r="M17" s="23">
        <f t="shared" si="1"/>
        <v>0</v>
      </c>
      <c r="N17" s="23"/>
      <c r="O17" s="23"/>
      <c r="P17" s="23"/>
      <c r="Q17" s="26" t="str">
        <f t="shared" si="2"/>
        <v>#DIV/0!</v>
      </c>
      <c r="R17" s="27" t="str">
        <f t="shared" si="3"/>
        <v>#DIV/0!</v>
      </c>
      <c r="S17" s="22"/>
      <c r="T17" s="28">
        <f t="shared" si="4"/>
        <v>0</v>
      </c>
      <c r="U17" s="28">
        <f t="shared" si="9"/>
        <v>0</v>
      </c>
      <c r="V17" s="22" t="str">
        <f t="shared" si="6"/>
        <v>#DIV/0!</v>
      </c>
      <c r="W17" s="22" t="str">
        <f t="shared" si="7"/>
        <v>#DIV/0!</v>
      </c>
      <c r="X17" s="22">
        <f t="shared" si="8"/>
        <v>12</v>
      </c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/>
      <c r="L18" s="24"/>
      <c r="M18" s="23">
        <f t="shared" si="1"/>
        <v>0</v>
      </c>
      <c r="N18" s="23"/>
      <c r="O18" s="23"/>
      <c r="P18" s="23"/>
      <c r="Q18" s="26" t="str">
        <f t="shared" si="2"/>
        <v>#DIV/0!</v>
      </c>
      <c r="R18" s="27" t="str">
        <f t="shared" si="3"/>
        <v>#DIV/0!</v>
      </c>
      <c r="S18" s="22"/>
      <c r="T18" s="28">
        <f t="shared" si="4"/>
        <v>0</v>
      </c>
      <c r="U18" s="28">
        <f t="shared" si="9"/>
        <v>0</v>
      </c>
      <c r="V18" s="22" t="str">
        <f t="shared" si="6"/>
        <v>#DIV/0!</v>
      </c>
      <c r="W18" s="22" t="str">
        <f t="shared" si="7"/>
        <v>#DIV/0!</v>
      </c>
      <c r="X18" s="22">
        <f t="shared" si="8"/>
        <v>13</v>
      </c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/>
      <c r="L19" s="24"/>
      <c r="M19" s="23">
        <f t="shared" si="1"/>
        <v>0</v>
      </c>
      <c r="N19" s="23"/>
      <c r="O19" s="23"/>
      <c r="P19" s="23"/>
      <c r="Q19" s="26" t="str">
        <f t="shared" si="2"/>
        <v>#DIV/0!</v>
      </c>
      <c r="R19" s="27" t="str">
        <f t="shared" si="3"/>
        <v>#DIV/0!</v>
      </c>
      <c r="S19" s="22"/>
      <c r="T19" s="28">
        <f t="shared" si="4"/>
        <v>0</v>
      </c>
      <c r="U19" s="28">
        <f t="shared" si="9"/>
        <v>0</v>
      </c>
      <c r="V19" s="22" t="str">
        <f t="shared" si="6"/>
        <v>#DIV/0!</v>
      </c>
      <c r="W19" s="22" t="str">
        <f t="shared" si="7"/>
        <v>#DIV/0!</v>
      </c>
      <c r="X19" s="22">
        <f t="shared" si="8"/>
        <v>14</v>
      </c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/>
      <c r="L20" s="39"/>
      <c r="M20" s="38">
        <f t="shared" si="1"/>
        <v>0</v>
      </c>
      <c r="N20" s="38"/>
      <c r="O20" s="38"/>
      <c r="P20" s="38"/>
      <c r="Q20" s="40" t="str">
        <f t="shared" si="2"/>
        <v>#DIV/0!</v>
      </c>
      <c r="R20" s="41" t="str">
        <f t="shared" si="3"/>
        <v>#DIV/0!</v>
      </c>
      <c r="S20" s="37"/>
      <c r="T20" s="42">
        <f t="shared" si="4"/>
        <v>0</v>
      </c>
      <c r="U20" s="42" t="str">
        <f t="shared" ref="U20:U26" si="10">K20/$K$21</f>
        <v>#DIV/0!</v>
      </c>
      <c r="V20" s="37" t="str">
        <f t="shared" si="6"/>
        <v>#DIV/0!</v>
      </c>
      <c r="W20" s="37" t="str">
        <f t="shared" si="7"/>
        <v>#DIV/0!</v>
      </c>
      <c r="X20" s="88">
        <f t="shared" si="8"/>
        <v>15</v>
      </c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/>
      <c r="L21" s="39"/>
      <c r="M21" s="38">
        <f t="shared" si="1"/>
        <v>0</v>
      </c>
      <c r="N21" s="38"/>
      <c r="O21" s="38"/>
      <c r="P21" s="38"/>
      <c r="Q21" s="40" t="str">
        <f t="shared" si="2"/>
        <v>#DIV/0!</v>
      </c>
      <c r="R21" s="41" t="str">
        <f t="shared" si="3"/>
        <v>#DIV/0!</v>
      </c>
      <c r="S21" s="37"/>
      <c r="T21" s="42">
        <f t="shared" si="4"/>
        <v>0</v>
      </c>
      <c r="U21" s="42" t="str">
        <f t="shared" si="10"/>
        <v>#DIV/0!</v>
      </c>
      <c r="V21" s="37" t="str">
        <f t="shared" si="6"/>
        <v>#DIV/0!</v>
      </c>
      <c r="W21" s="37" t="str">
        <f t="shared" si="7"/>
        <v>#DIV/0!</v>
      </c>
      <c r="X21" s="88">
        <f t="shared" si="8"/>
        <v>16</v>
      </c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/>
      <c r="L22" s="39"/>
      <c r="M22" s="38">
        <f t="shared" si="1"/>
        <v>0</v>
      </c>
      <c r="N22" s="38"/>
      <c r="O22" s="38"/>
      <c r="P22" s="38"/>
      <c r="Q22" s="40" t="str">
        <f t="shared" si="2"/>
        <v>#DIV/0!</v>
      </c>
      <c r="R22" s="41" t="str">
        <f t="shared" si="3"/>
        <v>#DIV/0!</v>
      </c>
      <c r="S22" s="37"/>
      <c r="T22" s="42">
        <f t="shared" si="4"/>
        <v>0</v>
      </c>
      <c r="U22" s="42" t="str">
        <f t="shared" si="10"/>
        <v>#DIV/0!</v>
      </c>
      <c r="V22" s="37" t="str">
        <f t="shared" si="6"/>
        <v>#DIV/0!</v>
      </c>
      <c r="W22" s="37" t="str">
        <f t="shared" si="7"/>
        <v>#DIV/0!</v>
      </c>
      <c r="X22" s="88">
        <f t="shared" si="8"/>
        <v>17</v>
      </c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/>
      <c r="L23" s="39"/>
      <c r="M23" s="38">
        <f t="shared" si="1"/>
        <v>0</v>
      </c>
      <c r="N23" s="38"/>
      <c r="O23" s="38"/>
      <c r="P23" s="38"/>
      <c r="Q23" s="40" t="str">
        <f t="shared" si="2"/>
        <v>#DIV/0!</v>
      </c>
      <c r="R23" s="41" t="str">
        <f t="shared" si="3"/>
        <v>#DIV/0!</v>
      </c>
      <c r="S23" s="37"/>
      <c r="T23" s="42">
        <f t="shared" si="4"/>
        <v>0</v>
      </c>
      <c r="U23" s="42" t="str">
        <f t="shared" si="10"/>
        <v>#DIV/0!</v>
      </c>
      <c r="V23" s="37" t="str">
        <f t="shared" si="6"/>
        <v>#DIV/0!</v>
      </c>
      <c r="W23" s="37" t="str">
        <f t="shared" si="7"/>
        <v>#DIV/0!</v>
      </c>
      <c r="X23" s="37">
        <f t="shared" si="8"/>
        <v>18</v>
      </c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/>
      <c r="L24" s="39"/>
      <c r="M24" s="38">
        <f t="shared" si="1"/>
        <v>0</v>
      </c>
      <c r="N24" s="38"/>
      <c r="O24" s="38"/>
      <c r="P24" s="38"/>
      <c r="Q24" s="40" t="str">
        <f t="shared" si="2"/>
        <v>#DIV/0!</v>
      </c>
      <c r="R24" s="41" t="str">
        <f t="shared" si="3"/>
        <v>#DIV/0!</v>
      </c>
      <c r="S24" s="37"/>
      <c r="T24" s="42">
        <f t="shared" si="4"/>
        <v>0</v>
      </c>
      <c r="U24" s="42" t="str">
        <f t="shared" si="10"/>
        <v>#DIV/0!</v>
      </c>
      <c r="V24" s="37" t="str">
        <f t="shared" si="6"/>
        <v>#DIV/0!</v>
      </c>
      <c r="W24" s="37" t="str">
        <f t="shared" si="7"/>
        <v>#DIV/0!</v>
      </c>
      <c r="X24" s="37">
        <f t="shared" si="8"/>
        <v>19</v>
      </c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/>
      <c r="L25" s="39"/>
      <c r="M25" s="38">
        <f t="shared" si="1"/>
        <v>0</v>
      </c>
      <c r="N25" s="38"/>
      <c r="O25" s="38"/>
      <c r="P25" s="38"/>
      <c r="Q25" s="40" t="str">
        <f t="shared" si="2"/>
        <v>#DIV/0!</v>
      </c>
      <c r="R25" s="41" t="str">
        <f t="shared" si="3"/>
        <v>#DIV/0!</v>
      </c>
      <c r="S25" s="37"/>
      <c r="T25" s="42">
        <f t="shared" si="4"/>
        <v>0</v>
      </c>
      <c r="U25" s="42" t="str">
        <f t="shared" si="10"/>
        <v>#DIV/0!</v>
      </c>
      <c r="V25" s="37" t="str">
        <f t="shared" si="6"/>
        <v>#DIV/0!</v>
      </c>
      <c r="W25" s="37" t="str">
        <f t="shared" si="7"/>
        <v>#DIV/0!</v>
      </c>
      <c r="X25" s="37">
        <f t="shared" si="8"/>
        <v>20</v>
      </c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/>
      <c r="L26" s="39"/>
      <c r="M26" s="38">
        <f t="shared" si="1"/>
        <v>0</v>
      </c>
      <c r="N26" s="38"/>
      <c r="O26" s="38"/>
      <c r="P26" s="38"/>
      <c r="Q26" s="40" t="str">
        <f t="shared" si="2"/>
        <v>#DIV/0!</v>
      </c>
      <c r="R26" s="41" t="str">
        <f t="shared" si="3"/>
        <v>#DIV/0!</v>
      </c>
      <c r="S26" s="37"/>
      <c r="T26" s="42">
        <f t="shared" si="4"/>
        <v>0</v>
      </c>
      <c r="U26" s="42" t="str">
        <f t="shared" si="10"/>
        <v>#DIV/0!</v>
      </c>
      <c r="V26" s="37" t="str">
        <f t="shared" si="6"/>
        <v>#DIV/0!</v>
      </c>
      <c r="W26" s="37" t="str">
        <f t="shared" si="7"/>
        <v>#DIV/0!</v>
      </c>
      <c r="X26" s="37">
        <f t="shared" si="8"/>
        <v>21</v>
      </c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/>
      <c r="L27" s="46"/>
      <c r="M27" s="45">
        <f t="shared" si="1"/>
        <v>0</v>
      </c>
      <c r="N27" s="45"/>
      <c r="O27" s="45"/>
      <c r="P27" s="45"/>
      <c r="Q27" s="47" t="str">
        <f t="shared" si="2"/>
        <v>#DIV/0!</v>
      </c>
      <c r="R27" s="48" t="str">
        <f t="shared" si="3"/>
        <v>#DIV/0!</v>
      </c>
      <c r="S27" s="44"/>
      <c r="T27" s="49">
        <f t="shared" si="4"/>
        <v>0</v>
      </c>
      <c r="U27" s="49" t="str">
        <f t="shared" ref="U27:U33" si="11">K27/$K$28</f>
        <v>#DIV/0!</v>
      </c>
      <c r="V27" s="44" t="str">
        <f t="shared" si="6"/>
        <v>#DIV/0!</v>
      </c>
      <c r="W27" s="44" t="str">
        <f t="shared" si="7"/>
        <v>#DIV/0!</v>
      </c>
      <c r="X27" s="88">
        <f t="shared" si="8"/>
        <v>22</v>
      </c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/>
      <c r="L28" s="46"/>
      <c r="M28" s="45">
        <f t="shared" si="1"/>
        <v>0</v>
      </c>
      <c r="N28" s="45"/>
      <c r="O28" s="45"/>
      <c r="P28" s="45"/>
      <c r="Q28" s="47" t="str">
        <f t="shared" si="2"/>
        <v>#DIV/0!</v>
      </c>
      <c r="R28" s="48" t="str">
        <f t="shared" si="3"/>
        <v>#DIV/0!</v>
      </c>
      <c r="S28" s="44"/>
      <c r="T28" s="49">
        <f t="shared" si="4"/>
        <v>0</v>
      </c>
      <c r="U28" s="49" t="str">
        <f t="shared" si="11"/>
        <v>#DIV/0!</v>
      </c>
      <c r="V28" s="44" t="str">
        <f t="shared" si="6"/>
        <v>#DIV/0!</v>
      </c>
      <c r="W28" s="44" t="str">
        <f t="shared" si="7"/>
        <v>#DIV/0!</v>
      </c>
      <c r="X28" s="88">
        <f t="shared" si="8"/>
        <v>23</v>
      </c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/>
      <c r="L29" s="46"/>
      <c r="M29" s="45">
        <f t="shared" si="1"/>
        <v>0</v>
      </c>
      <c r="N29" s="45"/>
      <c r="O29" s="45"/>
      <c r="P29" s="45"/>
      <c r="Q29" s="47" t="str">
        <f t="shared" si="2"/>
        <v>#DIV/0!</v>
      </c>
      <c r="R29" s="48" t="str">
        <f t="shared" si="3"/>
        <v>#DIV/0!</v>
      </c>
      <c r="S29" s="44"/>
      <c r="T29" s="49">
        <f t="shared" si="4"/>
        <v>0</v>
      </c>
      <c r="U29" s="49" t="str">
        <f t="shared" si="11"/>
        <v>#DIV/0!</v>
      </c>
      <c r="V29" s="44" t="str">
        <f t="shared" si="6"/>
        <v>#DIV/0!</v>
      </c>
      <c r="W29" s="44" t="str">
        <f t="shared" si="7"/>
        <v>#DIV/0!</v>
      </c>
      <c r="X29" s="44">
        <f t="shared" si="8"/>
        <v>24</v>
      </c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/>
      <c r="L30" s="46"/>
      <c r="M30" s="45">
        <f t="shared" si="1"/>
        <v>0</v>
      </c>
      <c r="N30" s="45"/>
      <c r="O30" s="45"/>
      <c r="P30" s="45"/>
      <c r="Q30" s="47" t="str">
        <f t="shared" si="2"/>
        <v>#DIV/0!</v>
      </c>
      <c r="R30" s="48" t="str">
        <f t="shared" si="3"/>
        <v>#DIV/0!</v>
      </c>
      <c r="S30" s="44"/>
      <c r="T30" s="49">
        <f t="shared" si="4"/>
        <v>0</v>
      </c>
      <c r="U30" s="49" t="str">
        <f t="shared" si="11"/>
        <v>#DIV/0!</v>
      </c>
      <c r="V30" s="44" t="str">
        <f t="shared" si="6"/>
        <v>#DIV/0!</v>
      </c>
      <c r="W30" s="44" t="str">
        <f t="shared" si="7"/>
        <v>#DIV/0!</v>
      </c>
      <c r="X30" s="44">
        <f t="shared" si="8"/>
        <v>25</v>
      </c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/>
      <c r="L31" s="46"/>
      <c r="M31" s="45">
        <f t="shared" si="1"/>
        <v>0</v>
      </c>
      <c r="N31" s="45"/>
      <c r="O31" s="45"/>
      <c r="P31" s="45"/>
      <c r="Q31" s="47" t="str">
        <f t="shared" si="2"/>
        <v>#DIV/0!</v>
      </c>
      <c r="R31" s="48" t="str">
        <f t="shared" si="3"/>
        <v>#DIV/0!</v>
      </c>
      <c r="S31" s="44"/>
      <c r="T31" s="49">
        <f t="shared" si="4"/>
        <v>0</v>
      </c>
      <c r="U31" s="49" t="str">
        <f t="shared" si="11"/>
        <v>#DIV/0!</v>
      </c>
      <c r="V31" s="44" t="str">
        <f t="shared" si="6"/>
        <v>#DIV/0!</v>
      </c>
      <c r="W31" s="44" t="str">
        <f t="shared" si="7"/>
        <v>#DIV/0!</v>
      </c>
      <c r="X31" s="44">
        <f t="shared" si="8"/>
        <v>26</v>
      </c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/>
      <c r="L32" s="46"/>
      <c r="M32" s="45">
        <f t="shared" si="1"/>
        <v>0</v>
      </c>
      <c r="N32" s="45"/>
      <c r="O32" s="45"/>
      <c r="P32" s="45"/>
      <c r="Q32" s="47" t="str">
        <f t="shared" si="2"/>
        <v>#DIV/0!</v>
      </c>
      <c r="R32" s="48" t="str">
        <f t="shared" si="3"/>
        <v>#DIV/0!</v>
      </c>
      <c r="S32" s="44"/>
      <c r="T32" s="49">
        <f t="shared" si="4"/>
        <v>0</v>
      </c>
      <c r="U32" s="49" t="str">
        <f t="shared" si="11"/>
        <v>#DIV/0!</v>
      </c>
      <c r="V32" s="44" t="str">
        <f t="shared" si="6"/>
        <v>#DIV/0!</v>
      </c>
      <c r="W32" s="44" t="str">
        <f t="shared" si="7"/>
        <v>#DIV/0!</v>
      </c>
      <c r="X32" s="44">
        <f t="shared" si="8"/>
        <v>27</v>
      </c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/>
      <c r="L33" s="46"/>
      <c r="M33" s="45">
        <f t="shared" si="1"/>
        <v>0</v>
      </c>
      <c r="N33" s="45"/>
      <c r="O33" s="45"/>
      <c r="P33" s="45"/>
      <c r="Q33" s="47" t="str">
        <f t="shared" si="2"/>
        <v>#DIV/0!</v>
      </c>
      <c r="R33" s="48" t="str">
        <f t="shared" si="3"/>
        <v>#DIV/0!</v>
      </c>
      <c r="S33" s="44"/>
      <c r="T33" s="49">
        <f t="shared" si="4"/>
        <v>0</v>
      </c>
      <c r="U33" s="49" t="str">
        <f t="shared" si="11"/>
        <v>#DIV/0!</v>
      </c>
      <c r="V33" s="44" t="str">
        <f t="shared" si="6"/>
        <v>#DIV/0!</v>
      </c>
      <c r="W33" s="44" t="str">
        <f t="shared" si="7"/>
        <v>#DIV/0!</v>
      </c>
      <c r="X33" s="44">
        <f t="shared" si="8"/>
        <v>28</v>
      </c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/>
      <c r="L34" s="53"/>
      <c r="M34" s="52">
        <f t="shared" si="1"/>
        <v>0</v>
      </c>
      <c r="N34" s="52"/>
      <c r="O34" s="52"/>
      <c r="P34" s="52"/>
      <c r="Q34" s="54" t="str">
        <f t="shared" si="2"/>
        <v>#DIV/0!</v>
      </c>
      <c r="R34" s="55" t="str">
        <f t="shared" si="3"/>
        <v>#DIV/0!</v>
      </c>
      <c r="S34" s="51"/>
      <c r="T34" s="56">
        <f t="shared" si="4"/>
        <v>0</v>
      </c>
      <c r="U34" s="56" t="str">
        <f t="shared" ref="U34:U40" si="12">K34/$K$35</f>
        <v>#DIV/0!</v>
      </c>
      <c r="V34" s="51" t="str">
        <f t="shared" si="6"/>
        <v>#DIV/0!</v>
      </c>
      <c r="W34" s="51" t="str">
        <f t="shared" si="7"/>
        <v>#DIV/0!</v>
      </c>
      <c r="X34" s="88">
        <f t="shared" si="8"/>
        <v>29</v>
      </c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/>
      <c r="L35" s="53"/>
      <c r="M35" s="52">
        <f t="shared" si="1"/>
        <v>0</v>
      </c>
      <c r="N35" s="52"/>
      <c r="O35" s="52"/>
      <c r="P35" s="52"/>
      <c r="Q35" s="54" t="str">
        <f t="shared" si="2"/>
        <v>#DIV/0!</v>
      </c>
      <c r="R35" s="55" t="str">
        <f t="shared" si="3"/>
        <v>#DIV/0!</v>
      </c>
      <c r="S35" s="51"/>
      <c r="T35" s="56">
        <f t="shared" si="4"/>
        <v>0</v>
      </c>
      <c r="U35" s="56" t="str">
        <f t="shared" si="12"/>
        <v>#DIV/0!</v>
      </c>
      <c r="V35" s="51" t="str">
        <f t="shared" si="6"/>
        <v>#DIV/0!</v>
      </c>
      <c r="W35" s="51" t="str">
        <f t="shared" si="7"/>
        <v>#DIV/0!</v>
      </c>
      <c r="X35" s="88">
        <f t="shared" si="8"/>
        <v>30</v>
      </c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/>
      <c r="L36" s="53"/>
      <c r="M36" s="52">
        <f t="shared" si="1"/>
        <v>0</v>
      </c>
      <c r="N36" s="52"/>
      <c r="O36" s="52"/>
      <c r="P36" s="52"/>
      <c r="Q36" s="54" t="str">
        <f t="shared" si="2"/>
        <v>#DIV/0!</v>
      </c>
      <c r="R36" s="55" t="str">
        <f t="shared" si="3"/>
        <v>#DIV/0!</v>
      </c>
      <c r="S36" s="51"/>
      <c r="T36" s="56">
        <f t="shared" si="4"/>
        <v>0</v>
      </c>
      <c r="U36" s="56" t="str">
        <f t="shared" si="12"/>
        <v>#DIV/0!</v>
      </c>
      <c r="V36" s="51" t="str">
        <f t="shared" si="6"/>
        <v>#DIV/0!</v>
      </c>
      <c r="W36" s="51" t="str">
        <f t="shared" si="7"/>
        <v>#DIV/0!</v>
      </c>
      <c r="X36" s="51">
        <f t="shared" si="8"/>
        <v>31</v>
      </c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/>
      <c r="L37" s="53"/>
      <c r="M37" s="52">
        <f t="shared" si="1"/>
        <v>0</v>
      </c>
      <c r="N37" s="52"/>
      <c r="O37" s="52"/>
      <c r="P37" s="52"/>
      <c r="Q37" s="54" t="str">
        <f t="shared" si="2"/>
        <v>#DIV/0!</v>
      </c>
      <c r="R37" s="55" t="str">
        <f t="shared" si="3"/>
        <v>#DIV/0!</v>
      </c>
      <c r="S37" s="51"/>
      <c r="T37" s="56">
        <f t="shared" si="4"/>
        <v>0</v>
      </c>
      <c r="U37" s="56" t="str">
        <f t="shared" si="12"/>
        <v>#DIV/0!</v>
      </c>
      <c r="V37" s="51" t="str">
        <f t="shared" si="6"/>
        <v>#DIV/0!</v>
      </c>
      <c r="W37" s="51" t="str">
        <f t="shared" si="7"/>
        <v>#DIV/0!</v>
      </c>
      <c r="X37" s="51">
        <f t="shared" si="8"/>
        <v>32</v>
      </c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/>
      <c r="L38" s="53"/>
      <c r="M38" s="52">
        <f t="shared" si="1"/>
        <v>0</v>
      </c>
      <c r="N38" s="52"/>
      <c r="O38" s="52"/>
      <c r="P38" s="52"/>
      <c r="Q38" s="54" t="str">
        <f t="shared" si="2"/>
        <v>#DIV/0!</v>
      </c>
      <c r="R38" s="55" t="str">
        <f t="shared" si="3"/>
        <v>#DIV/0!</v>
      </c>
      <c r="S38" s="51"/>
      <c r="T38" s="56">
        <f t="shared" si="4"/>
        <v>0</v>
      </c>
      <c r="U38" s="56" t="str">
        <f t="shared" si="12"/>
        <v>#DIV/0!</v>
      </c>
      <c r="V38" s="51" t="str">
        <f t="shared" si="6"/>
        <v>#DIV/0!</v>
      </c>
      <c r="W38" s="51" t="str">
        <f t="shared" si="7"/>
        <v>#DIV/0!</v>
      </c>
      <c r="X38" s="51">
        <f t="shared" si="8"/>
        <v>33</v>
      </c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/>
      <c r="L39" s="53"/>
      <c r="M39" s="52">
        <f t="shared" si="1"/>
        <v>0</v>
      </c>
      <c r="N39" s="52"/>
      <c r="O39" s="52"/>
      <c r="P39" s="52"/>
      <c r="Q39" s="54" t="str">
        <f t="shared" si="2"/>
        <v>#DIV/0!</v>
      </c>
      <c r="R39" s="55" t="str">
        <f t="shared" si="3"/>
        <v>#DIV/0!</v>
      </c>
      <c r="S39" s="51"/>
      <c r="T39" s="56">
        <f t="shared" si="4"/>
        <v>0</v>
      </c>
      <c r="U39" s="56" t="str">
        <f t="shared" si="12"/>
        <v>#DIV/0!</v>
      </c>
      <c r="V39" s="51" t="str">
        <f t="shared" si="6"/>
        <v>#DIV/0!</v>
      </c>
      <c r="W39" s="51" t="str">
        <f t="shared" si="7"/>
        <v>#DIV/0!</v>
      </c>
      <c r="X39" s="51">
        <f t="shared" si="8"/>
        <v>34</v>
      </c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/>
      <c r="L40" s="53"/>
      <c r="M40" s="52">
        <f t="shared" si="1"/>
        <v>0</v>
      </c>
      <c r="N40" s="52"/>
      <c r="O40" s="52"/>
      <c r="P40" s="52"/>
      <c r="Q40" s="54" t="str">
        <f t="shared" si="2"/>
        <v>#DIV/0!</v>
      </c>
      <c r="R40" s="55" t="str">
        <f t="shared" si="3"/>
        <v>#DIV/0!</v>
      </c>
      <c r="S40" s="51"/>
      <c r="T40" s="56">
        <f t="shared" si="4"/>
        <v>0</v>
      </c>
      <c r="U40" s="56" t="str">
        <f t="shared" si="12"/>
        <v>#DIV/0!</v>
      </c>
      <c r="V40" s="51" t="str">
        <f t="shared" si="6"/>
        <v>#DIV/0!</v>
      </c>
      <c r="W40" s="51" t="str">
        <f t="shared" si="7"/>
        <v>#DIV/0!</v>
      </c>
      <c r="X40" s="51">
        <f t="shared" si="8"/>
        <v>35</v>
      </c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/>
      <c r="L41" s="60"/>
      <c r="M41" s="59">
        <f t="shared" si="1"/>
        <v>0</v>
      </c>
      <c r="N41" s="59"/>
      <c r="O41" s="59"/>
      <c r="P41" s="59"/>
      <c r="Q41" s="61" t="str">
        <f t="shared" si="2"/>
        <v>#DIV/0!</v>
      </c>
      <c r="R41" s="62" t="str">
        <f t="shared" si="3"/>
        <v>#DIV/0!</v>
      </c>
      <c r="S41" s="58"/>
      <c r="T41" s="63">
        <f t="shared" si="4"/>
        <v>0</v>
      </c>
      <c r="U41" s="63" t="str">
        <f t="shared" ref="U41:U47" si="13">K41/$K$42</f>
        <v>#DIV/0!</v>
      </c>
      <c r="V41" s="58" t="str">
        <f t="shared" si="6"/>
        <v>#DIV/0!</v>
      </c>
      <c r="W41" s="58" t="str">
        <f t="shared" si="7"/>
        <v>#DIV/0!</v>
      </c>
      <c r="X41" s="88">
        <f t="shared" si="8"/>
        <v>36</v>
      </c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/>
      <c r="L42" s="60"/>
      <c r="M42" s="59">
        <f t="shared" si="1"/>
        <v>0</v>
      </c>
      <c r="N42" s="59"/>
      <c r="O42" s="59"/>
      <c r="P42" s="59"/>
      <c r="Q42" s="61" t="str">
        <f t="shared" si="2"/>
        <v>#DIV/0!</v>
      </c>
      <c r="R42" s="62" t="str">
        <f t="shared" si="3"/>
        <v>#DIV/0!</v>
      </c>
      <c r="S42" s="58"/>
      <c r="T42" s="63">
        <f t="shared" si="4"/>
        <v>0</v>
      </c>
      <c r="U42" s="63" t="str">
        <f t="shared" si="13"/>
        <v>#DIV/0!</v>
      </c>
      <c r="V42" s="58" t="str">
        <f t="shared" si="6"/>
        <v>#DIV/0!</v>
      </c>
      <c r="W42" s="58" t="str">
        <f t="shared" si="7"/>
        <v>#DIV/0!</v>
      </c>
      <c r="X42" s="58">
        <f t="shared" si="8"/>
        <v>37</v>
      </c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/>
      <c r="L43" s="60"/>
      <c r="M43" s="59">
        <f t="shared" si="1"/>
        <v>0</v>
      </c>
      <c r="N43" s="59"/>
      <c r="O43" s="59"/>
      <c r="P43" s="59"/>
      <c r="Q43" s="61" t="str">
        <f t="shared" si="2"/>
        <v>#DIV/0!</v>
      </c>
      <c r="R43" s="62" t="str">
        <f t="shared" si="3"/>
        <v>#DIV/0!</v>
      </c>
      <c r="S43" s="58"/>
      <c r="T43" s="63">
        <f t="shared" si="4"/>
        <v>0</v>
      </c>
      <c r="U43" s="63" t="str">
        <f t="shared" si="13"/>
        <v>#DIV/0!</v>
      </c>
      <c r="V43" s="58" t="str">
        <f t="shared" si="6"/>
        <v>#DIV/0!</v>
      </c>
      <c r="W43" s="58" t="str">
        <f t="shared" si="7"/>
        <v>#DIV/0!</v>
      </c>
      <c r="X43" s="58">
        <f t="shared" si="8"/>
        <v>38</v>
      </c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/>
      <c r="L44" s="60"/>
      <c r="M44" s="59">
        <f t="shared" si="1"/>
        <v>0</v>
      </c>
      <c r="N44" s="59"/>
      <c r="O44" s="59"/>
      <c r="P44" s="59"/>
      <c r="Q44" s="61" t="str">
        <f t="shared" si="2"/>
        <v>#DIV/0!</v>
      </c>
      <c r="R44" s="62" t="str">
        <f t="shared" si="3"/>
        <v>#DIV/0!</v>
      </c>
      <c r="S44" s="58"/>
      <c r="T44" s="63">
        <f t="shared" si="4"/>
        <v>0</v>
      </c>
      <c r="U44" s="63" t="str">
        <f t="shared" si="13"/>
        <v>#DIV/0!</v>
      </c>
      <c r="V44" s="58" t="str">
        <f t="shared" si="6"/>
        <v>#DIV/0!</v>
      </c>
      <c r="W44" s="58" t="str">
        <f t="shared" si="7"/>
        <v>#DIV/0!</v>
      </c>
      <c r="X44" s="58">
        <f t="shared" si="8"/>
        <v>39</v>
      </c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/>
      <c r="L45" s="60"/>
      <c r="M45" s="59">
        <f t="shared" si="1"/>
        <v>0</v>
      </c>
      <c r="N45" s="59"/>
      <c r="O45" s="59"/>
      <c r="P45" s="59"/>
      <c r="Q45" s="61" t="str">
        <f t="shared" si="2"/>
        <v>#DIV/0!</v>
      </c>
      <c r="R45" s="62" t="str">
        <f t="shared" si="3"/>
        <v>#DIV/0!</v>
      </c>
      <c r="S45" s="58"/>
      <c r="T45" s="63">
        <f t="shared" si="4"/>
        <v>0</v>
      </c>
      <c r="U45" s="63" t="str">
        <f t="shared" si="13"/>
        <v>#DIV/0!</v>
      </c>
      <c r="V45" s="58" t="str">
        <f t="shared" si="6"/>
        <v>#DIV/0!</v>
      </c>
      <c r="W45" s="58" t="str">
        <f t="shared" si="7"/>
        <v>#DIV/0!</v>
      </c>
      <c r="X45" s="58">
        <f t="shared" si="8"/>
        <v>40</v>
      </c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/>
      <c r="L46" s="60"/>
      <c r="M46" s="59">
        <f t="shared" si="1"/>
        <v>0</v>
      </c>
      <c r="N46" s="59"/>
      <c r="O46" s="59"/>
      <c r="P46" s="59"/>
      <c r="Q46" s="61" t="str">
        <f t="shared" si="2"/>
        <v>#DIV/0!</v>
      </c>
      <c r="R46" s="62" t="str">
        <f t="shared" si="3"/>
        <v>#DIV/0!</v>
      </c>
      <c r="S46" s="58"/>
      <c r="T46" s="63">
        <f t="shared" si="4"/>
        <v>0</v>
      </c>
      <c r="U46" s="63" t="str">
        <f t="shared" si="13"/>
        <v>#DIV/0!</v>
      </c>
      <c r="V46" s="58" t="str">
        <f t="shared" si="6"/>
        <v>#DIV/0!</v>
      </c>
      <c r="W46" s="58" t="str">
        <f t="shared" si="7"/>
        <v>#DIV/0!</v>
      </c>
      <c r="X46" s="58">
        <f t="shared" si="8"/>
        <v>41</v>
      </c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/>
      <c r="L47" s="60"/>
      <c r="M47" s="59">
        <f t="shared" si="1"/>
        <v>0</v>
      </c>
      <c r="N47" s="59"/>
      <c r="O47" s="59"/>
      <c r="P47" s="59"/>
      <c r="Q47" s="61" t="str">
        <f t="shared" si="2"/>
        <v>#DIV/0!</v>
      </c>
      <c r="R47" s="62" t="str">
        <f t="shared" si="3"/>
        <v>#DIV/0!</v>
      </c>
      <c r="S47" s="58"/>
      <c r="T47" s="63">
        <f t="shared" si="4"/>
        <v>0</v>
      </c>
      <c r="U47" s="63" t="str">
        <f t="shared" si="13"/>
        <v>#DIV/0!</v>
      </c>
      <c r="V47" s="58" t="str">
        <f t="shared" si="6"/>
        <v>#DIV/0!</v>
      </c>
      <c r="W47" s="58" t="str">
        <f t="shared" si="7"/>
        <v>#DIV/0!</v>
      </c>
      <c r="X47" s="58">
        <f t="shared" si="8"/>
        <v>42</v>
      </c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/>
      <c r="L48" s="96"/>
      <c r="M48" s="95">
        <f t="shared" si="1"/>
        <v>0</v>
      </c>
      <c r="N48" s="95"/>
      <c r="O48" s="95"/>
      <c r="P48" s="95"/>
      <c r="Q48" s="97" t="str">
        <f t="shared" si="2"/>
        <v>#DIV/0!</v>
      </c>
      <c r="R48" s="98" t="str">
        <f t="shared" si="3"/>
        <v>#DIV/0!</v>
      </c>
      <c r="S48" s="94"/>
      <c r="T48" s="99">
        <f>K53/$K$14</f>
        <v>116722.745</v>
      </c>
      <c r="U48" s="99" t="str">
        <f>K53/$K$49</f>
        <v>#DIV/0!</v>
      </c>
      <c r="V48" s="94" t="str">
        <f t="shared" si="6"/>
        <v>#DIV/0!</v>
      </c>
      <c r="W48" s="94" t="str">
        <f t="shared" si="7"/>
        <v>#DIV/0!</v>
      </c>
      <c r="X48" s="94">
        <f t="shared" si="8"/>
        <v>43</v>
      </c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/>
      <c r="L49" s="96"/>
      <c r="M49" s="95">
        <f t="shared" si="1"/>
        <v>0</v>
      </c>
      <c r="N49" s="95"/>
      <c r="O49" s="95"/>
      <c r="P49" s="95"/>
      <c r="Q49" s="97" t="str">
        <f t="shared" si="2"/>
        <v>#DIV/0!</v>
      </c>
      <c r="R49" s="98" t="str">
        <f t="shared" si="3"/>
        <v>#DIV/0!</v>
      </c>
      <c r="S49" s="94"/>
      <c r="T49" s="99">
        <f t="shared" ref="T49:T66" si="14">K49/$K$14</f>
        <v>0</v>
      </c>
      <c r="U49" s="99" t="str">
        <f t="shared" ref="U49:U54" si="15">K49/$K$49</f>
        <v>#DIV/0!</v>
      </c>
      <c r="V49" s="94" t="str">
        <f t="shared" si="6"/>
        <v>#DIV/0!</v>
      </c>
      <c r="W49" s="94" t="str">
        <f t="shared" si="7"/>
        <v>#DIV/0!</v>
      </c>
      <c r="X49" s="94">
        <f t="shared" si="8"/>
        <v>44</v>
      </c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/>
      <c r="L50" s="96"/>
      <c r="M50" s="95">
        <f t="shared" si="1"/>
        <v>0</v>
      </c>
      <c r="N50" s="95"/>
      <c r="O50" s="95"/>
      <c r="P50" s="95"/>
      <c r="Q50" s="97" t="str">
        <f t="shared" si="2"/>
        <v>#DIV/0!</v>
      </c>
      <c r="R50" s="98" t="str">
        <f t="shared" si="3"/>
        <v>#DIV/0!</v>
      </c>
      <c r="S50" s="94"/>
      <c r="T50" s="99">
        <f t="shared" si="14"/>
        <v>0</v>
      </c>
      <c r="U50" s="99" t="str">
        <f t="shared" si="15"/>
        <v>#DIV/0!</v>
      </c>
      <c r="V50" s="94" t="str">
        <f t="shared" si="6"/>
        <v>#DIV/0!</v>
      </c>
      <c r="W50" s="94" t="str">
        <f t="shared" si="7"/>
        <v>#DIV/0!</v>
      </c>
      <c r="X50" s="94">
        <f t="shared" si="8"/>
        <v>45</v>
      </c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/>
      <c r="L51" s="96"/>
      <c r="M51" s="95">
        <f t="shared" si="1"/>
        <v>0</v>
      </c>
      <c r="N51" s="95"/>
      <c r="O51" s="95"/>
      <c r="P51" s="95"/>
      <c r="Q51" s="97" t="str">
        <f t="shared" si="2"/>
        <v>#DIV/0!</v>
      </c>
      <c r="R51" s="98" t="str">
        <f t="shared" si="3"/>
        <v>#DIV/0!</v>
      </c>
      <c r="S51" s="94"/>
      <c r="T51" s="99">
        <f t="shared" si="14"/>
        <v>0</v>
      </c>
      <c r="U51" s="99" t="str">
        <f t="shared" si="15"/>
        <v>#DIV/0!</v>
      </c>
      <c r="V51" s="94" t="str">
        <f t="shared" si="6"/>
        <v>#DIV/0!</v>
      </c>
      <c r="W51" s="94" t="str">
        <f t="shared" si="7"/>
        <v>#DIV/0!</v>
      </c>
      <c r="X51" s="94">
        <f t="shared" si="8"/>
        <v>46</v>
      </c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/>
      <c r="L52" s="96"/>
      <c r="M52" s="95">
        <f t="shared" si="1"/>
        <v>0</v>
      </c>
      <c r="N52" s="95"/>
      <c r="O52" s="95"/>
      <c r="P52" s="95"/>
      <c r="Q52" s="97" t="str">
        <f t="shared" si="2"/>
        <v>#DIV/0!</v>
      </c>
      <c r="R52" s="98" t="str">
        <f t="shared" si="3"/>
        <v>#DIV/0!</v>
      </c>
      <c r="S52" s="94"/>
      <c r="T52" s="99">
        <f t="shared" si="14"/>
        <v>0</v>
      </c>
      <c r="U52" s="99" t="str">
        <f t="shared" si="15"/>
        <v>#DIV/0!</v>
      </c>
      <c r="V52" s="94" t="str">
        <f t="shared" si="6"/>
        <v>#DIV/0!</v>
      </c>
      <c r="W52" s="94" t="str">
        <f t="shared" si="7"/>
        <v>#DIV/0!</v>
      </c>
      <c r="X52" s="94">
        <f t="shared" si="8"/>
        <v>47</v>
      </c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0.064871</v>
      </c>
      <c r="L53" s="96">
        <v>4.82734111309966E-4</v>
      </c>
      <c r="M53" s="95">
        <f t="shared" si="1"/>
        <v>64871</v>
      </c>
      <c r="N53" s="95">
        <v>224.387060645</v>
      </c>
      <c r="O53" s="95">
        <v>65830.6328125</v>
      </c>
      <c r="P53" s="95">
        <v>668.078902974</v>
      </c>
      <c r="Q53" s="97">
        <f t="shared" si="2"/>
        <v>0.01479294003</v>
      </c>
      <c r="R53" s="98">
        <f t="shared" si="3"/>
        <v>1.361655366</v>
      </c>
      <c r="S53" s="94"/>
      <c r="T53" s="99">
        <f t="shared" si="14"/>
        <v>116722.745</v>
      </c>
      <c r="U53" s="99" t="str">
        <f t="shared" si="15"/>
        <v>#DIV/0!</v>
      </c>
      <c r="V53" s="95">
        <f t="shared" si="6"/>
        <v>0.9854227011</v>
      </c>
      <c r="W53" s="94">
        <f t="shared" si="7"/>
        <v>1</v>
      </c>
      <c r="X53" s="94">
        <f t="shared" si="8"/>
        <v>48</v>
      </c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0.137794999999999</v>
      </c>
      <c r="L54" s="96">
        <v>0.00125004210455404</v>
      </c>
      <c r="M54" s="95">
        <f t="shared" si="1"/>
        <v>137795</v>
      </c>
      <c r="N54" s="95">
        <v>336.448579487</v>
      </c>
      <c r="O54" s="95">
        <v>140050.640625</v>
      </c>
      <c r="P54" s="95">
        <v>1479.425926377</v>
      </c>
      <c r="Q54" s="97">
        <f t="shared" si="2"/>
        <v>0.01636953899</v>
      </c>
      <c r="R54" s="98">
        <f t="shared" si="3"/>
        <v>1.486711847</v>
      </c>
      <c r="S54" s="94"/>
      <c r="T54" s="99">
        <f t="shared" si="14"/>
        <v>247935.297</v>
      </c>
      <c r="U54" s="99" t="str">
        <f t="shared" si="15"/>
        <v>#DIV/0!</v>
      </c>
      <c r="V54" s="95">
        <f t="shared" si="6"/>
        <v>0.9838941071</v>
      </c>
      <c r="W54" s="94">
        <f t="shared" si="7"/>
        <v>1</v>
      </c>
      <c r="X54" s="94">
        <f t="shared" si="8"/>
        <v>49</v>
      </c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9.6011E-6</v>
      </c>
      <c r="L55" s="103">
        <v>1.02316991094669E-7</v>
      </c>
      <c r="M55" s="102">
        <f t="shared" si="1"/>
        <v>9.6011</v>
      </c>
      <c r="N55" s="102">
        <v>0.034196929</v>
      </c>
      <c r="O55" s="102">
        <v>9.547522545</v>
      </c>
      <c r="P55" s="102">
        <v>0.035873836</v>
      </c>
      <c r="Q55" s="104">
        <f t="shared" si="2"/>
        <v>-0.005580345481</v>
      </c>
      <c r="R55" s="106">
        <f t="shared" si="3"/>
        <v>-1.081025378</v>
      </c>
      <c r="S55" s="101"/>
      <c r="T55" s="108">
        <f t="shared" si="14"/>
        <v>17.27531173</v>
      </c>
      <c r="U55" s="108" t="str">
        <f t="shared" ref="U55:U61" si="16">K55/$K$56</f>
        <v>#DIV/0!</v>
      </c>
      <c r="V55" s="102">
        <f t="shared" si="6"/>
        <v>1.00561166</v>
      </c>
      <c r="W55" s="101">
        <f t="shared" si="7"/>
        <v>1</v>
      </c>
      <c r="X55" s="101">
        <f t="shared" si="8"/>
        <v>50</v>
      </c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/>
      <c r="L56" s="103"/>
      <c r="M56" s="102">
        <f t="shared" si="1"/>
        <v>0</v>
      </c>
      <c r="N56" s="102"/>
      <c r="O56" s="102"/>
      <c r="P56" s="102"/>
      <c r="Q56" s="104" t="str">
        <f t="shared" si="2"/>
        <v>#DIV/0!</v>
      </c>
      <c r="R56" s="106" t="str">
        <f t="shared" si="3"/>
        <v>#DIV/0!</v>
      </c>
      <c r="S56" s="101"/>
      <c r="T56" s="108">
        <f t="shared" si="14"/>
        <v>0</v>
      </c>
      <c r="U56" s="108" t="str">
        <f t="shared" si="16"/>
        <v>#DIV/0!</v>
      </c>
      <c r="V56" s="101" t="str">
        <f t="shared" si="6"/>
        <v>#DIV/0!</v>
      </c>
      <c r="W56" s="101" t="str">
        <f t="shared" si="7"/>
        <v>#DIV/0!</v>
      </c>
      <c r="X56" s="101">
        <f t="shared" si="8"/>
        <v>51</v>
      </c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/>
      <c r="L57" s="103"/>
      <c r="M57" s="102">
        <f t="shared" si="1"/>
        <v>0</v>
      </c>
      <c r="N57" s="102"/>
      <c r="O57" s="102"/>
      <c r="P57" s="102"/>
      <c r="Q57" s="104" t="str">
        <f t="shared" si="2"/>
        <v>#DIV/0!</v>
      </c>
      <c r="R57" s="106" t="str">
        <f t="shared" si="3"/>
        <v>#DIV/0!</v>
      </c>
      <c r="S57" s="101"/>
      <c r="T57" s="108">
        <f t="shared" si="14"/>
        <v>0</v>
      </c>
      <c r="U57" s="108" t="str">
        <f t="shared" si="16"/>
        <v>#DIV/0!</v>
      </c>
      <c r="V57" s="101" t="str">
        <f t="shared" si="6"/>
        <v>#DIV/0!</v>
      </c>
      <c r="W57" s="101" t="str">
        <f t="shared" si="7"/>
        <v>#DIV/0!</v>
      </c>
      <c r="X57" s="101">
        <f t="shared" si="8"/>
        <v>52</v>
      </c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/>
      <c r="L58" s="103"/>
      <c r="M58" s="102">
        <f t="shared" si="1"/>
        <v>0</v>
      </c>
      <c r="N58" s="102"/>
      <c r="O58" s="102"/>
      <c r="P58" s="102"/>
      <c r="Q58" s="104" t="str">
        <f t="shared" si="2"/>
        <v>#DIV/0!</v>
      </c>
      <c r="R58" s="106" t="str">
        <f t="shared" si="3"/>
        <v>#DIV/0!</v>
      </c>
      <c r="S58" s="101"/>
      <c r="T58" s="108">
        <f t="shared" si="14"/>
        <v>0</v>
      </c>
      <c r="U58" s="108" t="str">
        <f t="shared" si="16"/>
        <v>#DIV/0!</v>
      </c>
      <c r="V58" s="101" t="str">
        <f t="shared" si="6"/>
        <v>#DIV/0!</v>
      </c>
      <c r="W58" s="101" t="str">
        <f t="shared" si="7"/>
        <v>#DIV/0!</v>
      </c>
      <c r="X58" s="101">
        <f t="shared" si="8"/>
        <v>53</v>
      </c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/>
      <c r="L59" s="103"/>
      <c r="M59" s="102">
        <f t="shared" si="1"/>
        <v>0</v>
      </c>
      <c r="N59" s="102"/>
      <c r="O59" s="102"/>
      <c r="P59" s="102"/>
      <c r="Q59" s="104" t="str">
        <f t="shared" si="2"/>
        <v>#DIV/0!</v>
      </c>
      <c r="R59" s="106" t="str">
        <f t="shared" si="3"/>
        <v>#DIV/0!</v>
      </c>
      <c r="S59" s="101"/>
      <c r="T59" s="108">
        <f t="shared" si="14"/>
        <v>0</v>
      </c>
      <c r="U59" s="108" t="str">
        <f t="shared" si="16"/>
        <v>#DIV/0!</v>
      </c>
      <c r="V59" s="101" t="str">
        <f t="shared" si="6"/>
        <v>#DIV/0!</v>
      </c>
      <c r="W59" s="101" t="str">
        <f t="shared" si="7"/>
        <v>#DIV/0!</v>
      </c>
      <c r="X59" s="101">
        <f t="shared" si="8"/>
        <v>54</v>
      </c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/>
      <c r="L60" s="103"/>
      <c r="M60" s="102">
        <f t="shared" si="1"/>
        <v>0</v>
      </c>
      <c r="N60" s="102"/>
      <c r="O60" s="102"/>
      <c r="P60" s="102"/>
      <c r="Q60" s="104" t="str">
        <f t="shared" si="2"/>
        <v>#DIV/0!</v>
      </c>
      <c r="R60" s="106" t="str">
        <f t="shared" si="3"/>
        <v>#DIV/0!</v>
      </c>
      <c r="S60" s="101"/>
      <c r="T60" s="108">
        <f t="shared" si="14"/>
        <v>0</v>
      </c>
      <c r="U60" s="108" t="str">
        <f t="shared" si="16"/>
        <v>#DIV/0!</v>
      </c>
      <c r="V60" s="101" t="str">
        <f t="shared" si="6"/>
        <v>#DIV/0!</v>
      </c>
      <c r="W60" s="101" t="str">
        <f t="shared" si="7"/>
        <v>#DIV/0!</v>
      </c>
      <c r="X60" s="101">
        <f t="shared" si="8"/>
        <v>55</v>
      </c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0.3368</v>
      </c>
      <c r="L61" s="103">
        <v>0.00439593113302697</v>
      </c>
      <c r="M61" s="102">
        <f t="shared" si="1"/>
        <v>336800</v>
      </c>
      <c r="N61" s="102">
        <v>822.911172496</v>
      </c>
      <c r="O61" s="102">
        <v>341881.375</v>
      </c>
      <c r="P61" s="102">
        <v>3611.879721687</v>
      </c>
      <c r="Q61" s="104">
        <f t="shared" si="2"/>
        <v>0.01508721793</v>
      </c>
      <c r="R61" s="106">
        <f t="shared" si="3"/>
        <v>1.371699446</v>
      </c>
      <c r="S61" s="101"/>
      <c r="T61" s="108">
        <f t="shared" si="14"/>
        <v>606006.0817</v>
      </c>
      <c r="U61" s="108" t="str">
        <f t="shared" si="16"/>
        <v>#DIV/0!</v>
      </c>
      <c r="V61" s="102">
        <f t="shared" si="6"/>
        <v>0.985137023</v>
      </c>
      <c r="W61" s="101">
        <f t="shared" si="7"/>
        <v>1</v>
      </c>
      <c r="X61" s="101">
        <f t="shared" si="8"/>
        <v>56</v>
      </c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/>
      <c r="L62" s="117"/>
      <c r="M62" s="116">
        <f t="shared" si="1"/>
        <v>0</v>
      </c>
      <c r="N62" s="116"/>
      <c r="O62" s="116"/>
      <c r="P62" s="116"/>
      <c r="Q62" s="118" t="str">
        <f t="shared" si="2"/>
        <v>#DIV/0!</v>
      </c>
      <c r="R62" s="119" t="str">
        <f t="shared" si="3"/>
        <v>#DIV/0!</v>
      </c>
      <c r="T62" s="120">
        <f t="shared" si="14"/>
        <v>0</v>
      </c>
      <c r="V62" s="121" t="str">
        <f t="shared" si="6"/>
        <v>#DIV/0!</v>
      </c>
      <c r="W62" s="121" t="str">
        <f t="shared" si="7"/>
        <v>#DIV/0!</v>
      </c>
      <c r="X62" s="121">
        <f t="shared" si="8"/>
        <v>57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/>
      <c r="L63" s="117"/>
      <c r="M63" s="116">
        <f t="shared" si="1"/>
        <v>0</v>
      </c>
      <c r="N63" s="116"/>
      <c r="O63" s="116"/>
      <c r="P63" s="116"/>
      <c r="Q63" s="118" t="str">
        <f t="shared" si="2"/>
        <v>#DIV/0!</v>
      </c>
      <c r="R63" s="119" t="str">
        <f t="shared" si="3"/>
        <v>#DIV/0!</v>
      </c>
      <c r="T63" s="120">
        <f t="shared" si="14"/>
        <v>0</v>
      </c>
      <c r="V63" s="121" t="str">
        <f t="shared" si="6"/>
        <v>#DIV/0!</v>
      </c>
      <c r="W63" s="121" t="str">
        <f t="shared" si="7"/>
        <v>#DIV/0!</v>
      </c>
      <c r="X63" s="121">
        <f t="shared" si="8"/>
        <v>58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/>
      <c r="L64" s="117"/>
      <c r="M64" s="116">
        <f t="shared" si="1"/>
        <v>0</v>
      </c>
      <c r="N64" s="116"/>
      <c r="O64" s="116"/>
      <c r="P64" s="116"/>
      <c r="Q64" s="118" t="str">
        <f t="shared" si="2"/>
        <v>#DIV/0!</v>
      </c>
      <c r="R64" s="119" t="str">
        <f t="shared" si="3"/>
        <v>#DIV/0!</v>
      </c>
      <c r="T64" s="120">
        <f t="shared" si="14"/>
        <v>0</v>
      </c>
      <c r="V64" s="121" t="str">
        <f t="shared" si="6"/>
        <v>#DIV/0!</v>
      </c>
      <c r="W64" s="121" t="str">
        <f t="shared" si="7"/>
        <v>#DIV/0!</v>
      </c>
      <c r="X64" s="121">
        <f t="shared" si="8"/>
        <v>59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/>
      <c r="L65" s="117"/>
      <c r="M65" s="116">
        <f t="shared" si="1"/>
        <v>0</v>
      </c>
      <c r="N65" s="116"/>
      <c r="O65" s="116"/>
      <c r="P65" s="116"/>
      <c r="Q65" s="118" t="str">
        <f t="shared" si="2"/>
        <v>#DIV/0!</v>
      </c>
      <c r="R65" s="119" t="str">
        <f t="shared" si="3"/>
        <v>#DIV/0!</v>
      </c>
      <c r="T65" s="120">
        <f t="shared" si="14"/>
        <v>0</v>
      </c>
      <c r="V65" s="121" t="str">
        <f t="shared" si="6"/>
        <v>#DIV/0!</v>
      </c>
      <c r="W65" s="121" t="str">
        <f t="shared" si="7"/>
        <v>#DIV/0!</v>
      </c>
      <c r="X65" s="121">
        <f t="shared" si="8"/>
        <v>60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/>
      <c r="L66" s="117"/>
      <c r="M66" s="116">
        <f t="shared" si="1"/>
        <v>0</v>
      </c>
      <c r="N66" s="116"/>
      <c r="O66" s="116"/>
      <c r="P66" s="116"/>
      <c r="Q66" s="118" t="str">
        <f t="shared" si="2"/>
        <v>#DIV/0!</v>
      </c>
      <c r="R66" s="119" t="str">
        <f t="shared" si="3"/>
        <v>#DIV/0!</v>
      </c>
      <c r="T66" s="120">
        <f t="shared" si="14"/>
        <v>0</v>
      </c>
      <c r="V66" s="121" t="str">
        <f t="shared" si="6"/>
        <v>#DIV/0!</v>
      </c>
      <c r="W66" s="121" t="str">
        <f t="shared" si="7"/>
        <v>#DIV/0!</v>
      </c>
      <c r="X66" s="121">
        <f t="shared" si="8"/>
        <v>61</v>
      </c>
    </row>
    <row r="67">
      <c r="K67" s="1"/>
      <c r="L67" s="2"/>
      <c r="M67" s="1"/>
      <c r="O67" s="1"/>
      <c r="W67" s="179" t="str">
        <f>(SUM(W6:W61)-1)/55</f>
        <v>#DIV/0!</v>
      </c>
      <c r="X67" s="179"/>
    </row>
    <row r="68">
      <c r="K68" s="1"/>
      <c r="L68" s="2"/>
      <c r="M68" s="1"/>
      <c r="N68" s="1"/>
      <c r="O68" s="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4" t="s">
        <v>61</v>
      </c>
      <c r="B4" s="4" t="s">
        <v>62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</row>
    <row r="5">
      <c r="A5" s="4" t="s">
        <v>68</v>
      </c>
      <c r="B5" s="4">
        <v>537131.0</v>
      </c>
      <c r="C5" s="4">
        <v>400000.0</v>
      </c>
      <c r="D5" s="4">
        <v>9807.0</v>
      </c>
      <c r="E5" s="198">
        <f t="shared" ref="E5:E12" si="1">D5/C5</f>
        <v>0.0245175</v>
      </c>
      <c r="F5" s="199">
        <v>5.38259999999999E-4</v>
      </c>
      <c r="G5" s="118">
        <v>0.8513071</v>
      </c>
    </row>
    <row r="6">
      <c r="A6" s="4" t="s">
        <v>69</v>
      </c>
      <c r="B6" s="4" t="s">
        <v>70</v>
      </c>
      <c r="C6" s="4">
        <v>400000.0</v>
      </c>
      <c r="D6" s="4">
        <v>724.0</v>
      </c>
      <c r="E6" s="198">
        <f t="shared" si="1"/>
        <v>0.00181</v>
      </c>
      <c r="F6" s="200">
        <f t="shared" ref="F6:G6" si="2">F5</f>
        <v>0.00053826</v>
      </c>
      <c r="G6" s="120">
        <f t="shared" si="2"/>
        <v>0.8513071</v>
      </c>
    </row>
    <row r="7">
      <c r="B7" s="4">
        <v>537132.0</v>
      </c>
      <c r="C7" s="4">
        <v>312000.0</v>
      </c>
      <c r="D7" s="4">
        <v>1655.0</v>
      </c>
      <c r="E7" s="198">
        <f t="shared" si="1"/>
        <v>0.005304487179</v>
      </c>
      <c r="F7" s="199">
        <v>5.3916E-4</v>
      </c>
      <c r="G7" s="118">
        <v>0.14941</v>
      </c>
    </row>
    <row r="8">
      <c r="B8" s="4" t="s">
        <v>71</v>
      </c>
      <c r="C8" s="4">
        <v>312000.0</v>
      </c>
      <c r="D8" s="4">
        <v>275.0</v>
      </c>
      <c r="E8" s="198">
        <f t="shared" si="1"/>
        <v>0.0008814102564</v>
      </c>
      <c r="F8" s="200">
        <f t="shared" ref="F8:G8" si="3">F7</f>
        <v>0.00053916</v>
      </c>
      <c r="G8" s="120">
        <f t="shared" si="3"/>
        <v>0.14941</v>
      </c>
    </row>
    <row r="9">
      <c r="B9" s="4">
        <v>537137.0</v>
      </c>
      <c r="C9" s="4">
        <v>100000.0</v>
      </c>
      <c r="D9" s="4">
        <v>612.0</v>
      </c>
      <c r="E9" s="198">
        <f t="shared" si="1"/>
        <v>0.00612</v>
      </c>
      <c r="F9" s="201">
        <v>6.3476E-5</v>
      </c>
      <c r="G9" s="118">
        <v>0.8404492</v>
      </c>
    </row>
    <row r="10">
      <c r="B10" s="4" t="s">
        <v>72</v>
      </c>
      <c r="C10" s="4">
        <v>100000.0</v>
      </c>
      <c r="D10" s="4">
        <v>122.0</v>
      </c>
      <c r="E10" s="198">
        <f t="shared" si="1"/>
        <v>0.00122</v>
      </c>
      <c r="F10" s="203">
        <f t="shared" ref="F10:G10" si="4">F9</f>
        <v>0.000063476</v>
      </c>
      <c r="G10" s="120">
        <f t="shared" si="4"/>
        <v>0.8404492</v>
      </c>
    </row>
    <row r="11">
      <c r="B11" s="4">
        <v>537138.0</v>
      </c>
      <c r="C11" s="4">
        <v>188000.0</v>
      </c>
      <c r="D11" s="4">
        <v>233.0</v>
      </c>
      <c r="E11" s="198">
        <f t="shared" si="1"/>
        <v>0.001239361702</v>
      </c>
      <c r="F11" s="201">
        <v>6.3505E-5</v>
      </c>
      <c r="G11" s="118">
        <v>0.1600274</v>
      </c>
    </row>
    <row r="12">
      <c r="B12" s="4" t="s">
        <v>73</v>
      </c>
      <c r="C12" s="4">
        <v>188000.0</v>
      </c>
      <c r="D12" s="4">
        <v>140.0</v>
      </c>
      <c r="E12" s="198">
        <f t="shared" si="1"/>
        <v>0.0007446808511</v>
      </c>
      <c r="F12" s="203">
        <f t="shared" ref="F12:G12" si="5">F11</f>
        <v>0.000063505</v>
      </c>
      <c r="G12" s="120">
        <f t="shared" si="5"/>
        <v>0.1600274</v>
      </c>
    </row>
    <row r="14">
      <c r="B14" s="4" t="s">
        <v>74</v>
      </c>
      <c r="C14" s="4">
        <v>0.65</v>
      </c>
    </row>
    <row r="17">
      <c r="C17" s="4" t="s">
        <v>75</v>
      </c>
      <c r="G17" s="4" t="s">
        <v>76</v>
      </c>
    </row>
    <row r="18">
      <c r="A18" s="4" t="s">
        <v>77</v>
      </c>
      <c r="B18" s="4" t="s">
        <v>41</v>
      </c>
      <c r="C18" s="4">
        <v>1000000.0</v>
      </c>
      <c r="D18" s="4" t="s">
        <v>78</v>
      </c>
      <c r="E18" s="204">
        <f>$C$18*$C$14*G5</f>
        <v>553349.615</v>
      </c>
      <c r="F18" s="204">
        <f>E18*E5</f>
        <v>13566.74919</v>
      </c>
      <c r="G18" s="122">
        <f t="shared" ref="G18:G25" si="6">D5/F18</f>
        <v>0.722870296</v>
      </c>
    </row>
    <row r="19">
      <c r="F19" s="204">
        <f>E18*E6</f>
        <v>1001.562803</v>
      </c>
      <c r="G19" s="122">
        <f t="shared" si="6"/>
        <v>0.722870296</v>
      </c>
    </row>
    <row r="20">
      <c r="D20" s="4" t="s">
        <v>79</v>
      </c>
      <c r="E20" s="204">
        <f>$C$18*$C$14*G7</f>
        <v>97116.5</v>
      </c>
      <c r="F20" s="204">
        <f>E20*E7</f>
        <v>515.1532292</v>
      </c>
      <c r="G20" s="122">
        <f t="shared" si="6"/>
        <v>3.21263637</v>
      </c>
    </row>
    <row r="21">
      <c r="F21" s="204">
        <f>E20*E8</f>
        <v>85.59947917</v>
      </c>
      <c r="G21" s="122">
        <f t="shared" si="6"/>
        <v>3.21263637</v>
      </c>
    </row>
    <row r="22">
      <c r="B22" s="4" t="s">
        <v>47</v>
      </c>
      <c r="C22" s="4">
        <v>1000000.0</v>
      </c>
      <c r="D22" s="4" t="s">
        <v>80</v>
      </c>
      <c r="E22" s="204">
        <f>$C$22*$C$14*G9</f>
        <v>546291.98</v>
      </c>
      <c r="F22" s="204">
        <f>E22*E9</f>
        <v>3343.306918</v>
      </c>
      <c r="G22" s="122">
        <f t="shared" si="6"/>
        <v>0.1830522938</v>
      </c>
    </row>
    <row r="23">
      <c r="F23" s="204">
        <f>E22*E10</f>
        <v>666.4762156</v>
      </c>
      <c r="G23" s="122">
        <f t="shared" si="6"/>
        <v>0.1830522938</v>
      </c>
    </row>
    <row r="24">
      <c r="D24" s="4" t="s">
        <v>81</v>
      </c>
      <c r="E24" s="204">
        <f>$C$22*$C$14*G11</f>
        <v>104017.81</v>
      </c>
      <c r="F24" s="204">
        <f>E24*E11</f>
        <v>128.9156901</v>
      </c>
      <c r="G24" s="122">
        <f t="shared" si="6"/>
        <v>1.807382793</v>
      </c>
    </row>
    <row r="25">
      <c r="F25" s="204">
        <f>E24*E12</f>
        <v>77.46007128</v>
      </c>
      <c r="G25" s="122">
        <f t="shared" si="6"/>
        <v>1.807382793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</row>
    <row r="6">
      <c r="A6" s="8"/>
      <c r="B6" s="8">
        <v>1.0</v>
      </c>
      <c r="C6" s="8">
        <v>4.0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5.3176E-11</v>
      </c>
      <c r="L6" s="11">
        <v>1.04801611522809E-12</v>
      </c>
      <c r="M6" s="10">
        <f t="shared" ref="M6:M7" si="1">K6*1000000</f>
        <v>0.000053176</v>
      </c>
      <c r="N6" s="10">
        <v>1.0E-6</v>
      </c>
      <c r="O6" s="10">
        <v>5.2E-5</v>
      </c>
      <c r="P6" s="8">
        <v>1.0E-6</v>
      </c>
      <c r="Q6" s="12">
        <f t="shared" ref="Q6:Q7" si="2">(O6-M6)/M6</f>
        <v>-0.02211523996</v>
      </c>
      <c r="R6" s="13">
        <f t="shared" ref="R6:R7" si="3">(O6-M6)/sqrt(N6*N6+P6*P6)</f>
        <v>-0.8315575747</v>
      </c>
      <c r="S6" s="8">
        <v>36353.0</v>
      </c>
      <c r="T6" s="14">
        <f t="shared" ref="T6:T7" si="4">K6/$K$14</f>
        <v>0.005312579612</v>
      </c>
      <c r="U6" s="14">
        <f t="shared" ref="U6:U7" si="5">K6/$K$7</f>
        <v>0.0854411363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>
      <c r="A7" s="8"/>
      <c r="B7" s="8">
        <v>2.0</v>
      </c>
      <c r="C7" s="8">
        <v>4.0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6.2237E-10</v>
      </c>
      <c r="L7" s="11">
        <v>1.61140414959541E-11</v>
      </c>
      <c r="M7" s="10">
        <f t="shared" si="1"/>
        <v>0.00062237</v>
      </c>
      <c r="N7" s="10">
        <v>7.0E-6</v>
      </c>
      <c r="O7" s="10">
        <v>6.26E-4</v>
      </c>
      <c r="P7" s="8">
        <v>4.0E-6</v>
      </c>
      <c r="Q7" s="12">
        <f t="shared" si="2"/>
        <v>0.005832543342</v>
      </c>
      <c r="R7" s="13">
        <f t="shared" si="3"/>
        <v>0.4502460866</v>
      </c>
      <c r="S7" s="8">
        <v>40000.0</v>
      </c>
      <c r="T7" s="14">
        <f t="shared" si="4"/>
        <v>0.06217824156</v>
      </c>
      <c r="U7" s="14">
        <f t="shared" si="5"/>
        <v>1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>
      <c r="A8" s="8"/>
      <c r="B8" s="8">
        <v>3.0</v>
      </c>
      <c r="C8" s="8">
        <v>4.0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/>
      <c r="L8" s="11"/>
      <c r="M8" s="10"/>
      <c r="N8" s="10"/>
      <c r="O8" s="10"/>
      <c r="P8" s="8"/>
      <c r="Q8" s="12"/>
      <c r="R8" s="13"/>
      <c r="S8" s="8"/>
      <c r="T8" s="14"/>
      <c r="U8" s="14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>
      <c r="A9" s="8"/>
      <c r="B9" s="8">
        <v>4.0</v>
      </c>
      <c r="C9" s="8">
        <v>4.0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/>
      <c r="L9" s="11"/>
      <c r="M9" s="10"/>
      <c r="N9" s="10"/>
      <c r="O9" s="10"/>
      <c r="P9" s="8"/>
      <c r="Q9" s="12"/>
      <c r="R9" s="13"/>
      <c r="S9" s="8"/>
      <c r="T9" s="14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>
      <c r="A10" s="8"/>
      <c r="B10" s="8">
        <v>5.0</v>
      </c>
      <c r="C10" s="8">
        <v>4.0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/>
      <c r="L10" s="11"/>
      <c r="M10" s="10"/>
      <c r="N10" s="10"/>
      <c r="O10" s="10"/>
      <c r="P10" s="8"/>
      <c r="Q10" s="12"/>
      <c r="R10" s="13"/>
      <c r="S10" s="8"/>
      <c r="T10" s="14"/>
      <c r="U10" s="14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>
      <c r="A11" s="8"/>
      <c r="B11" s="8">
        <v>6.0</v>
      </c>
      <c r="C11" s="8">
        <v>4.0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/>
      <c r="L11" s="11"/>
      <c r="M11" s="10"/>
      <c r="N11" s="10"/>
      <c r="O11" s="10"/>
      <c r="P11" s="8"/>
      <c r="Q11" s="12"/>
      <c r="R11" s="13"/>
      <c r="S11" s="8"/>
      <c r="T11" s="14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>
      <c r="A12" s="8"/>
      <c r="B12" s="8">
        <v>7.0</v>
      </c>
      <c r="C12" s="8">
        <v>4.0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5.862E-7</v>
      </c>
      <c r="L12" s="11">
        <v>2.12987219230534E-8</v>
      </c>
      <c r="M12" s="10">
        <f t="shared" ref="M12:M21" si="6">K12*1000000</f>
        <v>0.5862</v>
      </c>
      <c r="N12" s="10">
        <v>0.006462</v>
      </c>
      <c r="O12" s="10">
        <v>0.58418</v>
      </c>
      <c r="P12" s="202">
        <v>0.010004</v>
      </c>
      <c r="Q12" s="12">
        <f t="shared" ref="Q12:Q21" si="7">(O12-M12)/M12</f>
        <v>-0.003445922893</v>
      </c>
      <c r="R12" s="13">
        <f t="shared" ref="R12:R21" si="8">(O12-M12)/sqrt(N12*N12+P12*P12)</f>
        <v>-0.169611735</v>
      </c>
      <c r="S12" s="8">
        <v>40000.0</v>
      </c>
      <c r="T12" s="14">
        <f t="shared" ref="T12:T21" si="9">K12/$K$14</f>
        <v>58.5646564</v>
      </c>
      <c r="U12" s="14">
        <f>K12/$K$7</f>
        <v>941.8834455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>
      <c r="A13" s="22"/>
      <c r="B13" s="22">
        <v>8.0</v>
      </c>
      <c r="C13" s="22">
        <v>4.0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8.3381E-10</v>
      </c>
      <c r="L13" s="24">
        <v>1.35872039475055E-11</v>
      </c>
      <c r="M13" s="23">
        <f t="shared" si="6"/>
        <v>0.00083381</v>
      </c>
      <c r="N13" s="23">
        <v>8.9E-5</v>
      </c>
      <c r="O13" s="23">
        <v>8.3E-4</v>
      </c>
      <c r="P13" s="22">
        <v>1.0E-5</v>
      </c>
      <c r="Q13" s="26">
        <f t="shared" si="7"/>
        <v>-0.004569386311</v>
      </c>
      <c r="R13" s="27">
        <f t="shared" si="8"/>
        <v>-0.04254129611</v>
      </c>
      <c r="S13" s="22">
        <v>36353.0</v>
      </c>
      <c r="T13" s="28">
        <f t="shared" si="9"/>
        <v>0.08330227935</v>
      </c>
      <c r="U13" s="28">
        <f t="shared" ref="U13:U19" si="10">K13/$K$14</f>
        <v>0.08330227935</v>
      </c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29" t="s">
        <v>21</v>
      </c>
      <c r="B14" s="29">
        <v>9.0</v>
      </c>
      <c r="C14" s="29">
        <v>4.0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1.00094499999999E-8</v>
      </c>
      <c r="L14" s="31">
        <v>2.88507027866229E-10</v>
      </c>
      <c r="M14" s="30">
        <f t="shared" si="6"/>
        <v>0.01000945</v>
      </c>
      <c r="N14" s="30">
        <v>5.7E-5</v>
      </c>
      <c r="O14" s="30">
        <v>0.01001</v>
      </c>
      <c r="P14" s="29">
        <v>5.7E-5</v>
      </c>
      <c r="Q14" s="32">
        <f t="shared" si="7"/>
        <v>0.00005494807408</v>
      </c>
      <c r="R14" s="34">
        <f t="shared" si="8"/>
        <v>0.006822960171</v>
      </c>
      <c r="S14" s="29">
        <v>40000.0</v>
      </c>
      <c r="T14" s="35">
        <f t="shared" si="9"/>
        <v>1</v>
      </c>
      <c r="U14" s="35">
        <f t="shared" si="10"/>
        <v>1</v>
      </c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</row>
    <row r="15">
      <c r="A15" s="22"/>
      <c r="B15" s="22">
        <v>10.0</v>
      </c>
      <c r="C15" s="22">
        <v>4.0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1.1309E-7</v>
      </c>
      <c r="L15" s="24">
        <v>2.7902409294619E-9</v>
      </c>
      <c r="M15" s="23">
        <f t="shared" si="6"/>
        <v>0.11309</v>
      </c>
      <c r="N15" s="23">
        <v>0.001265</v>
      </c>
      <c r="O15" s="23">
        <v>0.114425</v>
      </c>
      <c r="P15" s="22">
        <v>0.001043</v>
      </c>
      <c r="Q15" s="26">
        <f t="shared" si="7"/>
        <v>0.01180475727</v>
      </c>
      <c r="R15" s="27">
        <f t="shared" si="8"/>
        <v>0.8142554153</v>
      </c>
      <c r="S15" s="22">
        <v>40000.0</v>
      </c>
      <c r="T15" s="28">
        <f t="shared" si="9"/>
        <v>11.29832308</v>
      </c>
      <c r="U15" s="28">
        <f t="shared" si="10"/>
        <v>11.29832308</v>
      </c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22"/>
      <c r="B16" s="22">
        <v>11.0</v>
      </c>
      <c r="C16" s="22">
        <v>4.0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5.446E-7</v>
      </c>
      <c r="L16" s="24">
        <v>1.70440605490593E-8</v>
      </c>
      <c r="M16" s="23">
        <f t="shared" si="6"/>
        <v>0.5446</v>
      </c>
      <c r="N16" s="23">
        <v>0.006043</v>
      </c>
      <c r="O16" s="23">
        <v>0.546273</v>
      </c>
      <c r="P16" s="22">
        <v>0.007183</v>
      </c>
      <c r="Q16" s="26">
        <f t="shared" si="7"/>
        <v>0.003071979434</v>
      </c>
      <c r="R16" s="27">
        <f t="shared" si="8"/>
        <v>0.1782276636</v>
      </c>
      <c r="S16" s="22">
        <v>40000.0</v>
      </c>
      <c r="T16" s="28">
        <f t="shared" si="9"/>
        <v>54.40858389</v>
      </c>
      <c r="U16" s="28">
        <f t="shared" si="10"/>
        <v>54.40858389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22"/>
      <c r="B17" s="22">
        <v>12.0</v>
      </c>
      <c r="C17" s="22">
        <v>4.0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1.7556E-6</v>
      </c>
      <c r="L17" s="24">
        <v>5.85532995559506E-8</v>
      </c>
      <c r="M17" s="23">
        <f t="shared" si="6"/>
        <v>1.7556</v>
      </c>
      <c r="N17" s="23">
        <v>0.019274</v>
      </c>
      <c r="O17" s="23">
        <v>1.750898</v>
      </c>
      <c r="P17" s="22">
        <v>0.026816</v>
      </c>
      <c r="Q17" s="26">
        <f t="shared" si="7"/>
        <v>-0.002678286626</v>
      </c>
      <c r="R17" s="27">
        <f t="shared" si="8"/>
        <v>-0.1423812752</v>
      </c>
      <c r="S17" s="22">
        <v>40000.0</v>
      </c>
      <c r="T17" s="28">
        <f t="shared" si="9"/>
        <v>175.3942524</v>
      </c>
      <c r="U17" s="28">
        <f t="shared" si="10"/>
        <v>175.3942524</v>
      </c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22"/>
      <c r="B18" s="22">
        <v>13.0</v>
      </c>
      <c r="C18" s="22">
        <v>4.0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4.4278E-6</v>
      </c>
      <c r="L18" s="24">
        <v>1.16166355810201E-7</v>
      </c>
      <c r="M18" s="23">
        <f t="shared" si="6"/>
        <v>4.4278</v>
      </c>
      <c r="N18" s="23">
        <v>0.04889</v>
      </c>
      <c r="O18" s="23">
        <v>4.391102</v>
      </c>
      <c r="P18" s="22">
        <v>0.072302</v>
      </c>
      <c r="Q18" s="26">
        <f t="shared" si="7"/>
        <v>-0.008288088893</v>
      </c>
      <c r="R18" s="27">
        <f t="shared" si="8"/>
        <v>-0.420462522</v>
      </c>
      <c r="S18" s="22">
        <v>40000.0</v>
      </c>
      <c r="T18" s="28">
        <f t="shared" si="9"/>
        <v>442.3619679</v>
      </c>
      <c r="U18" s="28">
        <f t="shared" si="10"/>
        <v>442.3619679</v>
      </c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22"/>
      <c r="B19" s="22">
        <v>14.0</v>
      </c>
      <c r="C19" s="22">
        <v>4.0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8.94839999999999E-6</v>
      </c>
      <c r="L19" s="24">
        <v>3.27708271349856E-7</v>
      </c>
      <c r="M19" s="23">
        <f t="shared" si="6"/>
        <v>8.9484</v>
      </c>
      <c r="N19" s="23">
        <v>0.098058</v>
      </c>
      <c r="O19" s="23">
        <v>9.346884</v>
      </c>
      <c r="P19" s="22">
        <v>0.160059</v>
      </c>
      <c r="Q19" s="26">
        <f t="shared" si="7"/>
        <v>0.04453131286</v>
      </c>
      <c r="R19" s="27">
        <f t="shared" si="8"/>
        <v>2.122894161</v>
      </c>
      <c r="S19" s="22">
        <v>40000.0</v>
      </c>
      <c r="T19" s="28">
        <f t="shared" si="9"/>
        <v>893.9951746</v>
      </c>
      <c r="U19" s="28">
        <f t="shared" si="10"/>
        <v>893.9951746</v>
      </c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37"/>
      <c r="B20" s="37">
        <v>15.0</v>
      </c>
      <c r="C20" s="37">
        <v>4.0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4.283E-9</v>
      </c>
      <c r="L20" s="39">
        <v>1.29108911819095E-10</v>
      </c>
      <c r="M20" s="38">
        <f t="shared" si="6"/>
        <v>0.004283</v>
      </c>
      <c r="N20" s="38">
        <v>4.6E-5</v>
      </c>
      <c r="O20" s="38">
        <v>0.004202</v>
      </c>
      <c r="P20" s="37">
        <v>5.1E-5</v>
      </c>
      <c r="Q20" s="40">
        <f t="shared" si="7"/>
        <v>-0.01891197759</v>
      </c>
      <c r="R20" s="41">
        <f t="shared" si="8"/>
        <v>-1.179375443</v>
      </c>
      <c r="S20" s="37">
        <v>36353.0</v>
      </c>
      <c r="T20" s="42">
        <f t="shared" si="9"/>
        <v>0.4278956386</v>
      </c>
      <c r="U20" s="42">
        <f t="shared" ref="U20:U21" si="11">K20/$K$21</f>
        <v>0.08370302331</v>
      </c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</row>
    <row r="21">
      <c r="A21" s="37"/>
      <c r="B21" s="37">
        <v>16.0</v>
      </c>
      <c r="C21" s="37">
        <v>4.0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5.11689999999999E-8</v>
      </c>
      <c r="L21" s="39">
        <v>2.3001132822344E-9</v>
      </c>
      <c r="M21" s="38">
        <f t="shared" si="6"/>
        <v>0.051169</v>
      </c>
      <c r="N21" s="38">
        <v>5.83E-4</v>
      </c>
      <c r="O21" s="38">
        <v>0.050671</v>
      </c>
      <c r="P21" s="37">
        <v>2.9E-4</v>
      </c>
      <c r="Q21" s="40">
        <f t="shared" si="7"/>
        <v>-0.009732455197</v>
      </c>
      <c r="R21" s="41">
        <f t="shared" si="8"/>
        <v>-0.7648073414</v>
      </c>
      <c r="S21" s="37">
        <v>40000.0</v>
      </c>
      <c r="T21" s="42">
        <f t="shared" si="9"/>
        <v>5.112069095</v>
      </c>
      <c r="U21" s="42">
        <f t="shared" si="11"/>
        <v>1</v>
      </c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>
      <c r="A22" s="37"/>
      <c r="B22" s="37">
        <v>17.0</v>
      </c>
      <c r="C22" s="37">
        <v>4.0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124"/>
      <c r="L22" s="205"/>
      <c r="M22" s="205"/>
      <c r="N22" s="38"/>
      <c r="O22" s="124"/>
      <c r="P22" s="81"/>
      <c r="Q22" s="42"/>
      <c r="R22" s="41"/>
      <c r="S22" s="81"/>
      <c r="T22" s="42"/>
      <c r="U22" s="42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>
      <c r="A23" s="37"/>
      <c r="B23" s="37">
        <v>18.0</v>
      </c>
      <c r="C23" s="37">
        <v>4.0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/>
      <c r="L23" s="39"/>
      <c r="M23" s="38"/>
      <c r="N23" s="38"/>
      <c r="O23" s="38"/>
      <c r="P23" s="37"/>
      <c r="Q23" s="40"/>
      <c r="R23" s="41"/>
      <c r="S23" s="37"/>
      <c r="T23" s="42"/>
      <c r="U23" s="42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>
      <c r="A24" s="37"/>
      <c r="B24" s="37">
        <v>19.0</v>
      </c>
      <c r="C24" s="37">
        <v>4.0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124"/>
      <c r="L24" s="205"/>
      <c r="M24" s="205"/>
      <c r="N24" s="124"/>
      <c r="O24" s="124"/>
      <c r="P24" s="81"/>
      <c r="Q24" s="42"/>
      <c r="R24" s="41"/>
      <c r="S24" s="81"/>
      <c r="T24" s="42"/>
      <c r="U24" s="42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>
      <c r="A25" s="37"/>
      <c r="B25" s="37">
        <v>20.0</v>
      </c>
      <c r="C25" s="37">
        <v>4.0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124"/>
      <c r="L25" s="205"/>
      <c r="M25" s="205"/>
      <c r="N25" s="124"/>
      <c r="O25" s="124"/>
      <c r="P25" s="81"/>
      <c r="Q25" s="42"/>
      <c r="R25" s="41"/>
      <c r="S25" s="81"/>
      <c r="T25" s="42"/>
      <c r="U25" s="42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>
      <c r="A26" s="37"/>
      <c r="B26" s="37">
        <v>21.0</v>
      </c>
      <c r="C26" s="37">
        <v>4.0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4.8204E-5</v>
      </c>
      <c r="L26" s="39">
        <v>1.21411330241914E-6</v>
      </c>
      <c r="M26" s="38">
        <f>K26*1000000</f>
        <v>48.204</v>
      </c>
      <c r="N26" s="38">
        <v>0.530886</v>
      </c>
      <c r="O26" s="38">
        <v>47.322525</v>
      </c>
      <c r="P26" s="37">
        <v>0.8103</v>
      </c>
      <c r="Q26" s="40">
        <f>(O26-M26)/M26</f>
        <v>-0.01828634553</v>
      </c>
      <c r="R26" s="41">
        <f>(O26-M26)/sqrt(N26*N26+P26*P26)</f>
        <v>-0.9099341731</v>
      </c>
      <c r="S26" s="37">
        <v>40000.0</v>
      </c>
      <c r="T26" s="42">
        <f>K26/$K$14</f>
        <v>4815.849023</v>
      </c>
      <c r="U26" s="42">
        <f>K26/$K$21</f>
        <v>942.0547597</v>
      </c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>
      <c r="A27" s="44"/>
      <c r="B27" s="44">
        <v>22.0</v>
      </c>
      <c r="C27" s="44">
        <v>4.0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/>
      <c r="L27" s="46"/>
      <c r="M27" s="45"/>
      <c r="N27" s="45"/>
      <c r="O27" s="45"/>
      <c r="P27" s="44"/>
      <c r="Q27" s="47"/>
      <c r="R27" s="48"/>
      <c r="S27" s="44"/>
      <c r="T27" s="49"/>
      <c r="U27" s="49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>
      <c r="A28" s="44"/>
      <c r="B28" s="44">
        <v>23.0</v>
      </c>
      <c r="C28" s="44">
        <v>4.0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/>
      <c r="L28" s="46"/>
      <c r="M28" s="45"/>
      <c r="N28" s="45"/>
      <c r="O28" s="45"/>
      <c r="P28" s="44"/>
      <c r="Q28" s="47"/>
      <c r="R28" s="48"/>
      <c r="S28" s="44"/>
      <c r="T28" s="49"/>
      <c r="U28" s="49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>
      <c r="A29" s="44"/>
      <c r="B29" s="44">
        <v>24.0</v>
      </c>
      <c r="C29" s="44">
        <v>4.0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136"/>
      <c r="L29" s="206"/>
      <c r="M29" s="206"/>
      <c r="N29" s="136"/>
      <c r="O29" s="136"/>
      <c r="P29" s="85"/>
      <c r="Q29" s="49"/>
      <c r="R29" s="48"/>
      <c r="S29" s="85"/>
      <c r="T29" s="49"/>
      <c r="U29" s="49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>
      <c r="A30" s="44"/>
      <c r="B30" s="44">
        <v>25.0</v>
      </c>
      <c r="C30" s="44">
        <v>4.0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/>
      <c r="L30" s="46"/>
      <c r="M30" s="45"/>
      <c r="N30" s="45"/>
      <c r="O30" s="45"/>
      <c r="P30" s="44"/>
      <c r="Q30" s="47"/>
      <c r="R30" s="48"/>
      <c r="S30" s="44"/>
      <c r="T30" s="47"/>
      <c r="U30" s="49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>
      <c r="A31" s="44"/>
      <c r="B31" s="44">
        <v>26.0</v>
      </c>
      <c r="C31" s="44">
        <v>4.0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136"/>
      <c r="L31" s="206"/>
      <c r="M31" s="206"/>
      <c r="N31" s="136"/>
      <c r="O31" s="136"/>
      <c r="P31" s="85"/>
      <c r="Q31" s="49"/>
      <c r="R31" s="48"/>
      <c r="S31" s="85"/>
      <c r="T31" s="49"/>
      <c r="U31" s="49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>
      <c r="A32" s="44"/>
      <c r="B32" s="44">
        <v>27.0</v>
      </c>
      <c r="C32" s="44">
        <v>4.0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136"/>
      <c r="L32" s="206"/>
      <c r="M32" s="206"/>
      <c r="N32" s="136"/>
      <c r="O32" s="136"/>
      <c r="P32" s="85"/>
      <c r="Q32" s="49"/>
      <c r="R32" s="48"/>
      <c r="S32" s="85"/>
      <c r="T32" s="49"/>
      <c r="U32" s="49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>
      <c r="A33" s="44"/>
      <c r="B33" s="44">
        <v>28.0</v>
      </c>
      <c r="C33" s="44">
        <v>4.0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136"/>
      <c r="L33" s="206"/>
      <c r="M33" s="206"/>
      <c r="N33" s="136"/>
      <c r="O33" s="136"/>
      <c r="P33" s="85"/>
      <c r="Q33" s="49"/>
      <c r="R33" s="48"/>
      <c r="S33" s="85"/>
      <c r="T33" s="49"/>
      <c r="U33" s="49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>
      <c r="A34" s="51"/>
      <c r="B34" s="51">
        <v>29.0</v>
      </c>
      <c r="C34" s="51">
        <v>4.0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/>
      <c r="L34" s="53"/>
      <c r="M34" s="52"/>
      <c r="N34" s="52"/>
      <c r="O34" s="52"/>
      <c r="P34" s="51"/>
      <c r="Q34" s="54"/>
      <c r="R34" s="55"/>
      <c r="S34" s="51"/>
      <c r="T34" s="56"/>
      <c r="U34" s="56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</row>
    <row r="35">
      <c r="A35" s="51"/>
      <c r="B35" s="51">
        <v>30.0</v>
      </c>
      <c r="C35" s="51">
        <v>4.0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/>
      <c r="L35" s="53"/>
      <c r="M35" s="52"/>
      <c r="N35" s="52"/>
      <c r="O35" s="52"/>
      <c r="P35" s="51"/>
      <c r="Q35" s="54"/>
      <c r="R35" s="55"/>
      <c r="S35" s="51"/>
      <c r="T35" s="56"/>
      <c r="U35" s="56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>
      <c r="A36" s="51"/>
      <c r="B36" s="51">
        <v>31.0</v>
      </c>
      <c r="C36" s="51">
        <v>4.0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151"/>
      <c r="L36" s="207"/>
      <c r="M36" s="207"/>
      <c r="N36" s="151"/>
      <c r="O36" s="151"/>
      <c r="P36" s="87"/>
      <c r="Q36" s="56"/>
      <c r="R36" s="55"/>
      <c r="S36" s="87"/>
      <c r="T36" s="56"/>
      <c r="U36" s="56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>
      <c r="A37" s="51"/>
      <c r="B37" s="51">
        <v>32.0</v>
      </c>
      <c r="C37" s="51">
        <v>4.0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/>
      <c r="L37" s="53"/>
      <c r="M37" s="52"/>
      <c r="N37" s="52"/>
      <c r="O37" s="52"/>
      <c r="P37" s="51"/>
      <c r="Q37" s="54"/>
      <c r="R37" s="55"/>
      <c r="S37" s="51"/>
      <c r="T37" s="56"/>
      <c r="U37" s="56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</row>
    <row r="38">
      <c r="A38" s="51"/>
      <c r="B38" s="51">
        <v>33.0</v>
      </c>
      <c r="C38" s="51">
        <v>4.0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151"/>
      <c r="L38" s="207"/>
      <c r="M38" s="207"/>
      <c r="N38" s="151"/>
      <c r="O38" s="151"/>
      <c r="P38" s="87"/>
      <c r="Q38" s="56"/>
      <c r="R38" s="55"/>
      <c r="S38" s="87"/>
      <c r="T38" s="56"/>
      <c r="U38" s="56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</row>
    <row r="39">
      <c r="A39" s="51"/>
      <c r="B39" s="51">
        <v>34.0</v>
      </c>
      <c r="C39" s="51">
        <v>4.0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151"/>
      <c r="L39" s="207"/>
      <c r="M39" s="207"/>
      <c r="N39" s="151"/>
      <c r="O39" s="151"/>
      <c r="P39" s="87"/>
      <c r="Q39" s="56"/>
      <c r="R39" s="55"/>
      <c r="S39" s="87"/>
      <c r="T39" s="56"/>
      <c r="U39" s="56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</row>
    <row r="40">
      <c r="A40" s="51"/>
      <c r="B40" s="51">
        <v>35.0</v>
      </c>
      <c r="C40" s="51">
        <v>4.0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151"/>
      <c r="L40" s="207"/>
      <c r="M40" s="207"/>
      <c r="N40" s="151"/>
      <c r="O40" s="151"/>
      <c r="P40" s="87"/>
      <c r="Q40" s="56"/>
      <c r="R40" s="55"/>
      <c r="S40" s="87"/>
      <c r="T40" s="56"/>
      <c r="U40" s="56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</row>
    <row r="41">
      <c r="A41" s="58"/>
      <c r="B41" s="58">
        <v>36.0</v>
      </c>
      <c r="C41" s="58">
        <v>4.0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/>
      <c r="L41" s="60"/>
      <c r="M41" s="59"/>
      <c r="N41" s="59"/>
      <c r="O41" s="59"/>
      <c r="P41" s="58"/>
      <c r="Q41" s="61"/>
      <c r="R41" s="62"/>
      <c r="S41" s="58"/>
      <c r="T41" s="63"/>
      <c r="U41" s="63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</row>
    <row r="42">
      <c r="A42" s="58"/>
      <c r="B42" s="58">
        <v>37.0</v>
      </c>
      <c r="C42" s="58">
        <v>4.0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/>
      <c r="L42" s="60"/>
      <c r="M42" s="59"/>
      <c r="N42" s="59"/>
      <c r="O42" s="59"/>
      <c r="P42" s="58"/>
      <c r="Q42" s="61"/>
      <c r="R42" s="62"/>
      <c r="S42" s="58"/>
      <c r="T42" s="63"/>
      <c r="U42" s="63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</row>
    <row r="43">
      <c r="A43" s="58"/>
      <c r="B43" s="58">
        <v>38.0</v>
      </c>
      <c r="C43" s="58">
        <v>4.0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161"/>
      <c r="L43" s="208"/>
      <c r="M43" s="208"/>
      <c r="N43" s="161"/>
      <c r="O43" s="161"/>
      <c r="P43" s="89"/>
      <c r="Q43" s="63"/>
      <c r="R43" s="62"/>
      <c r="S43" s="89"/>
      <c r="T43" s="63"/>
      <c r="U43" s="63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</row>
    <row r="44">
      <c r="A44" s="58"/>
      <c r="B44" s="58">
        <v>39.0</v>
      </c>
      <c r="C44" s="58">
        <v>4.0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/>
      <c r="L44" s="60"/>
      <c r="M44" s="59"/>
      <c r="N44" s="59"/>
      <c r="O44" s="59"/>
      <c r="P44" s="58"/>
      <c r="Q44" s="61"/>
      <c r="R44" s="62"/>
      <c r="S44" s="58"/>
      <c r="T44" s="63"/>
      <c r="U44" s="63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</row>
    <row r="45">
      <c r="A45" s="58"/>
      <c r="B45" s="58">
        <v>40.0</v>
      </c>
      <c r="C45" s="58">
        <v>4.0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161"/>
      <c r="L45" s="208"/>
      <c r="M45" s="208"/>
      <c r="N45" s="161"/>
      <c r="O45" s="161"/>
      <c r="P45" s="89"/>
      <c r="Q45" s="63"/>
      <c r="R45" s="62"/>
      <c r="S45" s="89"/>
      <c r="T45" s="63"/>
      <c r="U45" s="63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</row>
    <row r="46">
      <c r="A46" s="58"/>
      <c r="B46" s="58">
        <v>41.0</v>
      </c>
      <c r="C46" s="58">
        <v>4.0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161"/>
      <c r="L46" s="208"/>
      <c r="M46" s="208"/>
      <c r="N46" s="161"/>
      <c r="O46" s="161"/>
      <c r="P46" s="89"/>
      <c r="Q46" s="63"/>
      <c r="R46" s="62"/>
      <c r="S46" s="89"/>
      <c r="T46" s="63"/>
      <c r="U46" s="63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</row>
    <row r="47">
      <c r="A47" s="58"/>
      <c r="B47" s="58">
        <v>42.0</v>
      </c>
      <c r="C47" s="58">
        <v>4.0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161"/>
      <c r="L47" s="208"/>
      <c r="M47" s="208"/>
      <c r="N47" s="161"/>
      <c r="O47" s="161"/>
      <c r="P47" s="89"/>
      <c r="Q47" s="63"/>
      <c r="R47" s="62"/>
      <c r="S47" s="89"/>
      <c r="T47" s="63"/>
      <c r="U47" s="63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</row>
    <row r="48">
      <c r="A48" s="94"/>
      <c r="B48" s="94">
        <v>43.0</v>
      </c>
      <c r="C48" s="94">
        <v>4.0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/>
      <c r="L48" s="96"/>
      <c r="M48" s="95"/>
      <c r="N48" s="95"/>
      <c r="O48" s="95"/>
      <c r="P48" s="94"/>
      <c r="Q48" s="97"/>
      <c r="R48" s="98"/>
      <c r="S48" s="94"/>
      <c r="T48" s="99"/>
      <c r="U48" s="99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94"/>
      <c r="B49" s="94">
        <v>44.0</v>
      </c>
      <c r="C49" s="94">
        <v>4.0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/>
      <c r="L49" s="96"/>
      <c r="M49" s="95"/>
      <c r="N49" s="95"/>
      <c r="O49" s="95"/>
      <c r="P49" s="94"/>
      <c r="Q49" s="97"/>
      <c r="R49" s="98"/>
      <c r="S49" s="94"/>
      <c r="T49" s="99"/>
      <c r="U49" s="99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94"/>
      <c r="B50" s="94">
        <v>45.0</v>
      </c>
      <c r="C50" s="94">
        <v>4.0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169"/>
      <c r="L50" s="209"/>
      <c r="M50" s="209"/>
      <c r="N50" s="169"/>
      <c r="O50" s="169"/>
      <c r="P50" s="100"/>
      <c r="Q50" s="99"/>
      <c r="R50" s="98"/>
      <c r="S50" s="100"/>
      <c r="T50" s="99"/>
      <c r="U50" s="99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94"/>
      <c r="B51" s="94">
        <v>46.0</v>
      </c>
      <c r="C51" s="94">
        <v>4.0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/>
      <c r="L51" s="96"/>
      <c r="M51" s="95"/>
      <c r="N51" s="95"/>
      <c r="O51" s="95"/>
      <c r="P51" s="94"/>
      <c r="Q51" s="97"/>
      <c r="R51" s="98"/>
      <c r="S51" s="94"/>
      <c r="T51" s="99"/>
      <c r="U51" s="99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94"/>
      <c r="B52" s="94">
        <v>47.0</v>
      </c>
      <c r="C52" s="94">
        <v>4.0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169"/>
      <c r="L52" s="209"/>
      <c r="M52" s="209"/>
      <c r="N52" s="169"/>
      <c r="O52" s="169"/>
      <c r="P52" s="100"/>
      <c r="Q52" s="99"/>
      <c r="R52" s="98"/>
      <c r="S52" s="100"/>
      <c r="T52" s="99"/>
      <c r="U52" s="99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94"/>
      <c r="B53" s="94">
        <v>48.0</v>
      </c>
      <c r="C53" s="94">
        <v>4.0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169"/>
      <c r="L53" s="209"/>
      <c r="M53" s="209"/>
      <c r="N53" s="169"/>
      <c r="O53" s="169"/>
      <c r="P53" s="100"/>
      <c r="Q53" s="99"/>
      <c r="R53" s="98"/>
      <c r="S53" s="100"/>
      <c r="T53" s="99"/>
      <c r="U53" s="99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94"/>
      <c r="B54" s="94">
        <v>49.0</v>
      </c>
      <c r="C54" s="94">
        <v>4.0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169"/>
      <c r="L54" s="209"/>
      <c r="M54" s="209"/>
      <c r="N54" s="169"/>
      <c r="O54" s="169"/>
      <c r="P54" s="100"/>
      <c r="Q54" s="99"/>
      <c r="R54" s="98"/>
      <c r="S54" s="100"/>
      <c r="T54" s="99"/>
      <c r="U54" s="99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101">
        <v>50.0</v>
      </c>
      <c r="C55" s="101">
        <v>4.0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/>
      <c r="L55" s="103"/>
      <c r="M55" s="102"/>
      <c r="N55" s="102"/>
      <c r="O55" s="102"/>
      <c r="P55" s="101"/>
      <c r="Q55" s="104"/>
      <c r="R55" s="106"/>
      <c r="S55" s="101"/>
      <c r="T55" s="108"/>
      <c r="U55" s="108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>
      <c r="A56" s="101"/>
      <c r="B56" s="101">
        <v>51.0</v>
      </c>
      <c r="C56" s="101">
        <v>4.0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/>
      <c r="L56" s="103"/>
      <c r="M56" s="102"/>
      <c r="N56" s="102"/>
      <c r="O56" s="102"/>
      <c r="P56" s="101"/>
      <c r="Q56" s="104"/>
      <c r="R56" s="106"/>
      <c r="S56" s="101"/>
      <c r="T56" s="108"/>
      <c r="U56" s="108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>
      <c r="A57" s="101"/>
      <c r="B57" s="101">
        <v>52.0</v>
      </c>
      <c r="C57" s="101">
        <v>4.0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72"/>
      <c r="L57" s="210"/>
      <c r="M57" s="210"/>
      <c r="N57" s="172"/>
      <c r="O57" s="172"/>
      <c r="P57" s="110"/>
      <c r="Q57" s="108"/>
      <c r="R57" s="106"/>
      <c r="S57" s="110"/>
      <c r="T57" s="108"/>
      <c r="U57" s="108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>
      <c r="A58" s="101"/>
      <c r="B58" s="101">
        <v>53.0</v>
      </c>
      <c r="C58" s="101">
        <v>4.0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/>
      <c r="L58" s="103"/>
      <c r="M58" s="102"/>
      <c r="N58" s="102"/>
      <c r="O58" s="102"/>
      <c r="P58" s="101"/>
      <c r="Q58" s="104"/>
      <c r="R58" s="106"/>
      <c r="S58" s="101"/>
      <c r="T58" s="108"/>
      <c r="U58" s="108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>
      <c r="A59" s="101"/>
      <c r="B59" s="101">
        <v>54.0</v>
      </c>
      <c r="C59" s="101">
        <v>4.0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72"/>
      <c r="L59" s="210"/>
      <c r="M59" s="210"/>
      <c r="N59" s="172"/>
      <c r="O59" s="172"/>
      <c r="P59" s="110"/>
      <c r="Q59" s="108"/>
      <c r="R59" s="106"/>
      <c r="S59" s="110"/>
      <c r="T59" s="108"/>
      <c r="U59" s="108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</row>
    <row r="60">
      <c r="A60" s="101"/>
      <c r="B60" s="101">
        <v>55.0</v>
      </c>
      <c r="C60" s="101">
        <v>4.0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72"/>
      <c r="L60" s="210"/>
      <c r="M60" s="210"/>
      <c r="N60" s="172"/>
      <c r="O60" s="172"/>
      <c r="P60" s="110"/>
      <c r="Q60" s="108"/>
      <c r="R60" s="106"/>
      <c r="S60" s="110"/>
      <c r="T60" s="108"/>
      <c r="U60" s="108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>
      <c r="A61" s="101"/>
      <c r="B61" s="101">
        <v>56.0</v>
      </c>
      <c r="C61" s="101">
        <v>4.0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/>
      <c r="L61" s="103"/>
      <c r="M61" s="102"/>
      <c r="N61" s="102"/>
      <c r="O61" s="102"/>
      <c r="P61" s="101"/>
      <c r="Q61" s="104"/>
      <c r="R61" s="106"/>
      <c r="S61" s="101"/>
      <c r="T61" s="108"/>
      <c r="U61" s="108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</row>
    <row r="62">
      <c r="A62" s="4"/>
      <c r="B62" s="4">
        <v>57.0</v>
      </c>
      <c r="C62" s="44">
        <v>4.0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3.2933E-8</v>
      </c>
      <c r="L62" s="117">
        <v>7.56660058708297E-10</v>
      </c>
      <c r="M62" s="116">
        <f t="shared" ref="M62:M66" si="12">K62*1000000</f>
        <v>0.032933</v>
      </c>
      <c r="N62" s="116">
        <v>3.84E-4</v>
      </c>
      <c r="O62" s="116">
        <v>0.01001</v>
      </c>
      <c r="P62" s="4">
        <v>5.7E-5</v>
      </c>
      <c r="Q62" s="118">
        <f t="shared" ref="Q62:Q66" si="13">(O62-M62)/M62</f>
        <v>-0.6960495552</v>
      </c>
      <c r="R62" s="119">
        <f t="shared" ref="R62:R66" si="14">(O62-M62)/sqrt(N62*N62+P62*P62)</f>
        <v>-59.04833059</v>
      </c>
      <c r="S62" s="4">
        <v>40000.0</v>
      </c>
      <c r="T62" s="120"/>
    </row>
    <row r="63">
      <c r="A63" s="4" t="s">
        <v>45</v>
      </c>
      <c r="B63" s="4">
        <v>58.0</v>
      </c>
      <c r="C63" s="44">
        <v>4.0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3.2933E-8</v>
      </c>
      <c r="L63" s="117">
        <v>7.56660058708297E-10</v>
      </c>
      <c r="M63" s="116">
        <f t="shared" si="12"/>
        <v>0.032933</v>
      </c>
      <c r="N63" s="116">
        <v>3.84E-4</v>
      </c>
      <c r="O63" s="116">
        <v>0.01001</v>
      </c>
      <c r="P63" s="4">
        <v>5.7E-5</v>
      </c>
      <c r="Q63" s="118">
        <f t="shared" si="13"/>
        <v>-0.6960495552</v>
      </c>
      <c r="R63" s="119">
        <f t="shared" si="14"/>
        <v>-59.04833059</v>
      </c>
      <c r="S63" s="4">
        <v>40000.0</v>
      </c>
      <c r="T63" s="120"/>
    </row>
    <row r="64">
      <c r="A64" s="4"/>
      <c r="B64" s="4">
        <v>59.0</v>
      </c>
      <c r="C64" s="44">
        <v>4.0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3.5088E-7</v>
      </c>
      <c r="L64" s="117">
        <v>1.19735634721757E-8</v>
      </c>
      <c r="M64" s="116">
        <f t="shared" si="12"/>
        <v>0.35088</v>
      </c>
      <c r="N64" s="116">
        <v>0.003829</v>
      </c>
      <c r="O64" s="116">
        <v>0.353845</v>
      </c>
      <c r="P64" s="4">
        <v>0.006604</v>
      </c>
      <c r="Q64" s="118">
        <f t="shared" si="13"/>
        <v>0.008450182399</v>
      </c>
      <c r="R64" s="119">
        <f t="shared" si="14"/>
        <v>0.3884070198</v>
      </c>
      <c r="S64" s="4">
        <v>7897.0</v>
      </c>
      <c r="T64" s="120"/>
    </row>
    <row r="65">
      <c r="A65" s="4"/>
      <c r="B65" s="4">
        <v>60.0</v>
      </c>
      <c r="C65" s="44">
        <v>4.0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1.00353E-8</v>
      </c>
      <c r="L65" s="117">
        <v>3.54185779876418E-10</v>
      </c>
      <c r="M65" s="116">
        <f t="shared" si="12"/>
        <v>0.0100353</v>
      </c>
      <c r="N65" s="116">
        <v>1.14E-4</v>
      </c>
      <c r="O65" s="116">
        <v>0.010002</v>
      </c>
      <c r="P65" s="4">
        <v>5.7E-5</v>
      </c>
      <c r="Q65" s="118">
        <f t="shared" si="13"/>
        <v>-0.003318286449</v>
      </c>
      <c r="R65" s="119">
        <f t="shared" si="14"/>
        <v>-0.26126689</v>
      </c>
      <c r="S65" s="4">
        <v>40000.0</v>
      </c>
      <c r="T65" s="120"/>
    </row>
    <row r="66">
      <c r="A66" s="4"/>
      <c r="B66" s="4">
        <v>61.0</v>
      </c>
      <c r="C66" s="44">
        <v>4.0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1.01797E-8</v>
      </c>
      <c r="L66" s="117">
        <v>3.25550491048964E-10</v>
      </c>
      <c r="M66" s="116">
        <f t="shared" si="12"/>
        <v>0.0101797</v>
      </c>
      <c r="N66" s="116">
        <v>1.16E-4</v>
      </c>
      <c r="O66" s="116">
        <v>0.010002</v>
      </c>
      <c r="P66" s="4">
        <v>5.7E-5</v>
      </c>
      <c r="Q66" s="118">
        <f t="shared" si="13"/>
        <v>-0.01745631011</v>
      </c>
      <c r="R66" s="119">
        <f t="shared" si="14"/>
        <v>-1.37487808</v>
      </c>
      <c r="S66" s="4">
        <v>40000.0</v>
      </c>
      <c r="T66" s="120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</row>
    <row r="6">
      <c r="A6" s="8"/>
      <c r="B6" s="8">
        <v>1.0</v>
      </c>
      <c r="C6" s="8">
        <v>5.0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2.1793E-11</v>
      </c>
      <c r="L6" s="11">
        <v>3.41729262558665E-13</v>
      </c>
      <c r="M6" s="10">
        <f t="shared" ref="M6:M7" si="1">K6*1000000</f>
        <v>0.000021793</v>
      </c>
      <c r="N6" s="10">
        <v>4.999E-7</v>
      </c>
      <c r="O6" s="10">
        <v>2.2E-5</v>
      </c>
      <c r="P6" s="8">
        <v>4.999E-7</v>
      </c>
      <c r="Q6" s="12">
        <f t="shared" ref="Q6:Q7" si="2">(O6-M6)/M6</f>
        <v>0.009498462809</v>
      </c>
      <c r="R6" s="13">
        <f t="shared" ref="R6:R7" si="3">(O6-M6)/sqrt(N6*N6+P6*P6)</f>
        <v>0.2928007676</v>
      </c>
      <c r="S6" s="8">
        <v>36320.0</v>
      </c>
      <c r="T6" s="14">
        <f t="shared" ref="T6:T7" si="4">K6/$K$14</f>
        <v>0.005312320987</v>
      </c>
      <c r="U6" s="14">
        <f t="shared" ref="U6:U7" si="5">K6/$K$7</f>
        <v>0.08433170807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>
      <c r="A7" s="8"/>
      <c r="B7" s="8">
        <v>2.0</v>
      </c>
      <c r="C7" s="8">
        <v>5.0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2.5842E-10</v>
      </c>
      <c r="L7" s="11">
        <v>5.26367003356234E-12</v>
      </c>
      <c r="M7" s="10">
        <f t="shared" si="1"/>
        <v>0.00025842</v>
      </c>
      <c r="N7" s="10">
        <v>3.0E-6</v>
      </c>
      <c r="O7" s="10">
        <v>2.56E-4</v>
      </c>
      <c r="P7" s="8">
        <v>1.0E-6</v>
      </c>
      <c r="Q7" s="12">
        <f t="shared" si="2"/>
        <v>-0.009364600263</v>
      </c>
      <c r="R7" s="13">
        <f t="shared" si="3"/>
        <v>-0.7652711938</v>
      </c>
      <c r="S7" s="8">
        <v>40000.0</v>
      </c>
      <c r="T7" s="14">
        <f t="shared" si="4"/>
        <v>0.06299316246</v>
      </c>
      <c r="U7" s="14">
        <f t="shared" si="5"/>
        <v>1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>
      <c r="A8" s="8"/>
      <c r="B8" s="8">
        <v>3.0</v>
      </c>
      <c r="C8" s="8">
        <v>5.0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/>
      <c r="L8" s="11"/>
      <c r="M8" s="10"/>
      <c r="N8" s="10"/>
      <c r="O8" s="10"/>
      <c r="P8" s="8"/>
      <c r="Q8" s="12"/>
      <c r="R8" s="13"/>
      <c r="S8" s="8"/>
      <c r="T8" s="14"/>
      <c r="U8" s="14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>
      <c r="A9" s="8"/>
      <c r="B9" s="8">
        <v>4.0</v>
      </c>
      <c r="C9" s="8">
        <v>5.0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/>
      <c r="L9" s="11"/>
      <c r="M9" s="10"/>
      <c r="N9" s="10"/>
      <c r="O9" s="10"/>
      <c r="P9" s="8"/>
      <c r="Q9" s="12"/>
      <c r="R9" s="13"/>
      <c r="S9" s="8"/>
      <c r="T9" s="14"/>
      <c r="U9" s="14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>
      <c r="A10" s="8"/>
      <c r="B10" s="8">
        <v>5.0</v>
      </c>
      <c r="C10" s="8">
        <v>5.0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/>
      <c r="L10" s="11"/>
      <c r="M10" s="10"/>
      <c r="N10" s="10"/>
      <c r="O10" s="10"/>
      <c r="P10" s="8"/>
      <c r="Q10" s="12"/>
      <c r="R10" s="13"/>
      <c r="S10" s="8"/>
      <c r="T10" s="14"/>
      <c r="U10" s="14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>
      <c r="A11" s="8"/>
      <c r="B11" s="8">
        <v>6.0</v>
      </c>
      <c r="C11" s="8">
        <v>5.0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/>
      <c r="L11" s="11"/>
      <c r="M11" s="10"/>
      <c r="N11" s="10"/>
      <c r="O11" s="10"/>
      <c r="P11" s="8"/>
      <c r="Q11" s="12"/>
      <c r="R11" s="13"/>
      <c r="S11" s="8"/>
      <c r="T11" s="14"/>
      <c r="U11" s="14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>
      <c r="A12" s="8"/>
      <c r="B12" s="8">
        <v>7.0</v>
      </c>
      <c r="C12" s="8">
        <v>5.0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2.4258E-7</v>
      </c>
      <c r="L12" s="11">
        <v>7.84145678075474E-9</v>
      </c>
      <c r="M12" s="10">
        <f t="shared" ref="M12:M21" si="6">K12*1000000</f>
        <v>0.24258</v>
      </c>
      <c r="N12" s="10">
        <v>0.002672</v>
      </c>
      <c r="O12" s="10">
        <v>0.243008</v>
      </c>
      <c r="P12" s="202">
        <v>0.00413</v>
      </c>
      <c r="Q12" s="12">
        <f t="shared" ref="Q12:Q21" si="7">(O12-M12)/M12</f>
        <v>0.001764366395</v>
      </c>
      <c r="R12" s="13">
        <f t="shared" ref="R12:R21" si="8">(O12-M12)/sqrt(N12*N12+P12*P12)</f>
        <v>0.08700969323</v>
      </c>
      <c r="S12" s="8">
        <v>40000.0</v>
      </c>
      <c r="T12" s="14">
        <f t="shared" ref="T12:T21" si="9">K12/$K$14</f>
        <v>59.13196095</v>
      </c>
      <c r="U12" s="14">
        <f>K12/$K$7</f>
        <v>938.7044346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>
      <c r="A13" s="22"/>
      <c r="B13" s="22">
        <v>8.0</v>
      </c>
      <c r="C13" s="22">
        <v>5.0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3.45169999999999E-10</v>
      </c>
      <c r="L13" s="24">
        <v>8.53893696220112E-12</v>
      </c>
      <c r="M13" s="23">
        <f t="shared" si="6"/>
        <v>0.00034517</v>
      </c>
      <c r="N13" s="23">
        <v>4.0E-6</v>
      </c>
      <c r="O13" s="23">
        <v>3.45E-4</v>
      </c>
      <c r="P13" s="22">
        <v>4.0E-6</v>
      </c>
      <c r="Q13" s="26">
        <f t="shared" si="7"/>
        <v>-0.0004925109366</v>
      </c>
      <c r="R13" s="27">
        <f t="shared" si="8"/>
        <v>-0.0300520382</v>
      </c>
      <c r="S13" s="22">
        <v>36320.0</v>
      </c>
      <c r="T13" s="28">
        <f t="shared" si="9"/>
        <v>0.08413957853</v>
      </c>
      <c r="U13" s="28">
        <f t="shared" ref="U13:U19" si="10">K13/$K$14</f>
        <v>0.08413957853</v>
      </c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29" t="s">
        <v>21</v>
      </c>
      <c r="B14" s="29">
        <v>9.0</v>
      </c>
      <c r="C14" s="29">
        <v>5.0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4.10235E-9</v>
      </c>
      <c r="L14" s="31">
        <v>1.10912196735144E-10</v>
      </c>
      <c r="M14" s="30">
        <f t="shared" si="6"/>
        <v>0.00410235</v>
      </c>
      <c r="N14" s="30">
        <v>2.3E-5</v>
      </c>
      <c r="O14" s="30">
        <v>0.004102</v>
      </c>
      <c r="P14" s="29">
        <v>2.3E-5</v>
      </c>
      <c r="Q14" s="32">
        <f t="shared" si="7"/>
        <v>-0.00008531695248</v>
      </c>
      <c r="R14" s="34">
        <f t="shared" si="8"/>
        <v>-0.01076032058</v>
      </c>
      <c r="S14" s="29">
        <v>40000.0</v>
      </c>
      <c r="T14" s="35">
        <f t="shared" si="9"/>
        <v>1</v>
      </c>
      <c r="U14" s="35">
        <f t="shared" si="10"/>
        <v>1</v>
      </c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</row>
    <row r="15">
      <c r="A15" s="22"/>
      <c r="B15" s="22">
        <v>10.0</v>
      </c>
      <c r="C15" s="22">
        <v>5.0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4.6257E-8</v>
      </c>
      <c r="L15" s="24">
        <v>1.05093661929622E-9</v>
      </c>
      <c r="M15" s="23">
        <f t="shared" si="6"/>
        <v>0.046257</v>
      </c>
      <c r="N15" s="23">
        <v>5.2E-4</v>
      </c>
      <c r="O15" s="23">
        <v>0.04717</v>
      </c>
      <c r="P15" s="22">
        <v>4.29E-4</v>
      </c>
      <c r="Q15" s="26">
        <f t="shared" si="7"/>
        <v>0.01973755324</v>
      </c>
      <c r="R15" s="27">
        <f t="shared" si="8"/>
        <v>1.354353468</v>
      </c>
      <c r="S15" s="22">
        <v>40000.0</v>
      </c>
      <c r="T15" s="28">
        <f t="shared" si="9"/>
        <v>11.2757322</v>
      </c>
      <c r="U15" s="28">
        <f t="shared" si="10"/>
        <v>11.2757322</v>
      </c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22"/>
      <c r="B16" s="22">
        <v>11.0</v>
      </c>
      <c r="C16" s="22">
        <v>5.0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2.25339999999999E-7</v>
      </c>
      <c r="L16" s="24">
        <v>6.86151910617791E-9</v>
      </c>
      <c r="M16" s="23">
        <f t="shared" si="6"/>
        <v>0.22534</v>
      </c>
      <c r="N16" s="23">
        <v>0.002503</v>
      </c>
      <c r="O16" s="23">
        <v>0.226219</v>
      </c>
      <c r="P16" s="22">
        <v>0.002962</v>
      </c>
      <c r="Q16" s="26">
        <f t="shared" si="7"/>
        <v>0.003900772167</v>
      </c>
      <c r="R16" s="27">
        <f t="shared" si="8"/>
        <v>0.2266664765</v>
      </c>
      <c r="S16" s="22">
        <v>40000.0</v>
      </c>
      <c r="T16" s="28">
        <f t="shared" si="9"/>
        <v>54.92949163</v>
      </c>
      <c r="U16" s="28">
        <f t="shared" si="10"/>
        <v>54.92949163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22"/>
      <c r="B17" s="22">
        <v>12.0</v>
      </c>
      <c r="C17" s="22">
        <v>5.0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7.2523E-7</v>
      </c>
      <c r="L17" s="24">
        <v>2.58721665115235E-8</v>
      </c>
      <c r="M17" s="23">
        <f t="shared" si="6"/>
        <v>0.72523</v>
      </c>
      <c r="N17" s="23">
        <v>0.008011</v>
      </c>
      <c r="O17" s="23">
        <v>0.726834</v>
      </c>
      <c r="P17" s="22">
        <v>0.011066</v>
      </c>
      <c r="Q17" s="26">
        <f t="shared" si="7"/>
        <v>0.002211712146</v>
      </c>
      <c r="R17" s="27">
        <f t="shared" si="8"/>
        <v>0.1174115318</v>
      </c>
      <c r="S17" s="22">
        <v>40000.0</v>
      </c>
      <c r="T17" s="28">
        <f t="shared" si="9"/>
        <v>176.7840384</v>
      </c>
      <c r="U17" s="28">
        <f t="shared" si="10"/>
        <v>176.7840384</v>
      </c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22"/>
      <c r="B18" s="22">
        <v>13.0</v>
      </c>
      <c r="C18" s="22">
        <v>5.0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1.7876E-6</v>
      </c>
      <c r="L18" s="24">
        <v>5.42938506851579E-8</v>
      </c>
      <c r="M18" s="23">
        <f t="shared" si="6"/>
        <v>1.7876</v>
      </c>
      <c r="N18" s="23">
        <v>0.019723</v>
      </c>
      <c r="O18" s="23">
        <v>1.825326</v>
      </c>
      <c r="P18" s="22">
        <v>0.029844</v>
      </c>
      <c r="Q18" s="26">
        <f t="shared" si="7"/>
        <v>0.02110427389</v>
      </c>
      <c r="R18" s="27">
        <f t="shared" si="8"/>
        <v>1.054613393</v>
      </c>
      <c r="S18" s="22">
        <v>40000.0</v>
      </c>
      <c r="T18" s="28">
        <f t="shared" si="9"/>
        <v>435.7502407</v>
      </c>
      <c r="U18" s="28">
        <f t="shared" si="10"/>
        <v>435.7502407</v>
      </c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22"/>
      <c r="B19" s="22">
        <v>14.0</v>
      </c>
      <c r="C19" s="22">
        <v>5.0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3.69959999999999E-6</v>
      </c>
      <c r="L19" s="24">
        <v>8.15355409894632E-8</v>
      </c>
      <c r="M19" s="23">
        <f t="shared" si="6"/>
        <v>3.6996</v>
      </c>
      <c r="N19" s="23">
        <v>0.040505</v>
      </c>
      <c r="O19" s="23">
        <v>3.888136</v>
      </c>
      <c r="P19" s="22">
        <v>0.066081</v>
      </c>
      <c r="Q19" s="26">
        <f t="shared" si="7"/>
        <v>0.05096118499</v>
      </c>
      <c r="R19" s="27">
        <f t="shared" si="8"/>
        <v>2.432499118</v>
      </c>
      <c r="S19" s="22">
        <v>40000.0</v>
      </c>
      <c r="T19" s="28">
        <f t="shared" si="9"/>
        <v>901.824564</v>
      </c>
      <c r="U19" s="28">
        <f t="shared" si="10"/>
        <v>901.824564</v>
      </c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37"/>
      <c r="B20" s="37">
        <v>15.0</v>
      </c>
      <c r="C20" s="37">
        <v>5.0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1.7324E-9</v>
      </c>
      <c r="L20" s="39">
        <v>3.42383800239828E-11</v>
      </c>
      <c r="M20" s="38">
        <f t="shared" si="6"/>
        <v>0.0017324</v>
      </c>
      <c r="N20" s="38">
        <v>1.9E-5</v>
      </c>
      <c r="O20" s="38">
        <v>0.001748</v>
      </c>
      <c r="P20" s="37">
        <v>2.1E-5</v>
      </c>
      <c r="Q20" s="40">
        <f t="shared" si="7"/>
        <v>0.009004848765</v>
      </c>
      <c r="R20" s="41">
        <f t="shared" si="8"/>
        <v>0.5508551502</v>
      </c>
      <c r="S20" s="37">
        <v>36320.0</v>
      </c>
      <c r="T20" s="42">
        <f t="shared" si="9"/>
        <v>0.4222945385</v>
      </c>
      <c r="U20" s="42">
        <f t="shared" ref="U20:U21" si="11">K20/$K$21</f>
        <v>0.08283050442</v>
      </c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</row>
    <row r="21">
      <c r="A21" s="37"/>
      <c r="B21" s="37">
        <v>16.0</v>
      </c>
      <c r="C21" s="37">
        <v>5.0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2.0915E-8</v>
      </c>
      <c r="L21" s="39">
        <v>5.75137664679799E-10</v>
      </c>
      <c r="M21" s="38">
        <f t="shared" si="6"/>
        <v>0.020915</v>
      </c>
      <c r="N21" s="38">
        <v>2.41E-4</v>
      </c>
      <c r="O21" s="38">
        <v>0.020766</v>
      </c>
      <c r="P21" s="37">
        <v>1.18E-4</v>
      </c>
      <c r="Q21" s="40">
        <f t="shared" si="7"/>
        <v>-0.007124073631</v>
      </c>
      <c r="R21" s="41">
        <f t="shared" si="8"/>
        <v>-0.5552709345</v>
      </c>
      <c r="S21" s="37">
        <v>40000.0</v>
      </c>
      <c r="T21" s="42">
        <f t="shared" si="9"/>
        <v>5.098297317</v>
      </c>
      <c r="U21" s="42">
        <f t="shared" si="11"/>
        <v>1</v>
      </c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>
      <c r="A22" s="37"/>
      <c r="B22" s="37">
        <v>17.0</v>
      </c>
      <c r="C22" s="37">
        <v>5.0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124"/>
      <c r="L22" s="205"/>
      <c r="M22" s="205"/>
      <c r="N22" s="38"/>
      <c r="O22" s="124"/>
      <c r="P22" s="81"/>
      <c r="Q22" s="42"/>
      <c r="R22" s="41"/>
      <c r="S22" s="81"/>
      <c r="T22" s="42"/>
      <c r="U22" s="42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>
      <c r="A23" s="37"/>
      <c r="B23" s="37">
        <v>18.0</v>
      </c>
      <c r="C23" s="37">
        <v>5.0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/>
      <c r="L23" s="39"/>
      <c r="M23" s="38"/>
      <c r="N23" s="38"/>
      <c r="O23" s="38"/>
      <c r="P23" s="37"/>
      <c r="Q23" s="40"/>
      <c r="R23" s="41"/>
      <c r="S23" s="37"/>
      <c r="T23" s="42"/>
      <c r="U23" s="42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>
      <c r="A24" s="37"/>
      <c r="B24" s="37">
        <v>19.0</v>
      </c>
      <c r="C24" s="37">
        <v>5.0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124"/>
      <c r="L24" s="205"/>
      <c r="M24" s="205"/>
      <c r="N24" s="124"/>
      <c r="O24" s="124"/>
      <c r="P24" s="81"/>
      <c r="Q24" s="42"/>
      <c r="R24" s="41"/>
      <c r="S24" s="81"/>
      <c r="T24" s="42"/>
      <c r="U24" s="42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>
      <c r="A25" s="37"/>
      <c r="B25" s="37">
        <v>20.0</v>
      </c>
      <c r="C25" s="37">
        <v>5.0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124"/>
      <c r="L25" s="205"/>
      <c r="M25" s="205"/>
      <c r="N25" s="124"/>
      <c r="O25" s="124"/>
      <c r="P25" s="81"/>
      <c r="Q25" s="42"/>
      <c r="R25" s="41"/>
      <c r="S25" s="81"/>
      <c r="T25" s="42"/>
      <c r="U25" s="42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>
      <c r="A26" s="37"/>
      <c r="B26" s="37">
        <v>21.0</v>
      </c>
      <c r="C26" s="37">
        <v>5.0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1.9757E-5</v>
      </c>
      <c r="L26" s="39">
        <v>5.44651774582214E-7</v>
      </c>
      <c r="M26" s="38">
        <f>K26*1000000</f>
        <v>19.757</v>
      </c>
      <c r="N26" s="38">
        <v>0.216653</v>
      </c>
      <c r="O26" s="38">
        <v>19.682983</v>
      </c>
      <c r="P26" s="37">
        <v>0.334533</v>
      </c>
      <c r="Q26" s="40">
        <f>(O26-M26)/M26</f>
        <v>-0.003746368376</v>
      </c>
      <c r="R26" s="41">
        <f>(O26-M26)/sqrt(N26*N26+P26*P26)</f>
        <v>-0.1857106057</v>
      </c>
      <c r="S26" s="37">
        <v>40000.0</v>
      </c>
      <c r="T26" s="42">
        <f>K26/$K$14</f>
        <v>4816.020086</v>
      </c>
      <c r="U26" s="42">
        <f>K26/$K$21</f>
        <v>944.6330385</v>
      </c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>
      <c r="A27" s="44"/>
      <c r="B27" s="44">
        <v>22.0</v>
      </c>
      <c r="C27" s="44">
        <v>5.0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/>
      <c r="L27" s="46"/>
      <c r="M27" s="45"/>
      <c r="N27" s="45"/>
      <c r="O27" s="45"/>
      <c r="P27" s="44"/>
      <c r="Q27" s="47"/>
      <c r="R27" s="48"/>
      <c r="S27" s="44"/>
      <c r="T27" s="49"/>
      <c r="U27" s="49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>
      <c r="A28" s="44"/>
      <c r="B28" s="44">
        <v>23.0</v>
      </c>
      <c r="C28" s="44">
        <v>5.0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/>
      <c r="L28" s="46"/>
      <c r="M28" s="45"/>
      <c r="N28" s="45"/>
      <c r="O28" s="45"/>
      <c r="P28" s="44"/>
      <c r="Q28" s="47"/>
      <c r="R28" s="48"/>
      <c r="S28" s="44"/>
      <c r="T28" s="49"/>
      <c r="U28" s="49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>
      <c r="A29" s="44"/>
      <c r="B29" s="44">
        <v>24.0</v>
      </c>
      <c r="C29" s="44">
        <v>5.0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136"/>
      <c r="L29" s="206"/>
      <c r="M29" s="206"/>
      <c r="N29" s="136"/>
      <c r="O29" s="136"/>
      <c r="P29" s="85"/>
      <c r="Q29" s="49"/>
      <c r="R29" s="48"/>
      <c r="S29" s="85"/>
      <c r="T29" s="49"/>
      <c r="U29" s="49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>
      <c r="A30" s="44"/>
      <c r="B30" s="44">
        <v>25.0</v>
      </c>
      <c r="C30" s="44">
        <v>5.0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/>
      <c r="L30" s="46"/>
      <c r="M30" s="45"/>
      <c r="N30" s="45"/>
      <c r="O30" s="45"/>
      <c r="P30" s="44"/>
      <c r="Q30" s="47"/>
      <c r="R30" s="48"/>
      <c r="S30" s="44"/>
      <c r="T30" s="47"/>
      <c r="U30" s="49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>
      <c r="A31" s="44"/>
      <c r="B31" s="44">
        <v>26.0</v>
      </c>
      <c r="C31" s="44">
        <v>5.0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136"/>
      <c r="L31" s="206"/>
      <c r="M31" s="206"/>
      <c r="N31" s="136"/>
      <c r="O31" s="136"/>
      <c r="P31" s="85"/>
      <c r="Q31" s="49"/>
      <c r="R31" s="48"/>
      <c r="S31" s="85"/>
      <c r="T31" s="49"/>
      <c r="U31" s="49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>
      <c r="A32" s="44"/>
      <c r="B32" s="44">
        <v>27.0</v>
      </c>
      <c r="C32" s="44">
        <v>5.0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136"/>
      <c r="L32" s="206"/>
      <c r="M32" s="206"/>
      <c r="N32" s="136"/>
      <c r="O32" s="136"/>
      <c r="P32" s="85"/>
      <c r="Q32" s="49"/>
      <c r="R32" s="48"/>
      <c r="S32" s="85"/>
      <c r="T32" s="49"/>
      <c r="U32" s="49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>
      <c r="A33" s="44"/>
      <c r="B33" s="44">
        <v>28.0</v>
      </c>
      <c r="C33" s="44">
        <v>5.0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136"/>
      <c r="L33" s="206"/>
      <c r="M33" s="206"/>
      <c r="N33" s="136"/>
      <c r="O33" s="136"/>
      <c r="P33" s="85"/>
      <c r="Q33" s="49"/>
      <c r="R33" s="48"/>
      <c r="S33" s="85"/>
      <c r="T33" s="49"/>
      <c r="U33" s="49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>
      <c r="A34" s="51"/>
      <c r="B34" s="51">
        <v>29.0</v>
      </c>
      <c r="C34" s="51">
        <v>5.0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/>
      <c r="L34" s="53"/>
      <c r="M34" s="52"/>
      <c r="N34" s="52"/>
      <c r="O34" s="52"/>
      <c r="P34" s="51"/>
      <c r="Q34" s="54"/>
      <c r="R34" s="55"/>
      <c r="S34" s="51"/>
      <c r="T34" s="56"/>
      <c r="U34" s="56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</row>
    <row r="35">
      <c r="A35" s="51"/>
      <c r="B35" s="51">
        <v>30.0</v>
      </c>
      <c r="C35" s="51">
        <v>5.0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/>
      <c r="L35" s="53"/>
      <c r="M35" s="52"/>
      <c r="N35" s="52"/>
      <c r="O35" s="52"/>
      <c r="P35" s="51"/>
      <c r="Q35" s="54"/>
      <c r="R35" s="55"/>
      <c r="S35" s="51"/>
      <c r="T35" s="56"/>
      <c r="U35" s="56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>
      <c r="A36" s="51"/>
      <c r="B36" s="51">
        <v>31.0</v>
      </c>
      <c r="C36" s="51">
        <v>5.0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151"/>
      <c r="L36" s="207"/>
      <c r="M36" s="207"/>
      <c r="N36" s="151"/>
      <c r="O36" s="151"/>
      <c r="P36" s="87"/>
      <c r="Q36" s="56"/>
      <c r="R36" s="55"/>
      <c r="S36" s="87"/>
      <c r="T36" s="56"/>
      <c r="U36" s="56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>
      <c r="A37" s="51"/>
      <c r="B37" s="51">
        <v>32.0</v>
      </c>
      <c r="C37" s="51">
        <v>5.0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/>
      <c r="L37" s="53"/>
      <c r="M37" s="52"/>
      <c r="N37" s="52"/>
      <c r="O37" s="52"/>
      <c r="P37" s="51"/>
      <c r="Q37" s="54"/>
      <c r="R37" s="55"/>
      <c r="S37" s="51"/>
      <c r="T37" s="56"/>
      <c r="U37" s="56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</row>
    <row r="38">
      <c r="A38" s="51"/>
      <c r="B38" s="51">
        <v>33.0</v>
      </c>
      <c r="C38" s="51">
        <v>5.0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151"/>
      <c r="L38" s="207"/>
      <c r="M38" s="207"/>
      <c r="N38" s="151"/>
      <c r="O38" s="151"/>
      <c r="P38" s="87"/>
      <c r="Q38" s="56"/>
      <c r="R38" s="55"/>
      <c r="S38" s="87"/>
      <c r="T38" s="56"/>
      <c r="U38" s="56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</row>
    <row r="39">
      <c r="A39" s="51"/>
      <c r="B39" s="51">
        <v>34.0</v>
      </c>
      <c r="C39" s="51">
        <v>5.0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151"/>
      <c r="L39" s="207"/>
      <c r="M39" s="207"/>
      <c r="N39" s="151"/>
      <c r="O39" s="151"/>
      <c r="P39" s="87"/>
      <c r="Q39" s="56"/>
      <c r="R39" s="55"/>
      <c r="S39" s="87"/>
      <c r="T39" s="56"/>
      <c r="U39" s="56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</row>
    <row r="40">
      <c r="A40" s="51"/>
      <c r="B40" s="51">
        <v>35.0</v>
      </c>
      <c r="C40" s="51">
        <v>5.0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151"/>
      <c r="L40" s="207"/>
      <c r="M40" s="207"/>
      <c r="N40" s="151"/>
      <c r="O40" s="151"/>
      <c r="P40" s="87"/>
      <c r="Q40" s="56"/>
      <c r="R40" s="55"/>
      <c r="S40" s="87"/>
      <c r="T40" s="56"/>
      <c r="U40" s="56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</row>
    <row r="41">
      <c r="A41" s="58"/>
      <c r="B41" s="58">
        <v>36.0</v>
      </c>
      <c r="C41" s="58">
        <v>5.0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/>
      <c r="L41" s="60"/>
      <c r="M41" s="59"/>
      <c r="N41" s="59"/>
      <c r="O41" s="59"/>
      <c r="P41" s="58"/>
      <c r="Q41" s="61"/>
      <c r="R41" s="62"/>
      <c r="S41" s="58"/>
      <c r="T41" s="63"/>
      <c r="U41" s="63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</row>
    <row r="42">
      <c r="A42" s="58"/>
      <c r="B42" s="58">
        <v>37.0</v>
      </c>
      <c r="C42" s="58">
        <v>5.0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/>
      <c r="L42" s="60"/>
      <c r="M42" s="59"/>
      <c r="N42" s="59"/>
      <c r="O42" s="59"/>
      <c r="P42" s="58"/>
      <c r="Q42" s="61"/>
      <c r="R42" s="62"/>
      <c r="S42" s="58"/>
      <c r="T42" s="63"/>
      <c r="U42" s="63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</row>
    <row r="43">
      <c r="A43" s="58"/>
      <c r="B43" s="58">
        <v>38.0</v>
      </c>
      <c r="C43" s="58">
        <v>5.0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161"/>
      <c r="L43" s="208"/>
      <c r="M43" s="208"/>
      <c r="N43" s="161"/>
      <c r="O43" s="161"/>
      <c r="P43" s="89"/>
      <c r="Q43" s="63"/>
      <c r="R43" s="62"/>
      <c r="S43" s="89"/>
      <c r="T43" s="63"/>
      <c r="U43" s="63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</row>
    <row r="44">
      <c r="A44" s="58"/>
      <c r="B44" s="58">
        <v>39.0</v>
      </c>
      <c r="C44" s="58">
        <v>5.0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/>
      <c r="L44" s="60"/>
      <c r="M44" s="59"/>
      <c r="N44" s="59"/>
      <c r="O44" s="59"/>
      <c r="P44" s="58"/>
      <c r="Q44" s="61"/>
      <c r="R44" s="62"/>
      <c r="S44" s="58"/>
      <c r="T44" s="63"/>
      <c r="U44" s="63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</row>
    <row r="45">
      <c r="A45" s="58"/>
      <c r="B45" s="58">
        <v>40.0</v>
      </c>
      <c r="C45" s="58">
        <v>5.0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161"/>
      <c r="L45" s="208"/>
      <c r="M45" s="208"/>
      <c r="N45" s="161"/>
      <c r="O45" s="161"/>
      <c r="P45" s="89"/>
      <c r="Q45" s="63"/>
      <c r="R45" s="62"/>
      <c r="S45" s="89"/>
      <c r="T45" s="63"/>
      <c r="U45" s="63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</row>
    <row r="46">
      <c r="A46" s="58"/>
      <c r="B46" s="58">
        <v>41.0</v>
      </c>
      <c r="C46" s="58">
        <v>5.0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161"/>
      <c r="L46" s="208"/>
      <c r="M46" s="208"/>
      <c r="N46" s="161"/>
      <c r="O46" s="161"/>
      <c r="P46" s="89"/>
      <c r="Q46" s="63"/>
      <c r="R46" s="62"/>
      <c r="S46" s="89"/>
      <c r="T46" s="63"/>
      <c r="U46" s="63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</row>
    <row r="47">
      <c r="A47" s="58"/>
      <c r="B47" s="58">
        <v>42.0</v>
      </c>
      <c r="C47" s="58">
        <v>5.0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161"/>
      <c r="L47" s="208"/>
      <c r="M47" s="208"/>
      <c r="N47" s="161"/>
      <c r="O47" s="161"/>
      <c r="P47" s="89"/>
      <c r="Q47" s="63"/>
      <c r="R47" s="62"/>
      <c r="S47" s="89"/>
      <c r="T47" s="63"/>
      <c r="U47" s="63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</row>
    <row r="48">
      <c r="A48" s="94"/>
      <c r="B48" s="94">
        <v>43.0</v>
      </c>
      <c r="C48" s="94">
        <v>5.0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/>
      <c r="L48" s="96"/>
      <c r="M48" s="95"/>
      <c r="N48" s="95"/>
      <c r="O48" s="95"/>
      <c r="P48" s="94"/>
      <c r="Q48" s="97"/>
      <c r="R48" s="98"/>
      <c r="S48" s="94"/>
      <c r="T48" s="99"/>
      <c r="U48" s="99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94"/>
      <c r="B49" s="94">
        <v>44.0</v>
      </c>
      <c r="C49" s="94">
        <v>5.0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/>
      <c r="L49" s="96"/>
      <c r="M49" s="95"/>
      <c r="N49" s="95"/>
      <c r="O49" s="95"/>
      <c r="P49" s="94"/>
      <c r="Q49" s="97"/>
      <c r="R49" s="98"/>
      <c r="S49" s="94"/>
      <c r="T49" s="99"/>
      <c r="U49" s="99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94"/>
      <c r="B50" s="94">
        <v>45.0</v>
      </c>
      <c r="C50" s="94">
        <v>5.0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169"/>
      <c r="L50" s="209"/>
      <c r="M50" s="209"/>
      <c r="N50" s="169"/>
      <c r="O50" s="169"/>
      <c r="P50" s="100"/>
      <c r="Q50" s="99"/>
      <c r="R50" s="98"/>
      <c r="S50" s="100"/>
      <c r="T50" s="99"/>
      <c r="U50" s="99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94"/>
      <c r="B51" s="94">
        <v>46.0</v>
      </c>
      <c r="C51" s="94">
        <v>5.0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/>
      <c r="L51" s="96"/>
      <c r="M51" s="95"/>
      <c r="N51" s="95"/>
      <c r="O51" s="95"/>
      <c r="P51" s="94"/>
      <c r="Q51" s="97"/>
      <c r="R51" s="98"/>
      <c r="S51" s="94"/>
      <c r="T51" s="99"/>
      <c r="U51" s="99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94"/>
      <c r="B52" s="94">
        <v>47.0</v>
      </c>
      <c r="C52" s="94">
        <v>5.0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169"/>
      <c r="L52" s="209"/>
      <c r="M52" s="209"/>
      <c r="N52" s="169"/>
      <c r="O52" s="169"/>
      <c r="P52" s="100"/>
      <c r="Q52" s="99"/>
      <c r="R52" s="98"/>
      <c r="S52" s="100"/>
      <c r="T52" s="99"/>
      <c r="U52" s="99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94"/>
      <c r="B53" s="94">
        <v>48.0</v>
      </c>
      <c r="C53" s="94">
        <v>5.0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169"/>
      <c r="L53" s="209"/>
      <c r="M53" s="209"/>
      <c r="N53" s="169"/>
      <c r="O53" s="169"/>
      <c r="P53" s="100"/>
      <c r="Q53" s="99"/>
      <c r="R53" s="98"/>
      <c r="S53" s="100"/>
      <c r="T53" s="99"/>
      <c r="U53" s="99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94"/>
      <c r="B54" s="94">
        <v>49.0</v>
      </c>
      <c r="C54" s="94">
        <v>5.0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169"/>
      <c r="L54" s="209"/>
      <c r="M54" s="209"/>
      <c r="N54" s="169"/>
      <c r="O54" s="169"/>
      <c r="P54" s="100"/>
      <c r="Q54" s="99"/>
      <c r="R54" s="98"/>
      <c r="S54" s="100"/>
      <c r="T54" s="99"/>
      <c r="U54" s="99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101">
        <v>50.0</v>
      </c>
      <c r="C55" s="101">
        <v>5.0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/>
      <c r="L55" s="103"/>
      <c r="M55" s="102"/>
      <c r="N55" s="102"/>
      <c r="O55" s="102"/>
      <c r="P55" s="101"/>
      <c r="Q55" s="104"/>
      <c r="R55" s="106"/>
      <c r="S55" s="101"/>
      <c r="T55" s="108"/>
      <c r="U55" s="108"/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>
      <c r="A56" s="101"/>
      <c r="B56" s="101">
        <v>51.0</v>
      </c>
      <c r="C56" s="101">
        <v>5.0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/>
      <c r="L56" s="103"/>
      <c r="M56" s="102"/>
      <c r="N56" s="102"/>
      <c r="O56" s="102"/>
      <c r="P56" s="101"/>
      <c r="Q56" s="104"/>
      <c r="R56" s="106"/>
      <c r="S56" s="101"/>
      <c r="T56" s="108"/>
      <c r="U56" s="108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>
      <c r="A57" s="101"/>
      <c r="B57" s="101">
        <v>52.0</v>
      </c>
      <c r="C57" s="101">
        <v>5.0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72"/>
      <c r="L57" s="210"/>
      <c r="M57" s="210"/>
      <c r="N57" s="172"/>
      <c r="O57" s="172"/>
      <c r="P57" s="110"/>
      <c r="Q57" s="108"/>
      <c r="R57" s="106"/>
      <c r="S57" s="110"/>
      <c r="T57" s="108"/>
      <c r="U57" s="108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>
      <c r="A58" s="101"/>
      <c r="B58" s="101">
        <v>53.0</v>
      </c>
      <c r="C58" s="101">
        <v>5.0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/>
      <c r="L58" s="103"/>
      <c r="M58" s="102"/>
      <c r="N58" s="102"/>
      <c r="O58" s="102"/>
      <c r="P58" s="101"/>
      <c r="Q58" s="104"/>
      <c r="R58" s="106"/>
      <c r="S58" s="101"/>
      <c r="T58" s="108"/>
      <c r="U58" s="108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>
      <c r="A59" s="101"/>
      <c r="B59" s="101">
        <v>54.0</v>
      </c>
      <c r="C59" s="101">
        <v>5.0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72"/>
      <c r="L59" s="210"/>
      <c r="M59" s="210"/>
      <c r="N59" s="172"/>
      <c r="O59" s="172"/>
      <c r="P59" s="110"/>
      <c r="Q59" s="108"/>
      <c r="R59" s="106"/>
      <c r="S59" s="110"/>
      <c r="T59" s="108"/>
      <c r="U59" s="108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</row>
    <row r="60">
      <c r="A60" s="101"/>
      <c r="B60" s="101">
        <v>55.0</v>
      </c>
      <c r="C60" s="101">
        <v>5.0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72"/>
      <c r="L60" s="210"/>
      <c r="M60" s="210"/>
      <c r="N60" s="172"/>
      <c r="O60" s="172"/>
      <c r="P60" s="110"/>
      <c r="Q60" s="108"/>
      <c r="R60" s="106"/>
      <c r="S60" s="110"/>
      <c r="T60" s="108"/>
      <c r="U60" s="108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>
      <c r="A61" s="101"/>
      <c r="B61" s="101">
        <v>56.0</v>
      </c>
      <c r="C61" s="101">
        <v>5.0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/>
      <c r="L61" s="103"/>
      <c r="M61" s="102"/>
      <c r="N61" s="102"/>
      <c r="O61" s="102"/>
      <c r="P61" s="101"/>
      <c r="Q61" s="104"/>
      <c r="R61" s="106"/>
      <c r="S61" s="101"/>
      <c r="T61" s="108"/>
      <c r="U61" s="108"/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</row>
    <row r="62">
      <c r="A62" s="4"/>
      <c r="B62" s="4">
        <v>57.0</v>
      </c>
      <c r="C62" s="44">
        <v>5.0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1.3684E-8</v>
      </c>
      <c r="L62" s="117">
        <v>4.69543513543857E-10</v>
      </c>
      <c r="M62" s="116">
        <f t="shared" ref="M62:M66" si="12">K62*1000000</f>
        <v>0.013684</v>
      </c>
      <c r="N62" s="116">
        <v>1.58E-4</v>
      </c>
      <c r="O62" s="116">
        <v>0.004102</v>
      </c>
      <c r="P62" s="4">
        <v>2.3E-5</v>
      </c>
      <c r="Q62" s="118">
        <f t="shared" ref="Q62:Q66" si="13">(O62-M62)/M62</f>
        <v>-0.7002338498</v>
      </c>
      <c r="R62" s="119">
        <f t="shared" ref="R62:R66" si="14">(O62-M62)/sqrt(N62*N62+P62*P62)</f>
        <v>-60.01304922</v>
      </c>
      <c r="S62" s="4">
        <v>40000.0</v>
      </c>
      <c r="T62" s="120"/>
    </row>
    <row r="63">
      <c r="A63" s="4" t="s">
        <v>45</v>
      </c>
      <c r="B63" s="4">
        <v>58.0</v>
      </c>
      <c r="C63" s="44">
        <v>5.0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1.3684E-8</v>
      </c>
      <c r="L63" s="117">
        <v>4.69543513543857E-10</v>
      </c>
      <c r="M63" s="116">
        <f t="shared" si="12"/>
        <v>0.013684</v>
      </c>
      <c r="N63" s="116">
        <v>1.58E-4</v>
      </c>
      <c r="O63" s="116">
        <v>0.004102</v>
      </c>
      <c r="P63" s="4">
        <v>2.3E-5</v>
      </c>
      <c r="Q63" s="118">
        <f t="shared" si="13"/>
        <v>-0.7002338498</v>
      </c>
      <c r="R63" s="119">
        <f t="shared" si="14"/>
        <v>-60.01304922</v>
      </c>
      <c r="S63" s="4">
        <v>40000.0</v>
      </c>
      <c r="T63" s="120"/>
    </row>
    <row r="64">
      <c r="A64" s="4"/>
      <c r="B64" s="4">
        <v>59.0</v>
      </c>
      <c r="C64" s="44">
        <v>5.0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1.4591E-7</v>
      </c>
      <c r="L64" s="117">
        <v>4.05666803615424E-9</v>
      </c>
      <c r="M64" s="116">
        <f t="shared" si="12"/>
        <v>0.14591</v>
      </c>
      <c r="N64" s="116">
        <v>0.001597</v>
      </c>
      <c r="O64" s="116">
        <v>0.147478</v>
      </c>
      <c r="P64" s="4">
        <v>0.002729</v>
      </c>
      <c r="Q64" s="118">
        <f t="shared" si="13"/>
        <v>0.01074635049</v>
      </c>
      <c r="R64" s="119">
        <f t="shared" si="14"/>
        <v>0.4958984491</v>
      </c>
      <c r="S64" s="4">
        <v>7983.0</v>
      </c>
      <c r="T64" s="120"/>
    </row>
    <row r="65">
      <c r="A65" s="4"/>
      <c r="B65" s="4">
        <v>60.0</v>
      </c>
      <c r="C65" s="44">
        <v>5.0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4.0409E-9</v>
      </c>
      <c r="L65" s="117">
        <v>1.43215028696168E-10</v>
      </c>
      <c r="M65" s="116">
        <f t="shared" si="12"/>
        <v>0.0040409</v>
      </c>
      <c r="N65" s="116">
        <v>4.7E-5</v>
      </c>
      <c r="O65" s="116">
        <v>0.004101</v>
      </c>
      <c r="P65" s="4">
        <v>2.3E-5</v>
      </c>
      <c r="Q65" s="118">
        <f t="shared" si="13"/>
        <v>0.01487292435</v>
      </c>
      <c r="R65" s="119">
        <f t="shared" si="14"/>
        <v>1.148570745</v>
      </c>
      <c r="S65" s="4">
        <v>40000.0</v>
      </c>
      <c r="T65" s="120"/>
    </row>
    <row r="66">
      <c r="A66" s="4"/>
      <c r="B66" s="4">
        <v>61.0</v>
      </c>
      <c r="C66" s="44">
        <v>5.0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4.108E-9</v>
      </c>
      <c r="L66" s="117">
        <v>1.52085502267638E-10</v>
      </c>
      <c r="M66" s="116">
        <f t="shared" si="12"/>
        <v>0.004108</v>
      </c>
      <c r="N66" s="116">
        <v>4.7E-5</v>
      </c>
      <c r="O66" s="116">
        <v>0.004101</v>
      </c>
      <c r="P66" s="4">
        <v>2.3E-5</v>
      </c>
      <c r="Q66" s="118">
        <f t="shared" si="13"/>
        <v>-0.00170399221</v>
      </c>
      <c r="R66" s="119">
        <f t="shared" si="14"/>
        <v>-0.1337769586</v>
      </c>
      <c r="S66" s="4">
        <v>40000.0</v>
      </c>
      <c r="T66" s="120"/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82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41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8.03639999999999E-9</v>
      </c>
      <c r="L6" s="11">
        <v>1.04982749905771E-10</v>
      </c>
      <c r="M6" s="10">
        <f t="shared" ref="M6:M66" si="1">K6*1000000</f>
        <v>0.0080364</v>
      </c>
      <c r="N6" s="10">
        <v>8.3E-5</v>
      </c>
      <c r="O6" s="10">
        <v>0.003055</v>
      </c>
      <c r="P6" s="8">
        <v>1.6E-5</v>
      </c>
      <c r="Q6" s="12">
        <f t="shared" ref="Q6:Q66" si="2">(O6-M6)/M6</f>
        <v>-0.6198546613</v>
      </c>
      <c r="R6" s="13">
        <f t="shared" ref="R6:R66" si="3">(O6-M6)/sqrt(N6*N6+P6*P6)</f>
        <v>-58.93188054</v>
      </c>
      <c r="S6" s="8">
        <v>40000.0</v>
      </c>
      <c r="T6" s="14">
        <f t="shared" ref="T6:T66" si="4">K6/$K$14</f>
        <v>0.0145733482</v>
      </c>
      <c r="U6" s="14">
        <f t="shared" ref="U6:U12" si="5">K6/$K$7</f>
        <v>0.1268111025</v>
      </c>
      <c r="V6" s="10">
        <f t="shared" ref="V6:V66" si="6">M6/O6</f>
        <v>2.630572831</v>
      </c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6.3373E-8</v>
      </c>
      <c r="L7" s="11">
        <v>1.87135156148348E-9</v>
      </c>
      <c r="M7" s="10">
        <f t="shared" si="1"/>
        <v>0.063373</v>
      </c>
      <c r="N7" s="10">
        <v>6.98E-4</v>
      </c>
      <c r="O7" s="10">
        <v>0.028549</v>
      </c>
      <c r="P7" s="8">
        <v>3.44E-4</v>
      </c>
      <c r="Q7" s="12">
        <f t="shared" si="2"/>
        <v>-0.5495084658</v>
      </c>
      <c r="R7" s="13">
        <f t="shared" si="3"/>
        <v>-44.75146281</v>
      </c>
      <c r="S7" s="8">
        <v>40000.0</v>
      </c>
      <c r="T7" s="14">
        <f t="shared" si="4"/>
        <v>0.1149217057</v>
      </c>
      <c r="U7" s="14">
        <f t="shared" si="5"/>
        <v>1</v>
      </c>
      <c r="V7" s="10">
        <f t="shared" si="6"/>
        <v>2.219797541</v>
      </c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5.21949999999999E-7</v>
      </c>
      <c r="L8" s="11">
        <v>1.28979972605568E-8</v>
      </c>
      <c r="M8" s="10">
        <f t="shared" si="1"/>
        <v>0.52195</v>
      </c>
      <c r="N8" s="10">
        <v>0.005701</v>
      </c>
      <c r="O8" s="10">
        <v>0.19099</v>
      </c>
      <c r="P8" s="8">
        <v>0.00246</v>
      </c>
      <c r="Q8" s="12">
        <f t="shared" si="2"/>
        <v>-0.6340837245</v>
      </c>
      <c r="R8" s="13">
        <f t="shared" si="3"/>
        <v>-53.30235693</v>
      </c>
      <c r="S8" s="8">
        <v>40000.0</v>
      </c>
      <c r="T8" s="14">
        <f t="shared" si="4"/>
        <v>0.9465132515</v>
      </c>
      <c r="U8" s="14">
        <f t="shared" si="5"/>
        <v>8.236157354</v>
      </c>
      <c r="V8" s="10">
        <f t="shared" si="6"/>
        <v>2.732865595</v>
      </c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2.0865E-6</v>
      </c>
      <c r="L9" s="11">
        <v>4.45876166166745E-8</v>
      </c>
      <c r="M9" s="10">
        <f t="shared" si="1"/>
        <v>2.0865</v>
      </c>
      <c r="N9" s="10">
        <v>0.022812</v>
      </c>
      <c r="O9" s="10">
        <v>0.502691</v>
      </c>
      <c r="P9" s="8">
        <v>0.006535</v>
      </c>
      <c r="Q9" s="12">
        <f t="shared" si="2"/>
        <v>-0.7590745267</v>
      </c>
      <c r="R9" s="13">
        <f t="shared" si="3"/>
        <v>-66.74404492</v>
      </c>
      <c r="S9" s="8">
        <v>40000.0</v>
      </c>
      <c r="T9" s="14">
        <f t="shared" si="4"/>
        <v>3.783695563</v>
      </c>
      <c r="U9" s="14">
        <f t="shared" si="5"/>
        <v>32.92411595</v>
      </c>
      <c r="V9" s="10">
        <f t="shared" si="6"/>
        <v>4.150661142</v>
      </c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5.9754E-6</v>
      </c>
      <c r="L10" s="11">
        <v>1.06255666515563E-7</v>
      </c>
      <c r="M10" s="10">
        <f t="shared" si="1"/>
        <v>5.9754</v>
      </c>
      <c r="N10" s="10">
        <v>0.065551</v>
      </c>
      <c r="O10" s="10">
        <v>0.965267</v>
      </c>
      <c r="P10" s="8">
        <v>0.012675</v>
      </c>
      <c r="Q10" s="12">
        <f t="shared" si="2"/>
        <v>-0.8384598521</v>
      </c>
      <c r="R10" s="13">
        <f t="shared" si="3"/>
        <v>-75.04110705</v>
      </c>
      <c r="S10" s="8">
        <v>40000.0</v>
      </c>
      <c r="T10" s="14">
        <f t="shared" si="4"/>
        <v>10.83589479</v>
      </c>
      <c r="U10" s="14">
        <f t="shared" si="5"/>
        <v>94.28936613</v>
      </c>
      <c r="V10" s="10">
        <f t="shared" si="6"/>
        <v>6.190411565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1.42259999999999E-5</v>
      </c>
      <c r="L11" s="11">
        <v>3.90361655676146E-7</v>
      </c>
      <c r="M11" s="10">
        <f t="shared" si="1"/>
        <v>14.226</v>
      </c>
      <c r="N11" s="10">
        <v>0.154905</v>
      </c>
      <c r="O11" s="10">
        <v>1.581103</v>
      </c>
      <c r="P11" s="8">
        <v>0.02119</v>
      </c>
      <c r="Q11" s="12">
        <f t="shared" si="2"/>
        <v>-0.8888582173</v>
      </c>
      <c r="R11" s="13">
        <f t="shared" si="3"/>
        <v>-80.87681677</v>
      </c>
      <c r="S11" s="8">
        <v>40000.0</v>
      </c>
      <c r="T11" s="14">
        <f t="shared" si="4"/>
        <v>25.79767701</v>
      </c>
      <c r="U11" s="14">
        <f t="shared" si="5"/>
        <v>224.480457</v>
      </c>
      <c r="V11" s="10">
        <f t="shared" si="6"/>
        <v>8.997516291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2.9489E-5</v>
      </c>
      <c r="L12" s="11">
        <v>6.92217852670353E-7</v>
      </c>
      <c r="M12" s="10">
        <f t="shared" si="1"/>
        <v>29.489</v>
      </c>
      <c r="N12" s="10">
        <v>0.323323</v>
      </c>
      <c r="O12" s="10">
        <v>2.351926</v>
      </c>
      <c r="P12" s="202">
        <v>0.032754</v>
      </c>
      <c r="Q12" s="12">
        <f t="shared" si="2"/>
        <v>-0.9202439554</v>
      </c>
      <c r="R12" s="13">
        <f t="shared" si="3"/>
        <v>-83.50438676</v>
      </c>
      <c r="S12" s="8">
        <v>40000.0</v>
      </c>
      <c r="T12" s="14">
        <f t="shared" si="4"/>
        <v>53.47586795</v>
      </c>
      <c r="U12" s="14">
        <f t="shared" si="5"/>
        <v>465.3243495</v>
      </c>
      <c r="V12" s="10">
        <f t="shared" si="6"/>
        <v>12.53823462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6.0003E-8</v>
      </c>
      <c r="L13" s="24">
        <v>1.47936961049105E-9</v>
      </c>
      <c r="M13" s="23">
        <f t="shared" si="1"/>
        <v>0.060003</v>
      </c>
      <c r="N13" s="23">
        <v>6.29E-4</v>
      </c>
      <c r="O13" s="23">
        <v>0.048886</v>
      </c>
      <c r="P13" s="22">
        <v>2.6E-4</v>
      </c>
      <c r="Q13" s="26">
        <f t="shared" si="2"/>
        <v>-0.1852740696</v>
      </c>
      <c r="R13" s="27">
        <f t="shared" si="3"/>
        <v>-16.33368254</v>
      </c>
      <c r="S13" s="22">
        <v>40000.0</v>
      </c>
      <c r="T13" s="28">
        <f t="shared" si="4"/>
        <v>0.1088104888</v>
      </c>
      <c r="U13" s="28">
        <f t="shared" ref="U13:U19" si="7">K13/$K$14</f>
        <v>0.1088104888</v>
      </c>
      <c r="V13" s="23">
        <f t="shared" si="6"/>
        <v>1.227406619</v>
      </c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22" t="s">
        <v>21</v>
      </c>
      <c r="B14" s="22">
        <v>9.0</v>
      </c>
      <c r="C14" s="22">
        <v>1.5</v>
      </c>
      <c r="D14" s="22">
        <v>1.0</v>
      </c>
      <c r="E14" s="22">
        <v>0.0</v>
      </c>
      <c r="F14" s="22">
        <v>0.2</v>
      </c>
      <c r="G14" s="22">
        <v>0.0</v>
      </c>
      <c r="H14" s="22">
        <v>1.0</v>
      </c>
      <c r="I14" s="22">
        <v>0.0</v>
      </c>
      <c r="J14" s="22">
        <v>0.0</v>
      </c>
      <c r="K14" s="23">
        <v>5.51445E-7</v>
      </c>
      <c r="L14" s="24">
        <v>1.63654882337254E-8</v>
      </c>
      <c r="M14" s="23">
        <f t="shared" si="1"/>
        <v>0.551445</v>
      </c>
      <c r="N14" s="23">
        <v>0.003124</v>
      </c>
      <c r="O14" s="23">
        <v>0.456786</v>
      </c>
      <c r="P14" s="22">
        <v>0.005496</v>
      </c>
      <c r="Q14" s="26">
        <f t="shared" si="2"/>
        <v>-0.1716562849</v>
      </c>
      <c r="R14" s="27">
        <f t="shared" si="3"/>
        <v>-14.97338094</v>
      </c>
      <c r="S14" s="22">
        <v>40000.0</v>
      </c>
      <c r="T14" s="28">
        <f t="shared" si="4"/>
        <v>1</v>
      </c>
      <c r="U14" s="28">
        <f t="shared" si="7"/>
        <v>1</v>
      </c>
      <c r="V14" s="23">
        <f t="shared" si="6"/>
        <v>1.20722833</v>
      </c>
      <c r="W14" s="71"/>
      <c r="X14" s="71"/>
      <c r="Y14" s="71"/>
      <c r="Z14" s="71"/>
      <c r="AA14" s="71"/>
      <c r="AB14" s="71"/>
      <c r="AC14" s="71"/>
      <c r="AD14" s="71"/>
      <c r="AE14" s="71"/>
      <c r="AF14" s="71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5.7831E-6</v>
      </c>
      <c r="L15" s="24">
        <v>2.2692556293003E-7</v>
      </c>
      <c r="M15" s="23">
        <f t="shared" si="1"/>
        <v>5.7831</v>
      </c>
      <c r="N15" s="23">
        <v>0.064462</v>
      </c>
      <c r="O15" s="23">
        <v>3.055837</v>
      </c>
      <c r="P15" s="22">
        <v>0.039355</v>
      </c>
      <c r="Q15" s="26">
        <f t="shared" si="2"/>
        <v>-0.4715918798</v>
      </c>
      <c r="R15" s="27">
        <f t="shared" si="3"/>
        <v>-36.1102889</v>
      </c>
      <c r="S15" s="22">
        <v>40000.0</v>
      </c>
      <c r="T15" s="28">
        <f t="shared" si="4"/>
        <v>10.4871746</v>
      </c>
      <c r="U15" s="28">
        <f t="shared" si="7"/>
        <v>10.4871746</v>
      </c>
      <c r="V15" s="23">
        <f t="shared" si="6"/>
        <v>1.892476595</v>
      </c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2.7077E-5</v>
      </c>
      <c r="L16" s="24">
        <v>8.82534859242272E-7</v>
      </c>
      <c r="M16" s="23">
        <f t="shared" si="1"/>
        <v>27.077</v>
      </c>
      <c r="N16" s="23">
        <v>0.296429</v>
      </c>
      <c r="O16" s="23">
        <v>8.043054</v>
      </c>
      <c r="P16" s="22">
        <v>0.10456</v>
      </c>
      <c r="Q16" s="26">
        <f t="shared" si="2"/>
        <v>-0.7029562359</v>
      </c>
      <c r="R16" s="27">
        <f t="shared" si="3"/>
        <v>-60.55414642</v>
      </c>
      <c r="S16" s="22">
        <v>40000.0</v>
      </c>
      <c r="T16" s="28">
        <f t="shared" si="4"/>
        <v>49.101905</v>
      </c>
      <c r="U16" s="28">
        <f t="shared" si="7"/>
        <v>49.101905</v>
      </c>
      <c r="V16" s="23">
        <f t="shared" si="6"/>
        <v>3.366507299</v>
      </c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8.4989E-5</v>
      </c>
      <c r="L17" s="24">
        <v>2.49391904885106E-6</v>
      </c>
      <c r="M17" s="23">
        <f t="shared" si="1"/>
        <v>84.989</v>
      </c>
      <c r="N17" s="23">
        <v>0.930294</v>
      </c>
      <c r="O17" s="23">
        <v>15.444275</v>
      </c>
      <c r="P17" s="22">
        <v>0.202795</v>
      </c>
      <c r="Q17" s="26">
        <f t="shared" si="2"/>
        <v>-0.8182791302</v>
      </c>
      <c r="R17" s="27">
        <f t="shared" si="3"/>
        <v>-73.04035351</v>
      </c>
      <c r="S17" s="22">
        <v>40000.0</v>
      </c>
      <c r="T17" s="28">
        <f t="shared" si="4"/>
        <v>154.1205379</v>
      </c>
      <c r="U17" s="28">
        <f t="shared" si="7"/>
        <v>154.1205379</v>
      </c>
      <c r="V17" s="23">
        <f t="shared" si="6"/>
        <v>5.502945266</v>
      </c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2.0952E-4</v>
      </c>
      <c r="L18" s="24">
        <v>4.19544726790574E-6</v>
      </c>
      <c r="M18" s="23">
        <f t="shared" si="1"/>
        <v>209.52</v>
      </c>
      <c r="N18" s="23">
        <v>2.282975</v>
      </c>
      <c r="O18" s="23">
        <v>25.297653</v>
      </c>
      <c r="P18" s="22">
        <v>0.339044</v>
      </c>
      <c r="Q18" s="26">
        <f t="shared" si="2"/>
        <v>-0.8792590063</v>
      </c>
      <c r="R18" s="27">
        <f t="shared" si="3"/>
        <v>-79.81857902</v>
      </c>
      <c r="S18" s="22">
        <v>40000.0</v>
      </c>
      <c r="T18" s="28">
        <f t="shared" si="4"/>
        <v>379.9472296</v>
      </c>
      <c r="U18" s="28">
        <f t="shared" si="7"/>
        <v>379.9472296</v>
      </c>
      <c r="V18" s="23">
        <f t="shared" si="6"/>
        <v>8.282191237</v>
      </c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4.25129999999999E-4</v>
      </c>
      <c r="L19" s="24">
        <v>1.17443177749922E-5</v>
      </c>
      <c r="M19" s="23">
        <f t="shared" si="1"/>
        <v>425.13</v>
      </c>
      <c r="N19" s="23">
        <v>4.629372</v>
      </c>
      <c r="O19" s="23">
        <v>37.630817</v>
      </c>
      <c r="P19" s="22">
        <v>0.524057</v>
      </c>
      <c r="Q19" s="26">
        <f t="shared" si="2"/>
        <v>-0.9114839767</v>
      </c>
      <c r="R19" s="27">
        <f t="shared" si="3"/>
        <v>-83.1732524</v>
      </c>
      <c r="S19" s="22">
        <v>40000.0</v>
      </c>
      <c r="T19" s="28">
        <f t="shared" si="4"/>
        <v>770.9381715</v>
      </c>
      <c r="U19" s="28">
        <f t="shared" si="7"/>
        <v>770.9381715</v>
      </c>
      <c r="V19" s="23">
        <f t="shared" si="6"/>
        <v>11.29738958</v>
      </c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211" t="s">
        <v>21</v>
      </c>
      <c r="B20" s="211">
        <v>15.0</v>
      </c>
      <c r="C20" s="211">
        <v>1.5</v>
      </c>
      <c r="D20" s="211">
        <v>1.0</v>
      </c>
      <c r="E20" s="211">
        <v>0.0</v>
      </c>
      <c r="F20" s="211">
        <v>0.0</v>
      </c>
      <c r="G20" s="211">
        <v>0.0</v>
      </c>
      <c r="H20" s="211">
        <v>1.5</v>
      </c>
      <c r="I20" s="211">
        <v>0.0</v>
      </c>
      <c r="J20" s="211">
        <v>0.0</v>
      </c>
      <c r="K20" s="212">
        <v>2.475425E-7</v>
      </c>
      <c r="L20" s="213">
        <v>5.87667652020059E-9</v>
      </c>
      <c r="M20" s="212">
        <f t="shared" si="1"/>
        <v>0.2475425</v>
      </c>
      <c r="N20" s="212">
        <v>0.001317</v>
      </c>
      <c r="O20" s="212">
        <v>0.24747</v>
      </c>
      <c r="P20" s="211">
        <v>0.001317</v>
      </c>
      <c r="Q20" s="214">
        <f t="shared" si="2"/>
        <v>-0.0002928790006</v>
      </c>
      <c r="R20" s="215">
        <f t="shared" si="3"/>
        <v>-0.03892577193</v>
      </c>
      <c r="S20" s="211">
        <v>40000.0</v>
      </c>
      <c r="T20" s="216">
        <f t="shared" si="4"/>
        <v>0.4488978955</v>
      </c>
      <c r="U20" s="216">
        <f t="shared" ref="U20:U26" si="8">K20/$K$21</f>
        <v>0.09577223662</v>
      </c>
      <c r="V20" s="38">
        <f t="shared" si="6"/>
        <v>1.000292965</v>
      </c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2.5847E-6</v>
      </c>
      <c r="L21" s="39">
        <v>7.16427091739123E-8</v>
      </c>
      <c r="M21" s="38">
        <f t="shared" si="1"/>
        <v>2.5847</v>
      </c>
      <c r="N21" s="38">
        <v>0.029293</v>
      </c>
      <c r="O21" s="38">
        <v>2.312291</v>
      </c>
      <c r="P21" s="37">
        <v>0.027824</v>
      </c>
      <c r="Q21" s="40">
        <f t="shared" si="2"/>
        <v>-0.1053928889</v>
      </c>
      <c r="R21" s="41">
        <f t="shared" si="3"/>
        <v>-6.742601167</v>
      </c>
      <c r="S21" s="37">
        <v>40000.0</v>
      </c>
      <c r="T21" s="42">
        <f t="shared" si="4"/>
        <v>4.68714015</v>
      </c>
      <c r="U21" s="42">
        <f t="shared" si="8"/>
        <v>1</v>
      </c>
      <c r="V21" s="38">
        <f t="shared" si="6"/>
        <v>1.117809134</v>
      </c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2.8762E-5</v>
      </c>
      <c r="L22" s="39">
        <v>9.67192960180244E-7</v>
      </c>
      <c r="M22" s="38">
        <f t="shared" si="1"/>
        <v>28.762</v>
      </c>
      <c r="N22" s="38">
        <v>0.320532</v>
      </c>
      <c r="O22" s="38">
        <v>15.474844</v>
      </c>
      <c r="P22" s="37">
        <v>0.199235</v>
      </c>
      <c r="Q22" s="40">
        <f t="shared" si="2"/>
        <v>-0.4619691259</v>
      </c>
      <c r="R22" s="41">
        <f t="shared" si="3"/>
        <v>-35.20652356</v>
      </c>
      <c r="S22" s="37">
        <v>40000.0</v>
      </c>
      <c r="T22" s="42">
        <f t="shared" si="4"/>
        <v>52.15751344</v>
      </c>
      <c r="U22" s="42">
        <f t="shared" si="8"/>
        <v>11.12779046</v>
      </c>
      <c r="V22" s="38">
        <f t="shared" si="6"/>
        <v>1.858629399</v>
      </c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1.2968E-4</v>
      </c>
      <c r="L23" s="39">
        <v>6.3445164424792E-6</v>
      </c>
      <c r="M23" s="38">
        <f t="shared" si="1"/>
        <v>129.68</v>
      </c>
      <c r="N23" s="38">
        <v>1.427739</v>
      </c>
      <c r="O23" s="38">
        <v>40.721188</v>
      </c>
      <c r="P23" s="37">
        <v>0.529335</v>
      </c>
      <c r="Q23" s="40">
        <f t="shared" si="2"/>
        <v>-0.6859871376</v>
      </c>
      <c r="R23" s="41">
        <f t="shared" si="3"/>
        <v>-58.42152055</v>
      </c>
      <c r="S23" s="37">
        <v>40000.0</v>
      </c>
      <c r="T23" s="42">
        <f t="shared" si="4"/>
        <v>235.1639783</v>
      </c>
      <c r="U23" s="42">
        <f t="shared" si="8"/>
        <v>50.17216698</v>
      </c>
      <c r="V23" s="38">
        <f t="shared" si="6"/>
        <v>3.184582925</v>
      </c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4.0287E-4</v>
      </c>
      <c r="L24" s="39">
        <v>9.7154001461597E-6</v>
      </c>
      <c r="M24" s="38">
        <f t="shared" si="1"/>
        <v>402.87</v>
      </c>
      <c r="N24" s="38">
        <v>4.403514</v>
      </c>
      <c r="O24" s="38">
        <v>78.198509</v>
      </c>
      <c r="P24" s="37">
        <v>1.026648</v>
      </c>
      <c r="Q24" s="40">
        <f t="shared" si="2"/>
        <v>-0.8058964207</v>
      </c>
      <c r="R24" s="41">
        <f t="shared" si="3"/>
        <v>-71.80442646</v>
      </c>
      <c r="S24" s="37">
        <v>40000.0</v>
      </c>
      <c r="T24" s="42">
        <f t="shared" si="4"/>
        <v>730.5714985</v>
      </c>
      <c r="U24" s="42">
        <f t="shared" si="8"/>
        <v>155.8672186</v>
      </c>
      <c r="V24" s="38">
        <f t="shared" si="6"/>
        <v>5.15188851</v>
      </c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0.0011124</v>
      </c>
      <c r="L25" s="39">
        <v>2.36417709432549E-5</v>
      </c>
      <c r="M25" s="38">
        <f t="shared" si="1"/>
        <v>1112.4</v>
      </c>
      <c r="N25" s="38">
        <v>12.204026</v>
      </c>
      <c r="O25" s="38">
        <v>128.088104</v>
      </c>
      <c r="P25" s="37">
        <v>1.716412</v>
      </c>
      <c r="Q25" s="40">
        <f t="shared" si="2"/>
        <v>-0.8848542754</v>
      </c>
      <c r="R25" s="41">
        <f t="shared" si="3"/>
        <v>-79.868635</v>
      </c>
      <c r="S25" s="37">
        <v>40000.0</v>
      </c>
      <c r="T25" s="42">
        <f t="shared" si="4"/>
        <v>2017.2456</v>
      </c>
      <c r="U25" s="42">
        <f t="shared" si="8"/>
        <v>430.3787674</v>
      </c>
      <c r="V25" s="38">
        <f t="shared" si="6"/>
        <v>8.684647249</v>
      </c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0.0023642</v>
      </c>
      <c r="L26" s="39">
        <v>7.1217663227289E-5</v>
      </c>
      <c r="M26" s="38">
        <f t="shared" si="1"/>
        <v>2364.2</v>
      </c>
      <c r="N26" s="38">
        <v>25.712896</v>
      </c>
      <c r="O26" s="38">
        <v>190.504639</v>
      </c>
      <c r="P26" s="37">
        <v>2.65304</v>
      </c>
      <c r="Q26" s="40">
        <f t="shared" si="2"/>
        <v>-0.9194210985</v>
      </c>
      <c r="R26" s="41">
        <f t="shared" si="3"/>
        <v>-84.09073704</v>
      </c>
      <c r="S26" s="37">
        <v>40000.0</v>
      </c>
      <c r="T26" s="42">
        <f t="shared" si="4"/>
        <v>4287.281597</v>
      </c>
      <c r="U26" s="42">
        <f t="shared" si="8"/>
        <v>914.6902929</v>
      </c>
      <c r="V26" s="38">
        <f t="shared" si="6"/>
        <v>12.41019648</v>
      </c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7.11459999999999E-7</v>
      </c>
      <c r="L27" s="46">
        <v>1.5972211980673E-8</v>
      </c>
      <c r="M27" s="45">
        <f t="shared" si="1"/>
        <v>0.71146</v>
      </c>
      <c r="N27" s="45">
        <v>0.007561</v>
      </c>
      <c r="O27" s="45">
        <v>0.782169</v>
      </c>
      <c r="P27" s="44">
        <v>0.004162</v>
      </c>
      <c r="Q27" s="47">
        <f t="shared" si="2"/>
        <v>0.09938577011</v>
      </c>
      <c r="R27" s="48">
        <f t="shared" si="3"/>
        <v>8.192621579</v>
      </c>
      <c r="S27" s="44">
        <v>40000.0</v>
      </c>
      <c r="T27" s="49">
        <f t="shared" si="4"/>
        <v>1.290173997</v>
      </c>
      <c r="U27" s="49">
        <f t="shared" ref="U27:U33" si="9">K27/$K$28</f>
        <v>0.09284595709</v>
      </c>
      <c r="V27" s="45">
        <f t="shared" si="6"/>
        <v>0.9095988207</v>
      </c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7.6628E-6</v>
      </c>
      <c r="L28" s="46">
        <v>2.32930032413168E-7</v>
      </c>
      <c r="M28" s="45">
        <f t="shared" si="1"/>
        <v>7.6628</v>
      </c>
      <c r="N28" s="45">
        <v>0.086206</v>
      </c>
      <c r="O28" s="45">
        <v>7.308568</v>
      </c>
      <c r="P28" s="44">
        <v>0.087937</v>
      </c>
      <c r="Q28" s="47">
        <f t="shared" si="2"/>
        <v>-0.04622748865</v>
      </c>
      <c r="R28" s="48">
        <f t="shared" si="3"/>
        <v>-2.876572424</v>
      </c>
      <c r="S28" s="44">
        <v>40000.0</v>
      </c>
      <c r="T28" s="49">
        <f t="shared" si="4"/>
        <v>13.89585543</v>
      </c>
      <c r="U28" s="49">
        <f t="shared" si="9"/>
        <v>1</v>
      </c>
      <c r="V28" s="45">
        <f t="shared" si="6"/>
        <v>1.048468045</v>
      </c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8.41089999999999E-5</v>
      </c>
      <c r="L29" s="46">
        <v>2.59501851845244E-6</v>
      </c>
      <c r="M29" s="45">
        <f t="shared" si="1"/>
        <v>84.109</v>
      </c>
      <c r="N29" s="45">
        <v>0.939229</v>
      </c>
      <c r="O29" s="45">
        <v>48.893394</v>
      </c>
      <c r="P29" s="44">
        <v>0.629681</v>
      </c>
      <c r="Q29" s="47">
        <f t="shared" si="2"/>
        <v>-0.4186901045</v>
      </c>
      <c r="R29" s="48">
        <f t="shared" si="3"/>
        <v>-31.14292843</v>
      </c>
      <c r="S29" s="44">
        <v>40000.0</v>
      </c>
      <c r="T29" s="49">
        <f t="shared" si="4"/>
        <v>152.5247305</v>
      </c>
      <c r="U29" s="49">
        <f t="shared" si="9"/>
        <v>10.97627499</v>
      </c>
      <c r="V29" s="45">
        <f t="shared" si="6"/>
        <v>1.720252842</v>
      </c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4.313E-4</v>
      </c>
      <c r="L30" s="46">
        <v>1.21387350613187E-5</v>
      </c>
      <c r="M30" s="45">
        <f t="shared" si="1"/>
        <v>431.3</v>
      </c>
      <c r="N30" s="45">
        <v>4.742657</v>
      </c>
      <c r="O30" s="45">
        <v>128.688858</v>
      </c>
      <c r="P30" s="44">
        <v>1.672961</v>
      </c>
      <c r="Q30" s="47">
        <f t="shared" si="2"/>
        <v>-0.701625648</v>
      </c>
      <c r="R30" s="48">
        <f t="shared" si="3"/>
        <v>-60.17232802</v>
      </c>
      <c r="S30" s="44">
        <v>40000.0</v>
      </c>
      <c r="T30" s="49">
        <f t="shared" si="4"/>
        <v>782.1269574</v>
      </c>
      <c r="U30" s="49">
        <f t="shared" si="9"/>
        <v>56.28490891</v>
      </c>
      <c r="V30" s="45">
        <f t="shared" si="6"/>
        <v>3.351494502</v>
      </c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0.001375</v>
      </c>
      <c r="L31" s="46">
        <v>3.66181497196251E-5</v>
      </c>
      <c r="M31" s="45">
        <f t="shared" si="1"/>
        <v>1375</v>
      </c>
      <c r="N31" s="45">
        <v>15.031939</v>
      </c>
      <c r="O31" s="45">
        <v>247.108398</v>
      </c>
      <c r="P31" s="44">
        <v>3.244716</v>
      </c>
      <c r="Q31" s="47">
        <f t="shared" si="2"/>
        <v>-0.8202848015</v>
      </c>
      <c r="R31" s="48">
        <f t="shared" si="3"/>
        <v>-73.3437963</v>
      </c>
      <c r="S31" s="44">
        <v>40000.0</v>
      </c>
      <c r="T31" s="49">
        <f t="shared" si="4"/>
        <v>2493.449029</v>
      </c>
      <c r="U31" s="49">
        <f t="shared" si="9"/>
        <v>179.4383254</v>
      </c>
      <c r="V31" s="45">
        <f t="shared" si="6"/>
        <v>5.564359654</v>
      </c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0.003524</v>
      </c>
      <c r="L32" s="46">
        <v>1.39934111479494E-4</v>
      </c>
      <c r="M32" s="45">
        <f t="shared" si="1"/>
        <v>3524</v>
      </c>
      <c r="N32" s="45">
        <v>38.538619</v>
      </c>
      <c r="O32" s="45">
        <v>404.762451</v>
      </c>
      <c r="P32" s="44">
        <v>5.424711</v>
      </c>
      <c r="Q32" s="47">
        <f t="shared" si="2"/>
        <v>-0.8851411887</v>
      </c>
      <c r="R32" s="48">
        <f t="shared" si="3"/>
        <v>-80.1478592</v>
      </c>
      <c r="S32" s="44">
        <v>40000.0</v>
      </c>
      <c r="T32" s="49">
        <f t="shared" si="4"/>
        <v>6390.483185</v>
      </c>
      <c r="U32" s="49">
        <f t="shared" si="9"/>
        <v>459.8841155</v>
      </c>
      <c r="V32" s="45">
        <f t="shared" si="6"/>
        <v>8.706341192</v>
      </c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0.0075335</v>
      </c>
      <c r="L33" s="46">
        <v>2.06280418632285E-4</v>
      </c>
      <c r="M33" s="45">
        <f t="shared" si="1"/>
        <v>7533.5</v>
      </c>
      <c r="N33" s="45">
        <v>82.219005</v>
      </c>
      <c r="O33" s="45">
        <v>602.093079</v>
      </c>
      <c r="P33" s="44">
        <v>8.384917</v>
      </c>
      <c r="Q33" s="47">
        <f t="shared" si="2"/>
        <v>-0.9200779081</v>
      </c>
      <c r="R33" s="48">
        <f t="shared" si="3"/>
        <v>-83.86918223</v>
      </c>
      <c r="S33" s="44">
        <v>40000.0</v>
      </c>
      <c r="T33" s="49">
        <f t="shared" si="4"/>
        <v>13661.38055</v>
      </c>
      <c r="U33" s="49">
        <f t="shared" si="9"/>
        <v>983.1262724</v>
      </c>
      <c r="V33" s="45">
        <f t="shared" si="6"/>
        <v>12.51218501</v>
      </c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1.6387E-6</v>
      </c>
      <c r="L34" s="53">
        <v>3.89787691499416E-8</v>
      </c>
      <c r="M34" s="52">
        <f t="shared" si="1"/>
        <v>1.6387</v>
      </c>
      <c r="N34" s="52">
        <v>0.017521</v>
      </c>
      <c r="O34" s="52">
        <v>1.909683</v>
      </c>
      <c r="P34" s="51">
        <v>0.010161</v>
      </c>
      <c r="Q34" s="54">
        <f t="shared" si="2"/>
        <v>0.1653646183</v>
      </c>
      <c r="R34" s="55">
        <f t="shared" si="3"/>
        <v>13.37912209</v>
      </c>
      <c r="S34" s="51">
        <v>40000.0</v>
      </c>
      <c r="T34" s="56">
        <f t="shared" si="4"/>
        <v>2.971647218</v>
      </c>
      <c r="U34" s="56">
        <f t="shared" ref="U34:U40" si="10">K34/$K$35</f>
        <v>0.09157818263</v>
      </c>
      <c r="V34" s="52">
        <f t="shared" si="6"/>
        <v>0.8581005329</v>
      </c>
      <c r="W34" s="87"/>
      <c r="X34" s="87"/>
      <c r="Y34" s="87"/>
      <c r="Z34" s="87"/>
      <c r="AA34" s="87"/>
      <c r="AB34" s="87"/>
      <c r="AC34" s="87"/>
      <c r="AD34" s="87"/>
      <c r="AE34" s="87"/>
      <c r="AF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1.7894E-5</v>
      </c>
      <c r="L35" s="53">
        <v>3.51289687358517E-7</v>
      </c>
      <c r="M35" s="52">
        <f t="shared" si="1"/>
        <v>17.894</v>
      </c>
      <c r="N35" s="52">
        <v>0.201353</v>
      </c>
      <c r="O35" s="52">
        <v>17.843294</v>
      </c>
      <c r="P35" s="51">
        <v>0.21469</v>
      </c>
      <c r="Q35" s="54">
        <f t="shared" si="2"/>
        <v>-0.002833687269</v>
      </c>
      <c r="R35" s="55">
        <f t="shared" si="3"/>
        <v>-0.1722713657</v>
      </c>
      <c r="S35" s="51">
        <v>40000.0</v>
      </c>
      <c r="T35" s="56">
        <f t="shared" si="4"/>
        <v>32.44929231</v>
      </c>
      <c r="U35" s="56">
        <f t="shared" si="10"/>
        <v>1</v>
      </c>
      <c r="V35" s="52">
        <f t="shared" si="6"/>
        <v>1.00284174</v>
      </c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2.20369999999999E-4</v>
      </c>
      <c r="L36" s="53">
        <v>5.48311549719277E-6</v>
      </c>
      <c r="M36" s="52">
        <f t="shared" si="1"/>
        <v>220.37</v>
      </c>
      <c r="N36" s="52">
        <v>2.436794</v>
      </c>
      <c r="O36" s="52">
        <v>119.370193</v>
      </c>
      <c r="P36" s="51">
        <v>1.537307</v>
      </c>
      <c r="Q36" s="54">
        <f t="shared" si="2"/>
        <v>-0.4583192222</v>
      </c>
      <c r="R36" s="55">
        <f t="shared" si="3"/>
        <v>-35.0548465</v>
      </c>
      <c r="S36" s="51">
        <v>40000.0</v>
      </c>
      <c r="T36" s="56">
        <f t="shared" si="4"/>
        <v>399.6228092</v>
      </c>
      <c r="U36" s="56">
        <f t="shared" si="10"/>
        <v>12.31530122</v>
      </c>
      <c r="V36" s="52">
        <f t="shared" si="6"/>
        <v>1.846105753</v>
      </c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0.0010447</v>
      </c>
      <c r="L37" s="53">
        <v>2.05699349105003E-5</v>
      </c>
      <c r="M37" s="52">
        <f t="shared" si="1"/>
        <v>1044.7</v>
      </c>
      <c r="N37" s="52">
        <v>11.451653</v>
      </c>
      <c r="O37" s="52">
        <v>314.237396</v>
      </c>
      <c r="P37" s="51">
        <v>4.084377</v>
      </c>
      <c r="Q37" s="54">
        <f t="shared" si="2"/>
        <v>-0.6992080061</v>
      </c>
      <c r="R37" s="55">
        <f t="shared" si="3"/>
        <v>-60.07969615</v>
      </c>
      <c r="S37" s="51">
        <v>40000.0</v>
      </c>
      <c r="T37" s="56">
        <f t="shared" si="4"/>
        <v>1894.477237</v>
      </c>
      <c r="U37" s="56">
        <f t="shared" si="10"/>
        <v>58.38269811</v>
      </c>
      <c r="V37" s="52">
        <f t="shared" si="6"/>
        <v>3.324556572</v>
      </c>
      <c r="W37" s="87"/>
      <c r="X37" s="87"/>
      <c r="Y37" s="87"/>
      <c r="Z37" s="87"/>
      <c r="AA37" s="87"/>
      <c r="AB37" s="87"/>
      <c r="AC37" s="87"/>
      <c r="AD37" s="87"/>
      <c r="AE37" s="87"/>
      <c r="AF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0.0033866</v>
      </c>
      <c r="L38" s="53">
        <v>1.2953352204481E-4</v>
      </c>
      <c r="M38" s="52">
        <f t="shared" si="1"/>
        <v>3386.6</v>
      </c>
      <c r="N38" s="52">
        <v>37.188687</v>
      </c>
      <c r="O38" s="52">
        <v>603.367126</v>
      </c>
      <c r="P38" s="51">
        <v>7.92167</v>
      </c>
      <c r="Q38" s="54">
        <f t="shared" si="2"/>
        <v>-0.8218369084</v>
      </c>
      <c r="R38" s="55">
        <f t="shared" si="3"/>
        <v>-73.19859586</v>
      </c>
      <c r="S38" s="51">
        <v>40000.0</v>
      </c>
      <c r="T38" s="56">
        <f t="shared" si="4"/>
        <v>6141.319624</v>
      </c>
      <c r="U38" s="56">
        <f t="shared" si="10"/>
        <v>189.2589695</v>
      </c>
      <c r="V38" s="52">
        <f t="shared" si="6"/>
        <v>5.612834797</v>
      </c>
      <c r="W38" s="87"/>
      <c r="X38" s="87"/>
      <c r="Y38" s="87"/>
      <c r="Z38" s="87"/>
      <c r="AA38" s="87"/>
      <c r="AB38" s="87"/>
      <c r="AC38" s="87"/>
      <c r="AD38" s="87"/>
      <c r="AE38" s="87"/>
      <c r="AF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0.0087534</v>
      </c>
      <c r="L39" s="53">
        <v>1.54096794977125E-4</v>
      </c>
      <c r="M39" s="52">
        <f t="shared" si="1"/>
        <v>8753.4</v>
      </c>
      <c r="N39" s="52">
        <v>95.175498</v>
      </c>
      <c r="O39" s="52">
        <v>988.313171</v>
      </c>
      <c r="P39" s="51">
        <v>13.243923</v>
      </c>
      <c r="Q39" s="54">
        <f t="shared" si="2"/>
        <v>-0.8870937954</v>
      </c>
      <c r="R39" s="55">
        <f t="shared" si="3"/>
        <v>-80.80842224</v>
      </c>
      <c r="S39" s="51">
        <v>40000.0</v>
      </c>
      <c r="T39" s="56">
        <f t="shared" si="4"/>
        <v>15873.56853</v>
      </c>
      <c r="U39" s="56">
        <f t="shared" si="10"/>
        <v>489.180731</v>
      </c>
      <c r="V39" s="52">
        <f t="shared" si="6"/>
        <v>8.856909183</v>
      </c>
      <c r="W39" s="87"/>
      <c r="X39" s="87"/>
      <c r="Y39" s="87"/>
      <c r="Z39" s="87"/>
      <c r="AA39" s="87"/>
      <c r="AB39" s="87"/>
      <c r="AC39" s="87"/>
      <c r="AD39" s="87"/>
      <c r="AE39" s="87"/>
      <c r="AF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0.019512</v>
      </c>
      <c r="L40" s="53">
        <v>7.05908398212308E-4</v>
      </c>
      <c r="M40" s="52">
        <f t="shared" si="1"/>
        <v>19512</v>
      </c>
      <c r="N40" s="52">
        <v>212.644991</v>
      </c>
      <c r="O40" s="52">
        <v>1469.989136</v>
      </c>
      <c r="P40" s="51">
        <v>20.470989</v>
      </c>
      <c r="Q40" s="54">
        <f t="shared" si="2"/>
        <v>-0.9246623034</v>
      </c>
      <c r="R40" s="55">
        <f t="shared" si="3"/>
        <v>-84.45524321</v>
      </c>
      <c r="S40" s="51">
        <v>40000.0</v>
      </c>
      <c r="T40" s="56">
        <f t="shared" si="4"/>
        <v>35383.40179</v>
      </c>
      <c r="U40" s="56">
        <f t="shared" si="10"/>
        <v>1090.42137</v>
      </c>
      <c r="V40" s="52">
        <f t="shared" si="6"/>
        <v>13.27356749</v>
      </c>
      <c r="W40" s="87"/>
      <c r="X40" s="87"/>
      <c r="Y40" s="87"/>
      <c r="Z40" s="87"/>
      <c r="AA40" s="87"/>
      <c r="AB40" s="87"/>
      <c r="AC40" s="87"/>
      <c r="AD40" s="87"/>
      <c r="AE40" s="87"/>
      <c r="AF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3.44449999999999E-6</v>
      </c>
      <c r="L41" s="60">
        <v>4.7511986791639E-8</v>
      </c>
      <c r="M41" s="59">
        <f t="shared" si="1"/>
        <v>3.4445</v>
      </c>
      <c r="N41" s="59">
        <v>0.036717</v>
      </c>
      <c r="O41" s="59">
        <v>3.959521</v>
      </c>
      <c r="P41" s="58">
        <v>0.02107</v>
      </c>
      <c r="Q41" s="61">
        <f t="shared" si="2"/>
        <v>0.1495198142</v>
      </c>
      <c r="R41" s="62">
        <f t="shared" si="3"/>
        <v>12.16594585</v>
      </c>
      <c r="S41" s="58">
        <v>40000.0</v>
      </c>
      <c r="T41" s="63">
        <f t="shared" si="4"/>
        <v>6.246316496</v>
      </c>
      <c r="U41" s="63">
        <f t="shared" ref="U41:U47" si="11">K41/$K$42</f>
        <v>0.08406960851</v>
      </c>
      <c r="V41" s="59">
        <f t="shared" si="6"/>
        <v>0.8699284585</v>
      </c>
      <c r="W41" s="89"/>
      <c r="X41" s="89"/>
      <c r="Y41" s="89"/>
      <c r="Z41" s="89"/>
      <c r="AA41" s="89"/>
      <c r="AB41" s="89"/>
      <c r="AC41" s="89"/>
      <c r="AD41" s="89"/>
      <c r="AE41" s="89"/>
      <c r="AF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4.09719999999999E-5</v>
      </c>
      <c r="L42" s="60">
        <v>1.32867352398297E-6</v>
      </c>
      <c r="M42" s="59">
        <f t="shared" si="1"/>
        <v>40.972</v>
      </c>
      <c r="N42" s="59">
        <v>0.467023</v>
      </c>
      <c r="O42" s="59">
        <v>36.996658</v>
      </c>
      <c r="P42" s="58">
        <v>0.445181</v>
      </c>
      <c r="Q42" s="61">
        <f t="shared" si="2"/>
        <v>-0.09702582251</v>
      </c>
      <c r="R42" s="62">
        <f t="shared" si="3"/>
        <v>-6.161310028</v>
      </c>
      <c r="S42" s="58">
        <v>40000.0</v>
      </c>
      <c r="T42" s="63">
        <f t="shared" si="4"/>
        <v>74.29934082</v>
      </c>
      <c r="U42" s="63">
        <f t="shared" si="11"/>
        <v>1</v>
      </c>
      <c r="V42" s="59">
        <f t="shared" si="6"/>
        <v>1.107451381</v>
      </c>
      <c r="W42" s="89"/>
      <c r="X42" s="89"/>
      <c r="Y42" s="89"/>
      <c r="Z42" s="89"/>
      <c r="AA42" s="89"/>
      <c r="AB42" s="89"/>
      <c r="AC42" s="89"/>
      <c r="AD42" s="89"/>
      <c r="AE42" s="89"/>
      <c r="AF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4.62799999999999E-4</v>
      </c>
      <c r="L43" s="60">
        <v>1.25216257375434E-5</v>
      </c>
      <c r="M43" s="59">
        <f t="shared" si="1"/>
        <v>462.8</v>
      </c>
      <c r="N43" s="59">
        <v>5.169994</v>
      </c>
      <c r="O43" s="59">
        <v>247.597504</v>
      </c>
      <c r="P43" s="58">
        <v>3.187761</v>
      </c>
      <c r="Q43" s="61">
        <f t="shared" si="2"/>
        <v>-0.4650010717</v>
      </c>
      <c r="R43" s="62">
        <f t="shared" si="3"/>
        <v>-35.43146441</v>
      </c>
      <c r="S43" s="58">
        <v>40000.0</v>
      </c>
      <c r="T43" s="63">
        <f t="shared" si="4"/>
        <v>839.2496078</v>
      </c>
      <c r="U43" s="63">
        <f t="shared" si="11"/>
        <v>11.29551889</v>
      </c>
      <c r="V43" s="59">
        <f t="shared" si="6"/>
        <v>1.869162623</v>
      </c>
      <c r="W43" s="89"/>
      <c r="X43" s="89"/>
      <c r="Y43" s="89"/>
      <c r="Z43" s="89"/>
      <c r="AA43" s="89"/>
      <c r="AB43" s="89"/>
      <c r="AC43" s="89"/>
      <c r="AD43" s="89"/>
      <c r="AE43" s="89"/>
      <c r="AF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>
        <v>0.00225989999999999</v>
      </c>
      <c r="L44" s="60">
        <v>8.73186374403794E-5</v>
      </c>
      <c r="M44" s="59">
        <f t="shared" si="1"/>
        <v>2259.9</v>
      </c>
      <c r="N44" s="59">
        <v>25.243383</v>
      </c>
      <c r="O44" s="59">
        <v>651.539001</v>
      </c>
      <c r="P44" s="58">
        <v>8.469365</v>
      </c>
      <c r="Q44" s="61">
        <f t="shared" si="2"/>
        <v>-0.7116956498</v>
      </c>
      <c r="R44" s="62">
        <f t="shared" si="3"/>
        <v>-60.40503185</v>
      </c>
      <c r="S44" s="58">
        <v>40000.0</v>
      </c>
      <c r="T44" s="63">
        <f t="shared" si="4"/>
        <v>4098.142154</v>
      </c>
      <c r="U44" s="63">
        <f t="shared" si="11"/>
        <v>55.15718051</v>
      </c>
      <c r="V44" s="59">
        <f t="shared" si="6"/>
        <v>3.46855675</v>
      </c>
      <c r="W44" s="89"/>
      <c r="X44" s="89"/>
      <c r="Y44" s="89"/>
      <c r="Z44" s="89"/>
      <c r="AA44" s="89"/>
      <c r="AB44" s="89"/>
      <c r="AC44" s="89"/>
      <c r="AD44" s="89"/>
      <c r="AE44" s="89"/>
      <c r="AF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0.0073076</v>
      </c>
      <c r="L45" s="60">
        <v>1.80839523703567E-4</v>
      </c>
      <c r="M45" s="59">
        <f t="shared" si="1"/>
        <v>7307.6</v>
      </c>
      <c r="N45" s="59">
        <v>79.92379</v>
      </c>
      <c r="O45" s="59">
        <v>1251.176147</v>
      </c>
      <c r="P45" s="58">
        <v>16.426376</v>
      </c>
      <c r="Q45" s="61">
        <f t="shared" si="2"/>
        <v>-0.8287842593</v>
      </c>
      <c r="R45" s="62">
        <f t="shared" si="3"/>
        <v>-74.2260195</v>
      </c>
      <c r="S45" s="58">
        <v>40000.0</v>
      </c>
      <c r="T45" s="63">
        <f t="shared" si="4"/>
        <v>13251.72955</v>
      </c>
      <c r="U45" s="63">
        <f t="shared" si="11"/>
        <v>178.3559504</v>
      </c>
      <c r="V45" s="59">
        <f t="shared" si="6"/>
        <v>5.840584491</v>
      </c>
      <c r="W45" s="89"/>
      <c r="X45" s="89"/>
      <c r="Y45" s="89"/>
      <c r="Z45" s="89"/>
      <c r="AA45" s="89"/>
      <c r="AB45" s="89"/>
      <c r="AC45" s="89"/>
      <c r="AD45" s="89"/>
      <c r="AE45" s="89"/>
      <c r="AF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0.019257</v>
      </c>
      <c r="L46" s="60">
        <v>3.11450013824226E-4</v>
      </c>
      <c r="M46" s="59">
        <f t="shared" si="1"/>
        <v>19257</v>
      </c>
      <c r="N46" s="59">
        <v>211.155095</v>
      </c>
      <c r="O46" s="59">
        <v>2049.409668</v>
      </c>
      <c r="P46" s="58">
        <v>27.462598</v>
      </c>
      <c r="Q46" s="61">
        <f t="shared" si="2"/>
        <v>-0.8935758598</v>
      </c>
      <c r="R46" s="62">
        <f t="shared" si="3"/>
        <v>-80.81204535</v>
      </c>
      <c r="S46" s="58">
        <v>40000.0</v>
      </c>
      <c r="T46" s="63">
        <f t="shared" si="4"/>
        <v>34920.98033</v>
      </c>
      <c r="U46" s="63">
        <f t="shared" si="11"/>
        <v>470.0039051</v>
      </c>
      <c r="V46" s="59">
        <f t="shared" si="6"/>
        <v>9.396364378</v>
      </c>
      <c r="W46" s="89"/>
      <c r="X46" s="89"/>
      <c r="Y46" s="89"/>
      <c r="Z46" s="89"/>
      <c r="AA46" s="89"/>
      <c r="AB46" s="89"/>
      <c r="AC46" s="89"/>
      <c r="AD46" s="89"/>
      <c r="AE46" s="89"/>
      <c r="AF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0.042439</v>
      </c>
      <c r="L47" s="60">
        <v>0.00107076763741408</v>
      </c>
      <c r="M47" s="59">
        <f t="shared" si="1"/>
        <v>42439</v>
      </c>
      <c r="N47" s="59">
        <v>461.264531</v>
      </c>
      <c r="O47" s="59">
        <v>3048.074219</v>
      </c>
      <c r="P47" s="58">
        <v>42.448643</v>
      </c>
      <c r="Q47" s="61">
        <f t="shared" si="2"/>
        <v>-0.9281775202</v>
      </c>
      <c r="R47" s="62">
        <f t="shared" si="3"/>
        <v>-85.03835886</v>
      </c>
      <c r="S47" s="58">
        <v>40000.0</v>
      </c>
      <c r="T47" s="63">
        <f t="shared" si="4"/>
        <v>76959.62426</v>
      </c>
      <c r="U47" s="63">
        <f t="shared" si="11"/>
        <v>1035.80494</v>
      </c>
      <c r="V47" s="59">
        <f t="shared" si="6"/>
        <v>13.9232174</v>
      </c>
      <c r="W47" s="89"/>
      <c r="X47" s="89"/>
      <c r="Y47" s="89"/>
      <c r="Z47" s="89"/>
      <c r="AA47" s="89"/>
      <c r="AB47" s="89"/>
      <c r="AC47" s="89"/>
      <c r="AD47" s="89"/>
      <c r="AE47" s="89"/>
      <c r="AF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1.0494E-5</v>
      </c>
      <c r="L48" s="96">
        <v>2.71219468327773E-7</v>
      </c>
      <c r="M48" s="95">
        <f t="shared" si="1"/>
        <v>10.494</v>
      </c>
      <c r="N48" s="95">
        <v>0.113456</v>
      </c>
      <c r="O48" s="95">
        <v>12.514703</v>
      </c>
      <c r="P48" s="94">
        <v>0.066593</v>
      </c>
      <c r="Q48" s="97">
        <f t="shared" si="2"/>
        <v>0.1925579379</v>
      </c>
      <c r="R48" s="98">
        <f t="shared" si="3"/>
        <v>15.36006133</v>
      </c>
      <c r="S48" s="94">
        <v>40000.0</v>
      </c>
      <c r="T48" s="99">
        <f t="shared" si="4"/>
        <v>19.03000299</v>
      </c>
      <c r="U48" s="99">
        <f t="shared" ref="U48:U54" si="12">K48/$K$49</f>
        <v>0.08253893346</v>
      </c>
      <c r="V48" s="95">
        <f t="shared" si="6"/>
        <v>0.8385336831</v>
      </c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1.2714E-4</v>
      </c>
      <c r="L49" s="96">
        <v>4.04452991362682E-6</v>
      </c>
      <c r="M49" s="95">
        <f t="shared" si="1"/>
        <v>127.14</v>
      </c>
      <c r="N49" s="95">
        <v>1.422734</v>
      </c>
      <c r="O49" s="95">
        <v>116.937103</v>
      </c>
      <c r="P49" s="94">
        <v>1.406992</v>
      </c>
      <c r="Q49" s="97">
        <f t="shared" si="2"/>
        <v>-0.08024930785</v>
      </c>
      <c r="R49" s="98">
        <f t="shared" si="3"/>
        <v>-5.099027978</v>
      </c>
      <c r="S49" s="94">
        <v>40000.0</v>
      </c>
      <c r="T49" s="99">
        <f t="shared" si="4"/>
        <v>230.5578979</v>
      </c>
      <c r="U49" s="99">
        <f t="shared" si="12"/>
        <v>1</v>
      </c>
      <c r="V49" s="95">
        <f t="shared" si="6"/>
        <v>1.087251152</v>
      </c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0.0015056</v>
      </c>
      <c r="L50" s="96">
        <v>4.21615938977643E-5</v>
      </c>
      <c r="M50" s="95">
        <f t="shared" si="1"/>
        <v>1505.6</v>
      </c>
      <c r="N50" s="95">
        <v>16.790049</v>
      </c>
      <c r="O50" s="95">
        <v>782.29425</v>
      </c>
      <c r="P50" s="94">
        <v>10.074898</v>
      </c>
      <c r="Q50" s="97">
        <f t="shared" si="2"/>
        <v>-0.4804103015</v>
      </c>
      <c r="R50" s="98">
        <f t="shared" si="3"/>
        <v>-36.93946384</v>
      </c>
      <c r="S50" s="94">
        <v>40000.0</v>
      </c>
      <c r="T50" s="99">
        <f t="shared" si="4"/>
        <v>2730.281352</v>
      </c>
      <c r="U50" s="99">
        <f t="shared" si="12"/>
        <v>11.84206387</v>
      </c>
      <c r="V50" s="95">
        <f t="shared" si="6"/>
        <v>1.924595509</v>
      </c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0.00724989999999999</v>
      </c>
      <c r="L51" s="96">
        <v>2.46972535585099E-4</v>
      </c>
      <c r="M51" s="95">
        <f t="shared" si="1"/>
        <v>7249.9</v>
      </c>
      <c r="N51" s="95">
        <v>80.065592</v>
      </c>
      <c r="O51" s="95">
        <v>2059.021729</v>
      </c>
      <c r="P51" s="94">
        <v>26.767376</v>
      </c>
      <c r="Q51" s="97">
        <f t="shared" si="2"/>
        <v>-0.7159930856</v>
      </c>
      <c r="R51" s="98">
        <f t="shared" si="3"/>
        <v>-61.48762606</v>
      </c>
      <c r="S51" s="94">
        <v>40000.0</v>
      </c>
      <c r="T51" s="99">
        <f t="shared" si="4"/>
        <v>13147.09536</v>
      </c>
      <c r="U51" s="99">
        <f t="shared" si="12"/>
        <v>57.02296681</v>
      </c>
      <c r="V51" s="95">
        <f t="shared" si="6"/>
        <v>3.521041035</v>
      </c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0.025184</v>
      </c>
      <c r="L52" s="96">
        <v>5.50680387238268E-4</v>
      </c>
      <c r="M52" s="95">
        <f t="shared" si="1"/>
        <v>25184</v>
      </c>
      <c r="N52" s="95">
        <v>277.195639</v>
      </c>
      <c r="O52" s="95">
        <v>3953.734375</v>
      </c>
      <c r="P52" s="94">
        <v>51.915459</v>
      </c>
      <c r="Q52" s="97">
        <f t="shared" si="2"/>
        <v>-0.8430061001</v>
      </c>
      <c r="R52" s="98">
        <f t="shared" si="3"/>
        <v>-75.28054185</v>
      </c>
      <c r="S52" s="94">
        <v>40000.0</v>
      </c>
      <c r="T52" s="99">
        <f t="shared" si="4"/>
        <v>45669.10571</v>
      </c>
      <c r="U52" s="99">
        <f t="shared" si="12"/>
        <v>198.0808557</v>
      </c>
      <c r="V52" s="95">
        <f t="shared" si="6"/>
        <v>6.36967424</v>
      </c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0.066091</v>
      </c>
      <c r="L53" s="96">
        <v>0.00180541438764376</v>
      </c>
      <c r="M53" s="95">
        <f t="shared" si="1"/>
        <v>66091</v>
      </c>
      <c r="N53" s="95">
        <v>721.314173</v>
      </c>
      <c r="O53" s="95">
        <v>6476.199219</v>
      </c>
      <c r="P53" s="94">
        <v>86.795371</v>
      </c>
      <c r="Q53" s="97">
        <f t="shared" si="2"/>
        <v>-0.9020108756</v>
      </c>
      <c r="R53" s="98">
        <f t="shared" si="3"/>
        <v>-82.05556882</v>
      </c>
      <c r="S53" s="94">
        <v>40000.0</v>
      </c>
      <c r="T53" s="99">
        <f t="shared" si="4"/>
        <v>119850.5744</v>
      </c>
      <c r="U53" s="99">
        <f t="shared" si="12"/>
        <v>519.8285355</v>
      </c>
      <c r="V53" s="95">
        <f t="shared" si="6"/>
        <v>10.20521416</v>
      </c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0.14617</v>
      </c>
      <c r="L54" s="96">
        <v>0.0052089772935236</v>
      </c>
      <c r="M54" s="95">
        <f t="shared" si="1"/>
        <v>146170</v>
      </c>
      <c r="N54" s="95">
        <v>1591.515135</v>
      </c>
      <c r="O54" s="95">
        <v>9633.489258</v>
      </c>
      <c r="P54" s="94">
        <v>134.158673</v>
      </c>
      <c r="Q54" s="97">
        <f t="shared" si="2"/>
        <v>-0.9340939368</v>
      </c>
      <c r="R54" s="98">
        <f t="shared" si="3"/>
        <v>-85.48707703</v>
      </c>
      <c r="S54" s="94">
        <v>40000.0</v>
      </c>
      <c r="T54" s="99">
        <f t="shared" si="4"/>
        <v>265067.2325</v>
      </c>
      <c r="U54" s="99">
        <f t="shared" si="12"/>
        <v>1149.677521</v>
      </c>
      <c r="V54" s="95">
        <f t="shared" si="6"/>
        <v>15.17311081</v>
      </c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2.5267E-5</v>
      </c>
      <c r="L55" s="103">
        <v>6.83667398016836E-7</v>
      </c>
      <c r="M55" s="102">
        <f t="shared" si="1"/>
        <v>25.267</v>
      </c>
      <c r="N55" s="102">
        <v>0.275983</v>
      </c>
      <c r="O55" s="102">
        <v>30.554924</v>
      </c>
      <c r="P55" s="101">
        <v>0.162581</v>
      </c>
      <c r="Q55" s="104">
        <f t="shared" si="2"/>
        <v>0.2092818301</v>
      </c>
      <c r="R55" s="106">
        <f t="shared" si="3"/>
        <v>16.50871317</v>
      </c>
      <c r="S55" s="101">
        <v>40000.0</v>
      </c>
      <c r="T55" s="108">
        <f t="shared" si="4"/>
        <v>45.81961936</v>
      </c>
      <c r="U55" s="108">
        <f t="shared" ref="U55:U61" si="13">K55/$K$56</f>
        <v>0.07950097539</v>
      </c>
      <c r="V55" s="102">
        <f t="shared" si="6"/>
        <v>0.826937092</v>
      </c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3.1782E-4</v>
      </c>
      <c r="L56" s="103">
        <v>7.92868210990956E-6</v>
      </c>
      <c r="M56" s="102">
        <f t="shared" si="1"/>
        <v>317.82</v>
      </c>
      <c r="N56" s="102">
        <v>3.5681</v>
      </c>
      <c r="O56" s="102">
        <v>285.492706</v>
      </c>
      <c r="P56" s="101">
        <v>3.435039</v>
      </c>
      <c r="Q56" s="104">
        <f t="shared" si="2"/>
        <v>-0.1017157322</v>
      </c>
      <c r="R56" s="106">
        <f t="shared" si="3"/>
        <v>-6.526994199</v>
      </c>
      <c r="S56" s="101">
        <v>40000.0</v>
      </c>
      <c r="T56" s="108">
        <f t="shared" si="4"/>
        <v>576.3403422</v>
      </c>
      <c r="U56" s="108">
        <f t="shared" si="13"/>
        <v>1</v>
      </c>
      <c r="V56" s="102">
        <f t="shared" si="6"/>
        <v>1.113233345</v>
      </c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0.0038084</v>
      </c>
      <c r="L57" s="103">
        <v>9.48966689498518E-5</v>
      </c>
      <c r="M57" s="102">
        <f t="shared" si="1"/>
        <v>3808.4</v>
      </c>
      <c r="N57" s="102">
        <v>42.626912</v>
      </c>
      <c r="O57" s="102">
        <v>1909.923096</v>
      </c>
      <c r="P57" s="101">
        <v>24.596918</v>
      </c>
      <c r="Q57" s="104">
        <f t="shared" si="2"/>
        <v>-0.498497244</v>
      </c>
      <c r="R57" s="106">
        <f t="shared" si="3"/>
        <v>-38.57560001</v>
      </c>
      <c r="S57" s="101">
        <v>40000.0</v>
      </c>
      <c r="T57" s="108">
        <f t="shared" si="4"/>
        <v>6906.219115</v>
      </c>
      <c r="U57" s="108">
        <f t="shared" si="13"/>
        <v>11.98288339</v>
      </c>
      <c r="V57" s="102">
        <f t="shared" si="6"/>
        <v>1.994006988</v>
      </c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0.0190709999999999</v>
      </c>
      <c r="L58" s="103">
        <v>4.72874190456615E-4</v>
      </c>
      <c r="M58" s="102">
        <f t="shared" si="1"/>
        <v>19071</v>
      </c>
      <c r="N58" s="102">
        <v>211.432278</v>
      </c>
      <c r="O58" s="102">
        <v>5027.79834</v>
      </c>
      <c r="P58" s="101">
        <v>65.350038</v>
      </c>
      <c r="Q58" s="104">
        <f t="shared" si="2"/>
        <v>-0.7363642001</v>
      </c>
      <c r="R58" s="106">
        <f t="shared" si="3"/>
        <v>-63.45740365</v>
      </c>
      <c r="S58" s="101">
        <v>40000.0</v>
      </c>
      <c r="T58" s="108">
        <f t="shared" si="4"/>
        <v>34583.68468</v>
      </c>
      <c r="U58" s="108">
        <f t="shared" si="13"/>
        <v>60.00566358</v>
      </c>
      <c r="V58" s="102">
        <f t="shared" si="6"/>
        <v>3.793111559</v>
      </c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0.065623</v>
      </c>
      <c r="L59" s="103">
        <v>0.00229129778849357</v>
      </c>
      <c r="M59" s="102">
        <f t="shared" si="1"/>
        <v>65623</v>
      </c>
      <c r="N59" s="102">
        <v>713.903619</v>
      </c>
      <c r="O59" s="102">
        <v>9653.874023</v>
      </c>
      <c r="P59" s="101">
        <v>126.746726</v>
      </c>
      <c r="Q59" s="104">
        <f t="shared" si="2"/>
        <v>-0.8528888648</v>
      </c>
      <c r="R59" s="106">
        <f t="shared" si="3"/>
        <v>-77.19159074</v>
      </c>
      <c r="S59" s="101">
        <v>40000.0</v>
      </c>
      <c r="T59" s="108">
        <f t="shared" si="4"/>
        <v>119001.895</v>
      </c>
      <c r="U59" s="108">
        <f t="shared" si="13"/>
        <v>206.4785098</v>
      </c>
      <c r="V59" s="102">
        <f t="shared" si="6"/>
        <v>6.79758197</v>
      </c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0.173909999999999</v>
      </c>
      <c r="L60" s="103">
        <v>0.00461505988886144</v>
      </c>
      <c r="M60" s="102">
        <f t="shared" si="1"/>
        <v>173910</v>
      </c>
      <c r="N60" s="102">
        <v>1897.99058</v>
      </c>
      <c r="O60" s="102">
        <v>15813.010742</v>
      </c>
      <c r="P60" s="101">
        <v>211.902762</v>
      </c>
      <c r="Q60" s="104">
        <f t="shared" si="2"/>
        <v>-0.909073597</v>
      </c>
      <c r="R60" s="106">
        <f t="shared" si="3"/>
        <v>-82.78269892</v>
      </c>
      <c r="S60" s="101">
        <v>40000.0</v>
      </c>
      <c r="T60" s="108">
        <f t="shared" si="4"/>
        <v>315371.4332</v>
      </c>
      <c r="U60" s="108">
        <f t="shared" si="13"/>
        <v>547.1965263</v>
      </c>
      <c r="V60" s="102">
        <f t="shared" si="6"/>
        <v>10.99790564</v>
      </c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0.37613</v>
      </c>
      <c r="L61" s="103">
        <v>0.0062480308008915</v>
      </c>
      <c r="M61" s="102">
        <f t="shared" si="1"/>
        <v>376130</v>
      </c>
      <c r="N61" s="102">
        <v>4066.413362</v>
      </c>
      <c r="O61" s="102">
        <v>23519.826172</v>
      </c>
      <c r="P61" s="101">
        <v>327.53582</v>
      </c>
      <c r="Q61" s="104">
        <f t="shared" si="2"/>
        <v>-0.9374688906</v>
      </c>
      <c r="R61" s="106">
        <f t="shared" si="3"/>
        <v>-86.43289645</v>
      </c>
      <c r="S61" s="101">
        <v>40000.0</v>
      </c>
      <c r="T61" s="108">
        <f t="shared" si="4"/>
        <v>682080.7152</v>
      </c>
      <c r="U61" s="108">
        <f t="shared" si="13"/>
        <v>1183.46863</v>
      </c>
      <c r="V61" s="102">
        <f t="shared" si="6"/>
        <v>15.99203996</v>
      </c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</row>
    <row r="62">
      <c r="A62" s="4"/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1.6464E-6</v>
      </c>
      <c r="L62" s="117">
        <v>6.53319727749489E-8</v>
      </c>
      <c r="M62" s="116">
        <f t="shared" si="1"/>
        <v>1.6464</v>
      </c>
      <c r="N62" s="116">
        <v>0.019199</v>
      </c>
      <c r="O62" s="116">
        <v>0.24747</v>
      </c>
      <c r="P62" s="4">
        <v>0.001317</v>
      </c>
      <c r="Q62" s="118">
        <f t="shared" si="2"/>
        <v>-0.8496902332</v>
      </c>
      <c r="R62" s="119">
        <f t="shared" si="3"/>
        <v>-72.69389933</v>
      </c>
      <c r="S62" s="4">
        <v>40000.0</v>
      </c>
      <c r="T62" s="120">
        <f t="shared" si="4"/>
        <v>2.985610532</v>
      </c>
      <c r="V62" s="1">
        <f t="shared" si="6"/>
        <v>6.652927628</v>
      </c>
    </row>
    <row r="63">
      <c r="A63" s="4" t="s">
        <v>45</v>
      </c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1.6464E-6</v>
      </c>
      <c r="L63" s="117">
        <v>6.53319727749489E-8</v>
      </c>
      <c r="M63" s="116">
        <f t="shared" si="1"/>
        <v>1.6464</v>
      </c>
      <c r="N63" s="116">
        <v>0.019199</v>
      </c>
      <c r="O63" s="116">
        <v>0.24747</v>
      </c>
      <c r="P63" s="4">
        <v>0.001317</v>
      </c>
      <c r="Q63" s="118">
        <f t="shared" si="2"/>
        <v>-0.8496902332</v>
      </c>
      <c r="R63" s="119">
        <f t="shared" si="3"/>
        <v>-72.69389933</v>
      </c>
      <c r="S63" s="4">
        <v>40000.0</v>
      </c>
      <c r="T63" s="120">
        <f t="shared" si="4"/>
        <v>2.985610532</v>
      </c>
      <c r="V63" s="1">
        <f t="shared" si="6"/>
        <v>6.652927628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1.851E-5</v>
      </c>
      <c r="L64" s="117">
        <v>4.31071017608725E-7</v>
      </c>
      <c r="M64" s="116">
        <f t="shared" si="1"/>
        <v>18.51</v>
      </c>
      <c r="N64" s="116">
        <v>0.200928</v>
      </c>
      <c r="O64" s="116">
        <v>0.093501</v>
      </c>
      <c r="P64" s="4">
        <v>0.041521</v>
      </c>
      <c r="Q64" s="118">
        <f t="shared" si="2"/>
        <v>-0.9949486224</v>
      </c>
      <c r="R64" s="119">
        <f t="shared" si="3"/>
        <v>-89.76073014</v>
      </c>
      <c r="S64" s="4">
        <v>32655.0</v>
      </c>
      <c r="T64" s="120">
        <f t="shared" si="4"/>
        <v>33.56635748</v>
      </c>
      <c r="V64" s="1">
        <f t="shared" si="6"/>
        <v>197.9657972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5.1798E-7</v>
      </c>
      <c r="L65" s="117">
        <v>1.54835252948272E-8</v>
      </c>
      <c r="M65" s="116">
        <f t="shared" si="1"/>
        <v>0.51798</v>
      </c>
      <c r="N65" s="116">
        <v>0.005835</v>
      </c>
      <c r="O65" s="116">
        <v>0.245163</v>
      </c>
      <c r="P65" s="4">
        <v>0.001307</v>
      </c>
      <c r="Q65" s="118">
        <f t="shared" si="2"/>
        <v>-0.5266940809</v>
      </c>
      <c r="R65" s="119">
        <f t="shared" si="3"/>
        <v>-45.62471442</v>
      </c>
      <c r="S65" s="4">
        <v>40000.0</v>
      </c>
      <c r="T65" s="120">
        <f t="shared" si="4"/>
        <v>0.9393139842</v>
      </c>
      <c r="V65" s="1">
        <f t="shared" si="6"/>
        <v>2.112798424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5.2191E-7</v>
      </c>
      <c r="L66" s="117">
        <v>1.46180596067558E-8</v>
      </c>
      <c r="M66" s="116">
        <f t="shared" si="1"/>
        <v>0.52191</v>
      </c>
      <c r="N66" s="116">
        <v>0.005889</v>
      </c>
      <c r="O66" s="116">
        <v>0.245155</v>
      </c>
      <c r="P66" s="4">
        <v>0.001307</v>
      </c>
      <c r="Q66" s="118">
        <f t="shared" si="2"/>
        <v>-0.5302734188</v>
      </c>
      <c r="R66" s="119">
        <f t="shared" si="3"/>
        <v>-45.87889838</v>
      </c>
      <c r="S66" s="4">
        <v>40000.0</v>
      </c>
      <c r="T66" s="120">
        <f t="shared" si="4"/>
        <v>0.9464407148</v>
      </c>
      <c r="V66" s="1">
        <f t="shared" si="6"/>
        <v>2.128898044</v>
      </c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42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46</v>
      </c>
      <c r="W5" s="4">
        <v>0.2</v>
      </c>
    </row>
    <row r="6">
      <c r="A6" s="8"/>
      <c r="B6" s="8">
        <v>1.0</v>
      </c>
      <c r="C6" s="8">
        <v>2.5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1.6026E-9</v>
      </c>
      <c r="L6" s="11">
        <v>3.11491037859304E-11</v>
      </c>
      <c r="M6" s="10">
        <f t="shared" ref="M6:M66" si="1">K6*1000000</f>
        <v>0.0016026</v>
      </c>
      <c r="N6" s="10">
        <v>1.7E-5</v>
      </c>
      <c r="O6" s="10">
        <v>7.33E-4</v>
      </c>
      <c r="P6" s="8">
        <v>7.0E-5</v>
      </c>
      <c r="Q6" s="12">
        <f t="shared" ref="Q6:Q66" si="2">(O6-M6)/M6</f>
        <v>-0.5426182454</v>
      </c>
      <c r="R6" s="13">
        <f t="shared" ref="R6:R66" si="3">(O6-M6)/sqrt(N6*N6+P6*P6)</f>
        <v>-12.07195744</v>
      </c>
      <c r="S6" s="8">
        <v>11748.0</v>
      </c>
      <c r="T6" s="14">
        <f t="shared" ref="T6:T66" si="4">K6/$K$14</f>
        <v>0.009823615049</v>
      </c>
      <c r="U6" s="14">
        <f t="shared" ref="U6:U12" si="5">K6/$K$7</f>
        <v>0.1279214559</v>
      </c>
      <c r="V6" s="10">
        <f t="shared" ref="V6:V66" si="6">M6/O6</f>
        <v>2.186357435</v>
      </c>
      <c r="W6" s="8">
        <f t="shared" ref="W6:W66" si="7">IF(abs(V6-1)&lt;$W$5, 1, 0)</f>
        <v>0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>
      <c r="A7" s="8"/>
      <c r="B7" s="8">
        <v>2.0</v>
      </c>
      <c r="C7" s="8">
        <v>2.5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1.2528E-8</v>
      </c>
      <c r="L7" s="11">
        <v>3.97682173489221E-10</v>
      </c>
      <c r="M7" s="10">
        <f t="shared" si="1"/>
        <v>0.012528</v>
      </c>
      <c r="N7" s="10">
        <v>1.4E-4</v>
      </c>
      <c r="O7" s="10">
        <v>0.009916</v>
      </c>
      <c r="P7" s="8">
        <v>1.16E-4</v>
      </c>
      <c r="Q7" s="12">
        <f t="shared" si="2"/>
        <v>-0.2084929757</v>
      </c>
      <c r="R7" s="13">
        <f t="shared" si="3"/>
        <v>-14.36640226</v>
      </c>
      <c r="S7" s="8">
        <v>40000.0</v>
      </c>
      <c r="T7" s="14">
        <f t="shared" si="4"/>
        <v>0.07679411539</v>
      </c>
      <c r="U7" s="14">
        <f t="shared" si="5"/>
        <v>1</v>
      </c>
      <c r="V7" s="10">
        <f t="shared" si="6"/>
        <v>1.263412666</v>
      </c>
      <c r="W7" s="8">
        <f t="shared" si="7"/>
        <v>0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8"/>
      <c r="B8" s="8">
        <v>3.0</v>
      </c>
      <c r="C8" s="8">
        <v>2.5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1.2663E-7</v>
      </c>
      <c r="L8" s="11">
        <v>3.00334998145589E-9</v>
      </c>
      <c r="M8" s="10">
        <f t="shared" si="1"/>
        <v>0.12663</v>
      </c>
      <c r="N8" s="10">
        <v>0.001411</v>
      </c>
      <c r="O8" s="10">
        <v>0.114138</v>
      </c>
      <c r="P8" s="8">
        <v>7.48E-4</v>
      </c>
      <c r="Q8" s="12">
        <f t="shared" si="2"/>
        <v>-0.0986496091</v>
      </c>
      <c r="R8" s="13">
        <f t="shared" si="3"/>
        <v>-7.822142026</v>
      </c>
      <c r="S8" s="8">
        <v>40000.0</v>
      </c>
      <c r="T8" s="14">
        <f t="shared" si="4"/>
        <v>0.7762163819</v>
      </c>
      <c r="U8" s="14">
        <f t="shared" si="5"/>
        <v>10.10775862</v>
      </c>
      <c r="V8" s="10">
        <f t="shared" si="6"/>
        <v>1.10944646</v>
      </c>
      <c r="W8" s="8">
        <f t="shared" si="7"/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8"/>
      <c r="B9" s="8">
        <v>4.0</v>
      </c>
      <c r="C9" s="8">
        <v>2.5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5.7041E-7</v>
      </c>
      <c r="L9" s="11">
        <v>1.86542488457723E-8</v>
      </c>
      <c r="M9" s="10">
        <f t="shared" si="1"/>
        <v>0.57041</v>
      </c>
      <c r="N9" s="10">
        <v>0.006313</v>
      </c>
      <c r="O9" s="10">
        <v>0.544441</v>
      </c>
      <c r="P9" s="8">
        <v>0.003016</v>
      </c>
      <c r="Q9" s="12">
        <f t="shared" si="2"/>
        <v>-0.0455269017</v>
      </c>
      <c r="R9" s="13">
        <f t="shared" si="3"/>
        <v>-3.711742846</v>
      </c>
      <c r="S9" s="8">
        <v>40000.0</v>
      </c>
      <c r="T9" s="14">
        <f t="shared" si="4"/>
        <v>3.496498353</v>
      </c>
      <c r="U9" s="14">
        <f t="shared" si="5"/>
        <v>45.53081098</v>
      </c>
      <c r="V9" s="10">
        <f t="shared" si="6"/>
        <v>1.047698465</v>
      </c>
      <c r="W9" s="8">
        <f t="shared" si="7"/>
        <v>1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8"/>
      <c r="B10" s="8">
        <v>5.0</v>
      </c>
      <c r="C10" s="8">
        <v>2.5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1.76119999999999E-6</v>
      </c>
      <c r="L10" s="11">
        <v>6.88505628154193E-8</v>
      </c>
      <c r="M10" s="10">
        <f t="shared" si="1"/>
        <v>1.7612</v>
      </c>
      <c r="N10" s="10">
        <v>0.01937</v>
      </c>
      <c r="O10" s="10">
        <v>1.744145</v>
      </c>
      <c r="P10" s="8">
        <v>0.009802</v>
      </c>
      <c r="Q10" s="12">
        <f t="shared" si="2"/>
        <v>-0.00968373836</v>
      </c>
      <c r="R10" s="13">
        <f t="shared" si="3"/>
        <v>-0.7856226827</v>
      </c>
      <c r="S10" s="8">
        <v>40000.0</v>
      </c>
      <c r="T10" s="14">
        <f t="shared" si="4"/>
        <v>10.79580109</v>
      </c>
      <c r="U10" s="14">
        <f t="shared" si="5"/>
        <v>140.5810983</v>
      </c>
      <c r="V10" s="10">
        <f t="shared" si="6"/>
        <v>1.00977843</v>
      </c>
      <c r="W10" s="8">
        <f t="shared" si="7"/>
        <v>1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8"/>
      <c r="B11" s="8">
        <v>6.0</v>
      </c>
      <c r="C11" s="8">
        <v>2.5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4.2943E-6</v>
      </c>
      <c r="L11" s="11">
        <v>9.07267570479869E-8</v>
      </c>
      <c r="M11" s="10">
        <f t="shared" si="1"/>
        <v>4.2943</v>
      </c>
      <c r="N11" s="10">
        <v>0.046778</v>
      </c>
      <c r="O11" s="10">
        <v>4.372659</v>
      </c>
      <c r="P11" s="8">
        <v>0.025446</v>
      </c>
      <c r="Q11" s="12">
        <f t="shared" si="2"/>
        <v>0.01824721142</v>
      </c>
      <c r="R11" s="13">
        <f t="shared" si="3"/>
        <v>1.471499977</v>
      </c>
      <c r="S11" s="8">
        <v>40000.0</v>
      </c>
      <c r="T11" s="14">
        <f t="shared" si="4"/>
        <v>26.32319363</v>
      </c>
      <c r="U11" s="14">
        <f t="shared" si="5"/>
        <v>342.7761814</v>
      </c>
      <c r="V11" s="10">
        <f t="shared" si="6"/>
        <v>0.9820797826</v>
      </c>
      <c r="W11" s="8">
        <f t="shared" si="7"/>
        <v>1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>
      <c r="A12" s="8"/>
      <c r="B12" s="8">
        <v>7.0</v>
      </c>
      <c r="C12" s="8">
        <v>2.5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9.1309E-6</v>
      </c>
      <c r="L12" s="11">
        <v>2.46568651697655E-7</v>
      </c>
      <c r="M12" s="10">
        <f t="shared" si="1"/>
        <v>9.1309</v>
      </c>
      <c r="N12" s="10">
        <v>0.099992</v>
      </c>
      <c r="O12" s="10">
        <v>9.305757</v>
      </c>
      <c r="P12" s="202">
        <v>0.055611</v>
      </c>
      <c r="Q12" s="12">
        <f t="shared" si="2"/>
        <v>0.01915002902</v>
      </c>
      <c r="R12" s="13">
        <f t="shared" si="3"/>
        <v>1.528258736</v>
      </c>
      <c r="S12" s="8">
        <v>40000.0</v>
      </c>
      <c r="T12" s="14">
        <f t="shared" si="4"/>
        <v>55.97057697</v>
      </c>
      <c r="U12" s="14">
        <f t="shared" si="5"/>
        <v>728.8393997</v>
      </c>
      <c r="V12" s="10">
        <f t="shared" si="6"/>
        <v>0.9812098038</v>
      </c>
      <c r="W12" s="8">
        <f t="shared" si="7"/>
        <v>1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>
      <c r="A13" s="22"/>
      <c r="B13" s="22">
        <v>8.0</v>
      </c>
      <c r="C13" s="22">
        <v>2.5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1.5911E-8</v>
      </c>
      <c r="L13" s="24">
        <v>3.93543729039945E-10</v>
      </c>
      <c r="M13" s="23">
        <f t="shared" si="1"/>
        <v>0.015911</v>
      </c>
      <c r="N13" s="23">
        <v>1.69E-4</v>
      </c>
      <c r="O13" s="23">
        <v>0.011733</v>
      </c>
      <c r="P13" s="22">
        <v>0.001116</v>
      </c>
      <c r="Q13" s="26">
        <f t="shared" si="2"/>
        <v>-0.2625856326</v>
      </c>
      <c r="R13" s="27">
        <f t="shared" si="3"/>
        <v>-3.701526169</v>
      </c>
      <c r="S13" s="22">
        <v>11748.0</v>
      </c>
      <c r="T13" s="28">
        <f t="shared" si="4"/>
        <v>0.09753122366</v>
      </c>
      <c r="U13" s="28">
        <f t="shared" ref="U13:U19" si="8">K13/$K$14</f>
        <v>0.09753122366</v>
      </c>
      <c r="V13" s="23">
        <f t="shared" si="6"/>
        <v>1.356089662</v>
      </c>
      <c r="W13" s="22">
        <f t="shared" si="7"/>
        <v>0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22"/>
      <c r="B14" s="22">
        <v>9.0</v>
      </c>
      <c r="C14" s="22">
        <v>2.5</v>
      </c>
      <c r="D14" s="22">
        <v>1.0</v>
      </c>
      <c r="E14" s="22">
        <v>0.0</v>
      </c>
      <c r="F14" s="22">
        <v>0.2</v>
      </c>
      <c r="G14" s="22">
        <v>0.0</v>
      </c>
      <c r="H14" s="22">
        <v>1.0</v>
      </c>
      <c r="I14" s="22">
        <v>0.0</v>
      </c>
      <c r="J14" s="22">
        <v>0.0</v>
      </c>
      <c r="K14" s="23">
        <v>1.631375E-7</v>
      </c>
      <c r="L14" s="24">
        <v>5.04348716866741E-9</v>
      </c>
      <c r="M14" s="23">
        <f t="shared" si="1"/>
        <v>0.1631375</v>
      </c>
      <c r="N14" s="23">
        <v>9.24E-4</v>
      </c>
      <c r="O14" s="23">
        <v>0.158661</v>
      </c>
      <c r="P14" s="22">
        <v>0.001855</v>
      </c>
      <c r="Q14" s="26">
        <f t="shared" si="2"/>
        <v>-0.02744004291</v>
      </c>
      <c r="R14" s="27">
        <f t="shared" si="3"/>
        <v>-2.160066224</v>
      </c>
      <c r="S14" s="22">
        <v>40000.0</v>
      </c>
      <c r="T14" s="28">
        <f t="shared" si="4"/>
        <v>1</v>
      </c>
      <c r="U14" s="28">
        <f t="shared" si="8"/>
        <v>1</v>
      </c>
      <c r="V14" s="23">
        <f t="shared" si="6"/>
        <v>1.028214243</v>
      </c>
      <c r="W14" s="22">
        <f t="shared" si="7"/>
        <v>1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22"/>
      <c r="B15" s="22">
        <v>10.0</v>
      </c>
      <c r="C15" s="22">
        <v>2.5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1.8001E-6</v>
      </c>
      <c r="L15" s="24">
        <v>4.67628770144295E-8</v>
      </c>
      <c r="M15" s="23">
        <f t="shared" si="1"/>
        <v>1.8001</v>
      </c>
      <c r="N15" s="23">
        <v>0.020083</v>
      </c>
      <c r="O15" s="23">
        <v>1.826206</v>
      </c>
      <c r="P15" s="22">
        <v>0.011961</v>
      </c>
      <c r="Q15" s="26">
        <f t="shared" si="2"/>
        <v>0.01450252764</v>
      </c>
      <c r="R15" s="27">
        <f t="shared" si="3"/>
        <v>1.1168324</v>
      </c>
      <c r="S15" s="22">
        <v>40000.0</v>
      </c>
      <c r="T15" s="28">
        <f t="shared" si="4"/>
        <v>11.03425025</v>
      </c>
      <c r="U15" s="28">
        <f t="shared" si="8"/>
        <v>11.03425025</v>
      </c>
      <c r="V15" s="23">
        <f t="shared" si="6"/>
        <v>0.9857047891</v>
      </c>
      <c r="W15" s="22">
        <f t="shared" si="7"/>
        <v>1</v>
      </c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22"/>
      <c r="B16" s="22">
        <v>11.0</v>
      </c>
      <c r="C16" s="22">
        <v>2.5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8.7513E-6</v>
      </c>
      <c r="L16" s="24">
        <v>2.78355108928625E-7</v>
      </c>
      <c r="M16" s="23">
        <f t="shared" si="1"/>
        <v>8.7513</v>
      </c>
      <c r="N16" s="23">
        <v>0.097194</v>
      </c>
      <c r="O16" s="23">
        <v>8.711051</v>
      </c>
      <c r="P16" s="22">
        <v>0.048256</v>
      </c>
      <c r="Q16" s="26">
        <f t="shared" si="2"/>
        <v>-0.004599202404</v>
      </c>
      <c r="R16" s="27">
        <f t="shared" si="3"/>
        <v>-0.370910241</v>
      </c>
      <c r="S16" s="22">
        <v>40000.0</v>
      </c>
      <c r="T16" s="28">
        <f t="shared" si="4"/>
        <v>53.64370546</v>
      </c>
      <c r="U16" s="28">
        <f t="shared" si="8"/>
        <v>53.64370546</v>
      </c>
      <c r="V16" s="23">
        <f t="shared" si="6"/>
        <v>1.004620453</v>
      </c>
      <c r="W16" s="22">
        <f t="shared" si="7"/>
        <v>1</v>
      </c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22"/>
      <c r="B17" s="22">
        <v>12.0</v>
      </c>
      <c r="C17" s="22">
        <v>2.5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2.7386E-5</v>
      </c>
      <c r="L17" s="24">
        <v>8.78979205922668E-7</v>
      </c>
      <c r="M17" s="23">
        <f t="shared" si="1"/>
        <v>27.386</v>
      </c>
      <c r="N17" s="23">
        <v>0.300413</v>
      </c>
      <c r="O17" s="23">
        <v>27.906326</v>
      </c>
      <c r="P17" s="22">
        <v>0.156827</v>
      </c>
      <c r="Q17" s="26">
        <f t="shared" si="2"/>
        <v>0.01899970788</v>
      </c>
      <c r="R17" s="27">
        <f t="shared" si="3"/>
        <v>1.535408254</v>
      </c>
      <c r="S17" s="22">
        <v>40000.0</v>
      </c>
      <c r="T17" s="28">
        <f t="shared" si="4"/>
        <v>167.8706613</v>
      </c>
      <c r="U17" s="28">
        <f t="shared" si="8"/>
        <v>167.8706613</v>
      </c>
      <c r="V17" s="23">
        <f t="shared" si="6"/>
        <v>0.9813545502</v>
      </c>
      <c r="W17" s="22">
        <f t="shared" si="7"/>
        <v>1</v>
      </c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22"/>
      <c r="B18" s="22">
        <v>13.0</v>
      </c>
      <c r="C18" s="22">
        <v>2.5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6.745E-5</v>
      </c>
      <c r="L18" s="24">
        <v>1.9016888580471E-6</v>
      </c>
      <c r="M18" s="23">
        <f t="shared" si="1"/>
        <v>67.45</v>
      </c>
      <c r="N18" s="23">
        <v>0.368909</v>
      </c>
      <c r="O18" s="23">
        <v>69.96254</v>
      </c>
      <c r="P18" s="22">
        <v>0.407132</v>
      </c>
      <c r="Q18" s="26">
        <f t="shared" si="2"/>
        <v>0.03725040771</v>
      </c>
      <c r="R18" s="27">
        <f t="shared" si="3"/>
        <v>4.57316812</v>
      </c>
      <c r="S18" s="22">
        <v>40000.0</v>
      </c>
      <c r="T18" s="28">
        <f t="shared" si="4"/>
        <v>413.4549077</v>
      </c>
      <c r="U18" s="28">
        <f t="shared" si="8"/>
        <v>413.4549077</v>
      </c>
      <c r="V18" s="23">
        <f t="shared" si="6"/>
        <v>0.964087353</v>
      </c>
      <c r="W18" s="22">
        <f t="shared" si="7"/>
        <v>1</v>
      </c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22"/>
      <c r="B19" s="22">
        <v>14.0</v>
      </c>
      <c r="C19" s="22">
        <v>2.5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1.3966E-4</v>
      </c>
      <c r="L19" s="24">
        <v>5.67454354503025E-6</v>
      </c>
      <c r="M19" s="23">
        <f t="shared" si="1"/>
        <v>139.66</v>
      </c>
      <c r="N19" s="23">
        <v>1.528603</v>
      </c>
      <c r="O19" s="23">
        <v>148.892105</v>
      </c>
      <c r="P19" s="22">
        <v>0.889776</v>
      </c>
      <c r="Q19" s="26">
        <f t="shared" si="2"/>
        <v>0.06610414578</v>
      </c>
      <c r="R19" s="27">
        <f t="shared" si="3"/>
        <v>5.219688215</v>
      </c>
      <c r="S19" s="22">
        <v>40000.0</v>
      </c>
      <c r="T19" s="28">
        <f t="shared" si="4"/>
        <v>856.0876561</v>
      </c>
      <c r="U19" s="28">
        <f t="shared" si="8"/>
        <v>856.0876561</v>
      </c>
      <c r="V19" s="23">
        <f t="shared" si="6"/>
        <v>0.937994664</v>
      </c>
      <c r="W19" s="22">
        <f t="shared" si="7"/>
        <v>1</v>
      </c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37"/>
      <c r="B20" s="37">
        <v>15.0</v>
      </c>
      <c r="C20" s="37">
        <v>2.5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7.3E-8</v>
      </c>
      <c r="L20" s="39">
        <v>2.27291296211124E-9</v>
      </c>
      <c r="M20" s="38">
        <f t="shared" si="1"/>
        <v>0.073</v>
      </c>
      <c r="N20" s="38">
        <v>7.86E-4</v>
      </c>
      <c r="O20" s="38">
        <v>0.059398</v>
      </c>
      <c r="P20" s="37">
        <v>0.00565</v>
      </c>
      <c r="Q20" s="40">
        <f t="shared" si="2"/>
        <v>-0.1863287671</v>
      </c>
      <c r="R20" s="41">
        <f t="shared" si="3"/>
        <v>-2.384470868</v>
      </c>
      <c r="S20" s="37">
        <v>11748.0</v>
      </c>
      <c r="T20" s="42">
        <f t="shared" si="4"/>
        <v>0.4474752892</v>
      </c>
      <c r="U20" s="42">
        <f t="shared" ref="U20:U26" si="9">K20/$K$21</f>
        <v>0.09088362539</v>
      </c>
      <c r="V20" s="38">
        <f t="shared" si="6"/>
        <v>1.228997609</v>
      </c>
      <c r="W20" s="37">
        <f t="shared" si="7"/>
        <v>0</v>
      </c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>
      <c r="A21" s="37"/>
      <c r="B21" s="37">
        <v>16.0</v>
      </c>
      <c r="C21" s="37">
        <v>2.5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8.03225E-7</v>
      </c>
      <c r="L21" s="39">
        <v>2.97715037560657E-8</v>
      </c>
      <c r="M21" s="38">
        <f t="shared" si="1"/>
        <v>0.803225</v>
      </c>
      <c r="N21" s="38">
        <v>0.004563</v>
      </c>
      <c r="O21" s="38">
        <v>0.803212</v>
      </c>
      <c r="P21" s="37">
        <v>0.00939</v>
      </c>
      <c r="Q21" s="40">
        <f t="shared" si="2"/>
        <v>-0.00001618475521</v>
      </c>
      <c r="R21" s="41">
        <f t="shared" si="3"/>
        <v>-0.001245213761</v>
      </c>
      <c r="S21" s="37">
        <v>40000.0</v>
      </c>
      <c r="T21" s="42">
        <f t="shared" si="4"/>
        <v>4.923607386</v>
      </c>
      <c r="U21" s="42">
        <f t="shared" si="9"/>
        <v>1</v>
      </c>
      <c r="V21" s="38">
        <f t="shared" si="6"/>
        <v>1.000016185</v>
      </c>
      <c r="W21" s="37">
        <f t="shared" si="7"/>
        <v>1</v>
      </c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</row>
    <row r="22">
      <c r="A22" s="37"/>
      <c r="B22" s="37">
        <v>17.0</v>
      </c>
      <c r="C22" s="37">
        <v>2.5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9.1221E-6</v>
      </c>
      <c r="L22" s="39">
        <v>1.80632499844297E-7</v>
      </c>
      <c r="M22" s="38">
        <f t="shared" si="1"/>
        <v>9.1221</v>
      </c>
      <c r="N22" s="38">
        <v>0.102332</v>
      </c>
      <c r="O22" s="38">
        <v>9.245405</v>
      </c>
      <c r="P22" s="37">
        <v>0.060554</v>
      </c>
      <c r="Q22" s="40">
        <f t="shared" si="2"/>
        <v>0.01351717258</v>
      </c>
      <c r="R22" s="41">
        <f t="shared" si="3"/>
        <v>1.036996039</v>
      </c>
      <c r="S22" s="37">
        <v>40000.0</v>
      </c>
      <c r="T22" s="42">
        <f t="shared" si="4"/>
        <v>55.91663474</v>
      </c>
      <c r="U22" s="42">
        <f t="shared" si="9"/>
        <v>11.35684273</v>
      </c>
      <c r="V22" s="38">
        <f t="shared" si="6"/>
        <v>0.9866631045</v>
      </c>
      <c r="W22" s="37">
        <f t="shared" si="7"/>
        <v>1</v>
      </c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</row>
    <row r="23">
      <c r="A23" s="37"/>
      <c r="B23" s="37">
        <v>18.0</v>
      </c>
      <c r="C23" s="37">
        <v>2.5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4.30869999999999E-5</v>
      </c>
      <c r="L23" s="39">
        <v>1.54515047810884E-6</v>
      </c>
      <c r="M23" s="38">
        <f t="shared" si="1"/>
        <v>43.087</v>
      </c>
      <c r="N23" s="38">
        <v>0.473649</v>
      </c>
      <c r="O23" s="38">
        <v>44.099155</v>
      </c>
      <c r="P23" s="37">
        <v>0.244296</v>
      </c>
      <c r="Q23" s="40">
        <f t="shared" si="2"/>
        <v>0.02349096015</v>
      </c>
      <c r="R23" s="41">
        <f t="shared" si="3"/>
        <v>1.899195066</v>
      </c>
      <c r="S23" s="37">
        <v>40000.0</v>
      </c>
      <c r="T23" s="42">
        <f t="shared" si="4"/>
        <v>264.1146272</v>
      </c>
      <c r="U23" s="42">
        <f t="shared" si="9"/>
        <v>53.64250366</v>
      </c>
      <c r="V23" s="38">
        <f t="shared" si="6"/>
        <v>0.9770481997</v>
      </c>
      <c r="W23" s="37">
        <f t="shared" si="7"/>
        <v>1</v>
      </c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</row>
    <row r="24">
      <c r="A24" s="37"/>
      <c r="B24" s="37">
        <v>19.0</v>
      </c>
      <c r="C24" s="37">
        <v>2.5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1.3071E-4</v>
      </c>
      <c r="L24" s="39">
        <v>4.2777070701227E-6</v>
      </c>
      <c r="M24" s="38">
        <f t="shared" si="1"/>
        <v>130.71</v>
      </c>
      <c r="N24" s="38">
        <v>1.434257</v>
      </c>
      <c r="O24" s="38">
        <v>141.267014</v>
      </c>
      <c r="P24" s="37">
        <v>0.793939</v>
      </c>
      <c r="Q24" s="40">
        <f t="shared" si="2"/>
        <v>0.08076668962</v>
      </c>
      <c r="R24" s="41">
        <f t="shared" si="3"/>
        <v>6.439799307</v>
      </c>
      <c r="S24" s="37">
        <v>40000.0</v>
      </c>
      <c r="T24" s="42">
        <f t="shared" si="4"/>
        <v>801.2259597</v>
      </c>
      <c r="U24" s="42">
        <f t="shared" si="9"/>
        <v>162.7314887</v>
      </c>
      <c r="V24" s="38">
        <f t="shared" si="6"/>
        <v>0.9252690794</v>
      </c>
      <c r="W24" s="37">
        <f t="shared" si="7"/>
        <v>1</v>
      </c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</row>
    <row r="25">
      <c r="A25" s="37"/>
      <c r="B25" s="37">
        <v>20.0</v>
      </c>
      <c r="C25" s="37">
        <v>2.5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3.47229999999999E-4</v>
      </c>
      <c r="L25" s="39">
        <v>7.65216744894324E-6</v>
      </c>
      <c r="M25" s="38">
        <f t="shared" si="1"/>
        <v>347.23</v>
      </c>
      <c r="N25" s="38">
        <v>3.81823</v>
      </c>
      <c r="O25" s="38">
        <v>354.184296</v>
      </c>
      <c r="P25" s="37">
        <v>2.061105</v>
      </c>
      <c r="Q25" s="40">
        <f t="shared" si="2"/>
        <v>0.02002792385</v>
      </c>
      <c r="R25" s="41">
        <f t="shared" si="3"/>
        <v>1.602736829</v>
      </c>
      <c r="S25" s="37">
        <v>40000.0</v>
      </c>
      <c r="T25" s="42">
        <f t="shared" si="4"/>
        <v>2128.449927</v>
      </c>
      <c r="U25" s="42">
        <f t="shared" si="9"/>
        <v>432.2948115</v>
      </c>
      <c r="V25" s="38">
        <f t="shared" si="6"/>
        <v>0.9803653181</v>
      </c>
      <c r="W25" s="37">
        <f t="shared" si="7"/>
        <v>1</v>
      </c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</row>
    <row r="26">
      <c r="A26" s="37"/>
      <c r="B26" s="37">
        <v>21.0</v>
      </c>
      <c r="C26" s="37">
        <v>2.5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7.4728E-4</v>
      </c>
      <c r="L26" s="39">
        <v>1.86106779385742E-5</v>
      </c>
      <c r="M26" s="38">
        <f t="shared" si="1"/>
        <v>747.28</v>
      </c>
      <c r="N26" s="38">
        <v>8.208357</v>
      </c>
      <c r="O26" s="38">
        <v>753.813721</v>
      </c>
      <c r="P26" s="37">
        <v>4.504489</v>
      </c>
      <c r="Q26" s="40">
        <f t="shared" si="2"/>
        <v>0.008743337169</v>
      </c>
      <c r="R26" s="41">
        <f t="shared" si="3"/>
        <v>0.6978163825</v>
      </c>
      <c r="S26" s="37">
        <v>40000.0</v>
      </c>
      <c r="T26" s="42">
        <f t="shared" si="4"/>
        <v>4580.67581</v>
      </c>
      <c r="U26" s="42">
        <f t="shared" si="9"/>
        <v>930.3495285</v>
      </c>
      <c r="V26" s="38">
        <f t="shared" si="6"/>
        <v>0.9913324462</v>
      </c>
      <c r="W26" s="37">
        <f t="shared" si="7"/>
        <v>1</v>
      </c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</row>
    <row r="27">
      <c r="A27" s="44"/>
      <c r="B27" s="44">
        <v>22.0</v>
      </c>
      <c r="C27" s="44">
        <v>2.5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2.181E-7</v>
      </c>
      <c r="L27" s="46">
        <v>7.08692066023349E-9</v>
      </c>
      <c r="M27" s="45">
        <f t="shared" si="1"/>
        <v>0.2181</v>
      </c>
      <c r="N27" s="45">
        <v>0.002352</v>
      </c>
      <c r="O27" s="45">
        <v>0.187729</v>
      </c>
      <c r="P27" s="44">
        <v>0.017856</v>
      </c>
      <c r="Q27" s="47">
        <f t="shared" si="2"/>
        <v>-0.1392526364</v>
      </c>
      <c r="R27" s="48">
        <f t="shared" si="3"/>
        <v>-1.686318723</v>
      </c>
      <c r="S27" s="44">
        <v>11748.0</v>
      </c>
      <c r="T27" s="49">
        <f t="shared" si="4"/>
        <v>1.336909049</v>
      </c>
      <c r="U27" s="49">
        <f t="shared" ref="U27:U33" si="10">K27/$K$28</f>
        <v>0.08729237543</v>
      </c>
      <c r="V27" s="45">
        <f t="shared" si="6"/>
        <v>1.161781078</v>
      </c>
      <c r="W27" s="44">
        <f t="shared" si="7"/>
        <v>1</v>
      </c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  <row r="28">
      <c r="A28" s="44"/>
      <c r="B28" s="44">
        <v>23.0</v>
      </c>
      <c r="C28" s="44">
        <v>2.5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2.4985E-6</v>
      </c>
      <c r="L28" s="46">
        <v>7.4019892221243E-8</v>
      </c>
      <c r="M28" s="45">
        <f t="shared" si="1"/>
        <v>2.4985</v>
      </c>
      <c r="N28" s="45">
        <v>0.028464</v>
      </c>
      <c r="O28" s="45">
        <v>2.538582</v>
      </c>
      <c r="P28" s="44">
        <v>0.029676</v>
      </c>
      <c r="Q28" s="47">
        <f t="shared" si="2"/>
        <v>0.01604242546</v>
      </c>
      <c r="R28" s="48">
        <f t="shared" si="3"/>
        <v>0.9747539638</v>
      </c>
      <c r="S28" s="44">
        <v>40000.0</v>
      </c>
      <c r="T28" s="49">
        <f t="shared" si="4"/>
        <v>15.31530151</v>
      </c>
      <c r="U28" s="49">
        <f t="shared" si="10"/>
        <v>1</v>
      </c>
      <c r="V28" s="45">
        <f t="shared" si="6"/>
        <v>0.9842108705</v>
      </c>
      <c r="W28" s="44">
        <f t="shared" si="7"/>
        <v>1</v>
      </c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</row>
    <row r="29">
      <c r="A29" s="44"/>
      <c r="B29" s="44">
        <v>24.0</v>
      </c>
      <c r="C29" s="44">
        <v>2.5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2.7111E-5</v>
      </c>
      <c r="L29" s="46">
        <v>5.88358356408366E-7</v>
      </c>
      <c r="M29" s="45">
        <f t="shared" si="1"/>
        <v>27.111</v>
      </c>
      <c r="N29" s="45">
        <v>0.307469</v>
      </c>
      <c r="O29" s="45">
        <v>29.219299</v>
      </c>
      <c r="P29" s="44">
        <v>0.19138</v>
      </c>
      <c r="Q29" s="47">
        <f t="shared" si="2"/>
        <v>0.07776544576</v>
      </c>
      <c r="R29" s="48">
        <f t="shared" si="3"/>
        <v>5.821376927</v>
      </c>
      <c r="S29" s="44">
        <v>40000.0</v>
      </c>
      <c r="T29" s="49">
        <f t="shared" si="4"/>
        <v>166.1849667</v>
      </c>
      <c r="U29" s="49">
        <f t="shared" si="10"/>
        <v>10.85091055</v>
      </c>
      <c r="V29" s="45">
        <f t="shared" si="6"/>
        <v>0.927845668</v>
      </c>
      <c r="W29" s="44">
        <f t="shared" si="7"/>
        <v>1</v>
      </c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</row>
    <row r="30">
      <c r="A30" s="44"/>
      <c r="B30" s="44">
        <v>25.0</v>
      </c>
      <c r="C30" s="44">
        <v>2.5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1.3698E-4</v>
      </c>
      <c r="L30" s="46">
        <v>4.24285019506672E-6</v>
      </c>
      <c r="M30" s="45">
        <f t="shared" si="1"/>
        <v>136.98</v>
      </c>
      <c r="N30" s="45">
        <v>1.511036</v>
      </c>
      <c r="O30" s="45">
        <v>139.376816</v>
      </c>
      <c r="P30" s="44">
        <v>0.772096</v>
      </c>
      <c r="Q30" s="47">
        <f t="shared" si="2"/>
        <v>0.01749756169</v>
      </c>
      <c r="R30" s="48">
        <f t="shared" si="3"/>
        <v>1.412493828</v>
      </c>
      <c r="S30" s="44">
        <v>40000.0</v>
      </c>
      <c r="T30" s="49">
        <f t="shared" si="4"/>
        <v>839.6597962</v>
      </c>
      <c r="U30" s="49">
        <f t="shared" si="10"/>
        <v>54.82489494</v>
      </c>
      <c r="V30" s="45">
        <f t="shared" si="6"/>
        <v>0.982803338</v>
      </c>
      <c r="W30" s="44">
        <f t="shared" si="7"/>
        <v>1</v>
      </c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</row>
    <row r="31">
      <c r="A31" s="44"/>
      <c r="B31" s="44">
        <v>26.0</v>
      </c>
      <c r="C31" s="44">
        <v>2.5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4.4086E-4</v>
      </c>
      <c r="L31" s="46">
        <v>1.25420359857029E-5</v>
      </c>
      <c r="M31" s="45">
        <f t="shared" si="1"/>
        <v>440.86</v>
      </c>
      <c r="N31" s="45">
        <v>4.832358</v>
      </c>
      <c r="O31" s="45">
        <v>446.501221</v>
      </c>
      <c r="P31" s="44">
        <v>2.50924</v>
      </c>
      <c r="Q31" s="47">
        <f t="shared" si="2"/>
        <v>0.01279594656</v>
      </c>
      <c r="R31" s="48">
        <f t="shared" si="3"/>
        <v>1.036037889</v>
      </c>
      <c r="S31" s="44">
        <v>40000.0</v>
      </c>
      <c r="T31" s="49">
        <f t="shared" si="4"/>
        <v>2702.382959</v>
      </c>
      <c r="U31" s="49">
        <f t="shared" si="10"/>
        <v>176.4498699</v>
      </c>
      <c r="V31" s="45">
        <f t="shared" si="6"/>
        <v>0.987365721</v>
      </c>
      <c r="W31" s="44">
        <f t="shared" si="7"/>
        <v>1</v>
      </c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</row>
    <row r="32">
      <c r="A32" s="44"/>
      <c r="B32" s="44">
        <v>27.0</v>
      </c>
      <c r="C32" s="44">
        <v>2.5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0.0011216</v>
      </c>
      <c r="L32" s="46">
        <v>2.71301390421141E-5</v>
      </c>
      <c r="M32" s="45">
        <f t="shared" si="1"/>
        <v>1121.6</v>
      </c>
      <c r="N32" s="45">
        <v>12.287082</v>
      </c>
      <c r="O32" s="45">
        <v>1119.400635</v>
      </c>
      <c r="P32" s="44">
        <v>6.514109</v>
      </c>
      <c r="Q32" s="47">
        <f t="shared" si="2"/>
        <v>-0.001960917439</v>
      </c>
      <c r="R32" s="48">
        <f t="shared" si="3"/>
        <v>-0.1581475025</v>
      </c>
      <c r="S32" s="44">
        <v>40000.0</v>
      </c>
      <c r="T32" s="49">
        <f t="shared" si="4"/>
        <v>6875.181978</v>
      </c>
      <c r="U32" s="49">
        <f t="shared" si="10"/>
        <v>448.9093456</v>
      </c>
      <c r="V32" s="45">
        <f t="shared" si="6"/>
        <v>1.00196477</v>
      </c>
      <c r="W32" s="44">
        <f t="shared" si="7"/>
        <v>1</v>
      </c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</row>
    <row r="33">
      <c r="A33" s="44"/>
      <c r="B33" s="44">
        <v>28.0</v>
      </c>
      <c r="C33" s="44">
        <v>2.5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0.00244449999999999</v>
      </c>
      <c r="L33" s="46">
        <v>5.85325170785911E-5</v>
      </c>
      <c r="M33" s="45">
        <f t="shared" si="1"/>
        <v>2444.5</v>
      </c>
      <c r="N33" s="45">
        <v>26.755225</v>
      </c>
      <c r="O33" s="45">
        <v>2382.273682</v>
      </c>
      <c r="P33" s="44">
        <v>14.23641</v>
      </c>
      <c r="Q33" s="47">
        <f t="shared" si="2"/>
        <v>-0.02545564246</v>
      </c>
      <c r="R33" s="48">
        <f t="shared" si="3"/>
        <v>-2.053195965</v>
      </c>
      <c r="S33" s="44">
        <v>40000.0</v>
      </c>
      <c r="T33" s="49">
        <f t="shared" si="4"/>
        <v>14984.29239</v>
      </c>
      <c r="U33" s="49">
        <f t="shared" si="10"/>
        <v>978.3870322</v>
      </c>
      <c r="V33" s="45">
        <f t="shared" si="6"/>
        <v>1.026120558</v>
      </c>
      <c r="W33" s="44">
        <f t="shared" si="7"/>
        <v>1</v>
      </c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</row>
    <row r="34">
      <c r="A34" s="51"/>
      <c r="B34" s="51">
        <v>29.0</v>
      </c>
      <c r="C34" s="51">
        <v>2.5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5.1419E-7</v>
      </c>
      <c r="L34" s="53">
        <v>1.35039459253788E-8</v>
      </c>
      <c r="M34" s="52">
        <f t="shared" si="1"/>
        <v>0.51419</v>
      </c>
      <c r="N34" s="52">
        <v>0.005483</v>
      </c>
      <c r="O34" s="52">
        <v>0.458325</v>
      </c>
      <c r="P34" s="51">
        <v>0.043595</v>
      </c>
      <c r="Q34" s="54">
        <f t="shared" si="2"/>
        <v>-0.1086466092</v>
      </c>
      <c r="R34" s="55">
        <f t="shared" si="3"/>
        <v>-1.271437683</v>
      </c>
      <c r="S34" s="51">
        <v>11748.0</v>
      </c>
      <c r="T34" s="56">
        <f t="shared" si="4"/>
        <v>3.151881082</v>
      </c>
      <c r="U34" s="56">
        <f t="shared" ref="U34:U40" si="11">K34/$K$35</f>
        <v>0.09026102831</v>
      </c>
      <c r="V34" s="52">
        <f t="shared" si="6"/>
        <v>1.121889489</v>
      </c>
      <c r="W34" s="51">
        <f t="shared" si="7"/>
        <v>1</v>
      </c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</row>
    <row r="35">
      <c r="A35" s="51"/>
      <c r="B35" s="51">
        <v>30.0</v>
      </c>
      <c r="C35" s="51">
        <v>2.5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5.6967E-6</v>
      </c>
      <c r="L35" s="53">
        <v>9.78979627526083E-8</v>
      </c>
      <c r="M35" s="52">
        <f t="shared" si="1"/>
        <v>5.6967</v>
      </c>
      <c r="N35" s="52">
        <v>0.065594</v>
      </c>
      <c r="O35" s="52">
        <v>6.197636</v>
      </c>
      <c r="P35" s="51">
        <v>0.072452</v>
      </c>
      <c r="Q35" s="54">
        <f t="shared" si="2"/>
        <v>0.08793441817</v>
      </c>
      <c r="R35" s="55">
        <f t="shared" si="3"/>
        <v>5.125522597</v>
      </c>
      <c r="S35" s="51">
        <v>40000.0</v>
      </c>
      <c r="T35" s="56">
        <f t="shared" si="4"/>
        <v>34.91962302</v>
      </c>
      <c r="U35" s="56">
        <f t="shared" si="11"/>
        <v>1</v>
      </c>
      <c r="V35" s="52">
        <f t="shared" si="6"/>
        <v>0.9191730524</v>
      </c>
      <c r="W35" s="51">
        <f t="shared" si="7"/>
        <v>1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</row>
    <row r="36">
      <c r="A36" s="51"/>
      <c r="B36" s="51">
        <v>31.0</v>
      </c>
      <c r="C36" s="51">
        <v>2.5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7.1763E-5</v>
      </c>
      <c r="L36" s="53">
        <v>2.01429916127448E-6</v>
      </c>
      <c r="M36" s="52">
        <f t="shared" si="1"/>
        <v>71.763</v>
      </c>
      <c r="N36" s="52">
        <v>0.806579</v>
      </c>
      <c r="O36" s="52">
        <v>71.339104</v>
      </c>
      <c r="P36" s="51">
        <v>0.467237</v>
      </c>
      <c r="Q36" s="54">
        <f t="shared" si="2"/>
        <v>-0.005906887951</v>
      </c>
      <c r="R36" s="55">
        <f t="shared" si="3"/>
        <v>-0.454757001</v>
      </c>
      <c r="S36" s="51">
        <v>40000.0</v>
      </c>
      <c r="T36" s="56">
        <f t="shared" si="4"/>
        <v>439.8927285</v>
      </c>
      <c r="U36" s="56">
        <f t="shared" si="11"/>
        <v>12.59729317</v>
      </c>
      <c r="V36" s="52">
        <f t="shared" si="6"/>
        <v>1.005941987</v>
      </c>
      <c r="W36" s="51">
        <f t="shared" si="7"/>
        <v>1</v>
      </c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</row>
    <row r="37">
      <c r="A37" s="51"/>
      <c r="B37" s="51">
        <v>32.0</v>
      </c>
      <c r="C37" s="51">
        <v>2.5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3.40019999999999E-4</v>
      </c>
      <c r="L37" s="53">
        <v>7.03464442756151E-6</v>
      </c>
      <c r="M37" s="52">
        <f t="shared" si="1"/>
        <v>340.02</v>
      </c>
      <c r="N37" s="52">
        <v>3.791808</v>
      </c>
      <c r="O37" s="52">
        <v>340.282013</v>
      </c>
      <c r="P37" s="51">
        <v>1.885001</v>
      </c>
      <c r="Q37" s="54">
        <f t="shared" si="2"/>
        <v>0.0007705811423</v>
      </c>
      <c r="R37" s="55">
        <f t="shared" si="3"/>
        <v>0.06187570216</v>
      </c>
      <c r="S37" s="51">
        <v>40000.0</v>
      </c>
      <c r="T37" s="56">
        <f t="shared" si="4"/>
        <v>2084.25408</v>
      </c>
      <c r="U37" s="56">
        <f t="shared" si="11"/>
        <v>59.68718732</v>
      </c>
      <c r="V37" s="52">
        <f t="shared" si="6"/>
        <v>0.9992300122</v>
      </c>
      <c r="W37" s="51">
        <f t="shared" si="7"/>
        <v>1</v>
      </c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</row>
    <row r="38">
      <c r="A38" s="51"/>
      <c r="B38" s="51">
        <v>33.0</v>
      </c>
      <c r="C38" s="51">
        <v>2.5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0.0011177</v>
      </c>
      <c r="L38" s="53">
        <v>2.72398808938495E-5</v>
      </c>
      <c r="M38" s="52">
        <f t="shared" si="1"/>
        <v>1117.7</v>
      </c>
      <c r="N38" s="52">
        <v>12.301866</v>
      </c>
      <c r="O38" s="52">
        <v>1090.056274</v>
      </c>
      <c r="P38" s="51">
        <v>6.126073</v>
      </c>
      <c r="Q38" s="54">
        <f t="shared" si="2"/>
        <v>-0.02473268856</v>
      </c>
      <c r="R38" s="55">
        <f t="shared" si="3"/>
        <v>-2.011505429</v>
      </c>
      <c r="S38" s="51">
        <v>40000.0</v>
      </c>
      <c r="T38" s="56">
        <f t="shared" si="4"/>
        <v>6851.275764</v>
      </c>
      <c r="U38" s="56">
        <f t="shared" si="11"/>
        <v>196.2013095</v>
      </c>
      <c r="V38" s="52">
        <f t="shared" si="6"/>
        <v>1.025359907</v>
      </c>
      <c r="W38" s="51">
        <f t="shared" si="7"/>
        <v>1</v>
      </c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</row>
    <row r="39">
      <c r="A39" s="51"/>
      <c r="B39" s="51">
        <v>34.0</v>
      </c>
      <c r="C39" s="51">
        <v>2.5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0.0028653</v>
      </c>
      <c r="L39" s="53">
        <v>8.04874731454115E-5</v>
      </c>
      <c r="M39" s="52">
        <f t="shared" si="1"/>
        <v>2865.3</v>
      </c>
      <c r="N39" s="52">
        <v>31.286173</v>
      </c>
      <c r="O39" s="52">
        <v>2732.995361</v>
      </c>
      <c r="P39" s="51">
        <v>15.903586</v>
      </c>
      <c r="Q39" s="54">
        <f t="shared" si="2"/>
        <v>-0.04617479461</v>
      </c>
      <c r="R39" s="55">
        <f t="shared" si="3"/>
        <v>-3.769762773</v>
      </c>
      <c r="S39" s="51">
        <v>40000.0</v>
      </c>
      <c r="T39" s="56">
        <f t="shared" si="4"/>
        <v>17563.71159</v>
      </c>
      <c r="U39" s="56">
        <f t="shared" si="11"/>
        <v>502.9754068</v>
      </c>
      <c r="V39" s="52">
        <f t="shared" si="6"/>
        <v>1.048410122</v>
      </c>
      <c r="W39" s="51">
        <f t="shared" si="7"/>
        <v>1</v>
      </c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</row>
    <row r="40">
      <c r="A40" s="51"/>
      <c r="B40" s="51">
        <v>35.0</v>
      </c>
      <c r="C40" s="51">
        <v>2.5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0.0063162</v>
      </c>
      <c r="L40" s="53">
        <v>3.04074113772722E-4</v>
      </c>
      <c r="M40" s="52">
        <f t="shared" si="1"/>
        <v>6316.2</v>
      </c>
      <c r="N40" s="52">
        <v>69.110411</v>
      </c>
      <c r="O40" s="52">
        <v>5816.541992</v>
      </c>
      <c r="P40" s="51">
        <v>34.756859</v>
      </c>
      <c r="Q40" s="54">
        <f t="shared" si="2"/>
        <v>-0.07910737595</v>
      </c>
      <c r="R40" s="55">
        <f t="shared" si="3"/>
        <v>-6.459019615</v>
      </c>
      <c r="S40" s="51">
        <v>40000.0</v>
      </c>
      <c r="T40" s="56">
        <f t="shared" si="4"/>
        <v>38717.03318</v>
      </c>
      <c r="U40" s="56">
        <f t="shared" si="11"/>
        <v>1108.747169</v>
      </c>
      <c r="V40" s="52">
        <f t="shared" si="6"/>
        <v>1.085902931</v>
      </c>
      <c r="W40" s="51">
        <f t="shared" si="7"/>
        <v>1</v>
      </c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</row>
    <row r="41">
      <c r="A41" s="58"/>
      <c r="B41" s="58">
        <v>36.0</v>
      </c>
      <c r="C41" s="58">
        <v>2.5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1.0876E-6</v>
      </c>
      <c r="L41" s="60">
        <v>1.8998245533031E-8</v>
      </c>
      <c r="M41" s="59">
        <f t="shared" si="1"/>
        <v>1.0876</v>
      </c>
      <c r="N41" s="59">
        <v>0.011746</v>
      </c>
      <c r="O41" s="59">
        <v>0.950364</v>
      </c>
      <c r="P41" s="58">
        <v>0.090398</v>
      </c>
      <c r="Q41" s="61">
        <f t="shared" si="2"/>
        <v>-0.12618242</v>
      </c>
      <c r="R41" s="62">
        <f t="shared" si="3"/>
        <v>-1.505475284</v>
      </c>
      <c r="S41" s="58">
        <v>11748.0</v>
      </c>
      <c r="T41" s="63">
        <f t="shared" si="4"/>
        <v>6.66676883</v>
      </c>
      <c r="U41" s="63">
        <f t="shared" ref="U41:U47" si="12">K41/$K$42</f>
        <v>0.08423824646</v>
      </c>
      <c r="V41" s="59">
        <f t="shared" si="6"/>
        <v>1.144403618</v>
      </c>
      <c r="W41" s="58">
        <f t="shared" si="7"/>
        <v>1</v>
      </c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</row>
    <row r="42">
      <c r="A42" s="58"/>
      <c r="B42" s="58">
        <v>37.0</v>
      </c>
      <c r="C42" s="58">
        <v>2.5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1.29109999999999E-5</v>
      </c>
      <c r="L42" s="60">
        <v>4.60155770726971E-7</v>
      </c>
      <c r="M42" s="59">
        <f t="shared" si="1"/>
        <v>12.911</v>
      </c>
      <c r="N42" s="59">
        <v>0.148094</v>
      </c>
      <c r="O42" s="59">
        <v>12.851387</v>
      </c>
      <c r="P42" s="58">
        <v>0.150236</v>
      </c>
      <c r="Q42" s="61">
        <f t="shared" si="2"/>
        <v>-0.004617225622</v>
      </c>
      <c r="R42" s="62">
        <f t="shared" si="3"/>
        <v>-0.2825841857</v>
      </c>
      <c r="S42" s="58">
        <v>40000.0</v>
      </c>
      <c r="T42" s="63">
        <f t="shared" si="4"/>
        <v>79.14182821</v>
      </c>
      <c r="U42" s="63">
        <f t="shared" si="12"/>
        <v>1</v>
      </c>
      <c r="V42" s="59">
        <f t="shared" si="6"/>
        <v>1.004638643</v>
      </c>
      <c r="W42" s="58">
        <f t="shared" si="7"/>
        <v>1</v>
      </c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</row>
    <row r="43">
      <c r="A43" s="58"/>
      <c r="B43" s="58">
        <v>38.0</v>
      </c>
      <c r="C43" s="58">
        <v>2.5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1.4641E-4</v>
      </c>
      <c r="L43" s="60">
        <v>2.59548753716051E-6</v>
      </c>
      <c r="M43" s="59">
        <f t="shared" si="1"/>
        <v>146.41</v>
      </c>
      <c r="N43" s="59">
        <v>1.635882</v>
      </c>
      <c r="O43" s="59">
        <v>147.926483</v>
      </c>
      <c r="P43" s="58">
        <v>0.968862</v>
      </c>
      <c r="Q43" s="61">
        <f t="shared" si="2"/>
        <v>0.01035778294</v>
      </c>
      <c r="R43" s="62">
        <f t="shared" si="3"/>
        <v>0.7976184652</v>
      </c>
      <c r="S43" s="58">
        <v>40000.0</v>
      </c>
      <c r="T43" s="63">
        <f t="shared" si="4"/>
        <v>897.4637959</v>
      </c>
      <c r="U43" s="63">
        <f t="shared" si="12"/>
        <v>11.33994268</v>
      </c>
      <c r="V43" s="59">
        <f t="shared" si="6"/>
        <v>0.9897484009</v>
      </c>
      <c r="W43" s="58">
        <f t="shared" si="7"/>
        <v>1</v>
      </c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</row>
    <row r="44">
      <c r="A44" s="218" t="s">
        <v>21</v>
      </c>
      <c r="B44" s="218">
        <v>39.0</v>
      </c>
      <c r="C44" s="218">
        <v>2.5</v>
      </c>
      <c r="D44" s="218">
        <v>1.0</v>
      </c>
      <c r="E44" s="218">
        <v>0.0</v>
      </c>
      <c r="F44" s="218">
        <v>1.0</v>
      </c>
      <c r="G44" s="218">
        <v>0.0</v>
      </c>
      <c r="H44" s="218">
        <v>3.0</v>
      </c>
      <c r="I44" s="218">
        <v>0.0</v>
      </c>
      <c r="J44" s="218">
        <v>0.0</v>
      </c>
      <c r="K44" s="166">
        <v>7.05605E-4</v>
      </c>
      <c r="L44" s="219">
        <v>2.06110121176234E-5</v>
      </c>
      <c r="M44" s="166">
        <f t="shared" si="1"/>
        <v>705.605</v>
      </c>
      <c r="N44" s="166">
        <v>3.908738</v>
      </c>
      <c r="O44" s="166">
        <v>705.586487</v>
      </c>
      <c r="P44" s="218">
        <v>3.908738</v>
      </c>
      <c r="Q44" s="220">
        <f t="shared" si="2"/>
        <v>-0.00002623705898</v>
      </c>
      <c r="R44" s="221">
        <f t="shared" si="3"/>
        <v>-0.003349077846</v>
      </c>
      <c r="S44" s="218">
        <v>40000.0</v>
      </c>
      <c r="T44" s="222">
        <f t="shared" si="4"/>
        <v>4325.216459</v>
      </c>
      <c r="U44" s="222">
        <f t="shared" si="12"/>
        <v>54.65146</v>
      </c>
      <c r="V44" s="166">
        <f t="shared" si="6"/>
        <v>1.000026238</v>
      </c>
      <c r="W44" s="218">
        <f t="shared" si="7"/>
        <v>1</v>
      </c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</row>
    <row r="45">
      <c r="A45" s="58"/>
      <c r="B45" s="58">
        <v>40.0</v>
      </c>
      <c r="C45" s="58">
        <v>2.5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0.0023806</v>
      </c>
      <c r="L45" s="60">
        <v>5.31459207172939E-5</v>
      </c>
      <c r="M45" s="59">
        <f t="shared" si="1"/>
        <v>2380.6</v>
      </c>
      <c r="N45" s="59">
        <v>26.043751</v>
      </c>
      <c r="O45" s="59">
        <v>2260.272217</v>
      </c>
      <c r="P45" s="58">
        <v>12.703025</v>
      </c>
      <c r="Q45" s="61">
        <f t="shared" si="2"/>
        <v>-0.05054514954</v>
      </c>
      <c r="R45" s="62">
        <f t="shared" si="3"/>
        <v>-4.152583458</v>
      </c>
      <c r="S45" s="58">
        <v>40000.0</v>
      </c>
      <c r="T45" s="63">
        <f t="shared" si="4"/>
        <v>14592.59827</v>
      </c>
      <c r="U45" s="63">
        <f t="shared" si="12"/>
        <v>184.3854078</v>
      </c>
      <c r="V45" s="59">
        <f t="shared" si="6"/>
        <v>1.05323597</v>
      </c>
      <c r="W45" s="58">
        <f t="shared" si="7"/>
        <v>1</v>
      </c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</row>
    <row r="46">
      <c r="A46" s="58"/>
      <c r="B46" s="58">
        <v>41.0</v>
      </c>
      <c r="C46" s="58">
        <v>2.5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0.00611139999999999</v>
      </c>
      <c r="L46" s="60">
        <v>1.85899734026466E-4</v>
      </c>
      <c r="M46" s="59">
        <f t="shared" si="1"/>
        <v>6111.4</v>
      </c>
      <c r="N46" s="59">
        <v>67.073971</v>
      </c>
      <c r="O46" s="59">
        <v>5666.94873</v>
      </c>
      <c r="P46" s="58">
        <v>32.977675</v>
      </c>
      <c r="Q46" s="61">
        <f t="shared" si="2"/>
        <v>-0.07272495173</v>
      </c>
      <c r="R46" s="62">
        <f t="shared" si="3"/>
        <v>-5.946431249</v>
      </c>
      <c r="S46" s="58">
        <v>40000.0</v>
      </c>
      <c r="T46" s="63">
        <f t="shared" si="4"/>
        <v>37461.65045</v>
      </c>
      <c r="U46" s="63">
        <f t="shared" si="12"/>
        <v>473.3483076</v>
      </c>
      <c r="V46" s="59">
        <f t="shared" si="6"/>
        <v>1.078428673</v>
      </c>
      <c r="W46" s="58">
        <f t="shared" si="7"/>
        <v>1</v>
      </c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</row>
    <row r="47">
      <c r="A47" s="58"/>
      <c r="B47" s="58">
        <v>42.0</v>
      </c>
      <c r="C47" s="58">
        <v>2.5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0.013839</v>
      </c>
      <c r="L47" s="60">
        <v>5.73923146229334E-4</v>
      </c>
      <c r="M47" s="59">
        <f t="shared" si="1"/>
        <v>13839</v>
      </c>
      <c r="N47" s="59">
        <v>152.035986</v>
      </c>
      <c r="O47" s="59">
        <v>12061.018555</v>
      </c>
      <c r="P47" s="58">
        <v>72.071824</v>
      </c>
      <c r="Q47" s="61">
        <f t="shared" si="2"/>
        <v>-0.1284761504</v>
      </c>
      <c r="R47" s="62">
        <f t="shared" si="3"/>
        <v>-10.56726855</v>
      </c>
      <c r="S47" s="58">
        <v>40000.0</v>
      </c>
      <c r="T47" s="63">
        <f t="shared" si="4"/>
        <v>84830.2812</v>
      </c>
      <c r="U47" s="63">
        <f t="shared" si="12"/>
        <v>1071.876694</v>
      </c>
      <c r="V47" s="59">
        <f t="shared" si="6"/>
        <v>1.14741553</v>
      </c>
      <c r="W47" s="58">
        <f t="shared" si="7"/>
        <v>1</v>
      </c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</row>
    <row r="48">
      <c r="A48" s="94"/>
      <c r="B48" s="94">
        <v>43.0</v>
      </c>
      <c r="C48" s="94">
        <v>2.5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3.3377E-6</v>
      </c>
      <c r="L48" s="96">
        <v>5.72694411435006E-8</v>
      </c>
      <c r="M48" s="95">
        <f t="shared" si="1"/>
        <v>3.3377</v>
      </c>
      <c r="N48" s="95">
        <v>0.035859</v>
      </c>
      <c r="O48" s="95">
        <v>3.003666</v>
      </c>
      <c r="P48" s="94">
        <v>0.285704</v>
      </c>
      <c r="Q48" s="97">
        <f t="shared" si="2"/>
        <v>-0.1000790964</v>
      </c>
      <c r="R48" s="98">
        <f t="shared" si="3"/>
        <v>-1.160059575</v>
      </c>
      <c r="S48" s="94">
        <v>11748.0</v>
      </c>
      <c r="T48" s="99">
        <f t="shared" si="4"/>
        <v>20.4594284</v>
      </c>
      <c r="U48" s="99">
        <f t="shared" ref="U48:U54" si="13">K48/$K$49</f>
        <v>0.08068508715</v>
      </c>
      <c r="V48" s="95">
        <f t="shared" si="6"/>
        <v>1.11120877</v>
      </c>
      <c r="W48" s="94">
        <f t="shared" si="7"/>
        <v>1</v>
      </c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</row>
    <row r="49">
      <c r="A49" s="94"/>
      <c r="B49" s="94">
        <v>44.0</v>
      </c>
      <c r="C49" s="94">
        <v>2.5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4.1367E-5</v>
      </c>
      <c r="L49" s="96">
        <v>1.06320323133026E-6</v>
      </c>
      <c r="M49" s="95">
        <f t="shared" si="1"/>
        <v>41.367</v>
      </c>
      <c r="N49" s="95">
        <v>0.472442</v>
      </c>
      <c r="O49" s="95">
        <v>40.617306</v>
      </c>
      <c r="P49" s="94">
        <v>0.474821</v>
      </c>
      <c r="Q49" s="97">
        <f t="shared" si="2"/>
        <v>-0.01812299659</v>
      </c>
      <c r="R49" s="98">
        <f t="shared" si="3"/>
        <v>-1.119249964</v>
      </c>
      <c r="S49" s="94">
        <v>40000.0</v>
      </c>
      <c r="T49" s="99">
        <f t="shared" si="4"/>
        <v>253.5713738</v>
      </c>
      <c r="U49" s="99">
        <f t="shared" si="13"/>
        <v>1</v>
      </c>
      <c r="V49" s="95">
        <f t="shared" si="6"/>
        <v>1.018457502</v>
      </c>
      <c r="W49" s="94">
        <f t="shared" si="7"/>
        <v>1</v>
      </c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</row>
    <row r="50">
      <c r="A50" s="94"/>
      <c r="B50" s="94">
        <v>45.0</v>
      </c>
      <c r="C50" s="94">
        <v>2.5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4.7218E-4</v>
      </c>
      <c r="L50" s="96">
        <v>8.57461369392231E-6</v>
      </c>
      <c r="M50" s="95">
        <f t="shared" si="1"/>
        <v>472.18</v>
      </c>
      <c r="N50" s="95">
        <v>5.278723</v>
      </c>
      <c r="O50" s="95">
        <v>467.508789</v>
      </c>
      <c r="P50" s="94">
        <v>3.062081</v>
      </c>
      <c r="Q50" s="97">
        <f t="shared" si="2"/>
        <v>-0.009892860773</v>
      </c>
      <c r="R50" s="98">
        <f t="shared" si="3"/>
        <v>-0.7654508715</v>
      </c>
      <c r="S50" s="94">
        <v>40000.0</v>
      </c>
      <c r="T50" s="99">
        <f t="shared" si="4"/>
        <v>2894.368248</v>
      </c>
      <c r="U50" s="99">
        <f t="shared" si="13"/>
        <v>11.41441245</v>
      </c>
      <c r="V50" s="95">
        <f t="shared" si="6"/>
        <v>1.009991707</v>
      </c>
      <c r="W50" s="94">
        <f t="shared" si="7"/>
        <v>1</v>
      </c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</row>
    <row r="51">
      <c r="A51" s="94"/>
      <c r="B51" s="94">
        <v>46.0</v>
      </c>
      <c r="C51" s="94">
        <v>2.5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0.00239089999999999</v>
      </c>
      <c r="L51" s="96">
        <v>8.07567678622389E-5</v>
      </c>
      <c r="M51" s="95">
        <f t="shared" si="1"/>
        <v>2390.9</v>
      </c>
      <c r="N51" s="95">
        <v>26.521785</v>
      </c>
      <c r="O51" s="95">
        <v>2230.029053</v>
      </c>
      <c r="P51" s="94">
        <v>12.353542</v>
      </c>
      <c r="Q51" s="97">
        <f t="shared" si="2"/>
        <v>-0.06728468234</v>
      </c>
      <c r="R51" s="98">
        <f t="shared" si="3"/>
        <v>-5.498407341</v>
      </c>
      <c r="S51" s="94">
        <v>40000.0</v>
      </c>
      <c r="T51" s="99">
        <f t="shared" si="4"/>
        <v>14655.73519</v>
      </c>
      <c r="U51" s="99">
        <f t="shared" si="13"/>
        <v>57.79727802</v>
      </c>
      <c r="V51" s="95">
        <f t="shared" si="6"/>
        <v>1.072138498</v>
      </c>
      <c r="W51" s="94">
        <f t="shared" si="7"/>
        <v>1</v>
      </c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</row>
    <row r="52">
      <c r="A52" s="94"/>
      <c r="B52" s="94">
        <v>47.0</v>
      </c>
      <c r="C52" s="94">
        <v>2.5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0.0080751</v>
      </c>
      <c r="L52" s="96">
        <v>1.50494333595801E-4</v>
      </c>
      <c r="M52" s="95">
        <f t="shared" si="1"/>
        <v>8075.1</v>
      </c>
      <c r="N52" s="95">
        <v>88.621908</v>
      </c>
      <c r="O52" s="95">
        <v>7144.019531</v>
      </c>
      <c r="P52" s="94">
        <v>40.147833</v>
      </c>
      <c r="Q52" s="97">
        <f t="shared" si="2"/>
        <v>-0.115302655</v>
      </c>
      <c r="R52" s="98">
        <f t="shared" si="3"/>
        <v>-9.569980513</v>
      </c>
      <c r="S52" s="94">
        <v>40000.0</v>
      </c>
      <c r="T52" s="99">
        <f t="shared" si="4"/>
        <v>49498.73573</v>
      </c>
      <c r="U52" s="99">
        <f t="shared" si="13"/>
        <v>195.2063239</v>
      </c>
      <c r="V52" s="95">
        <f t="shared" si="6"/>
        <v>1.130330056</v>
      </c>
      <c r="W52" s="94">
        <f t="shared" si="7"/>
        <v>1</v>
      </c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</row>
    <row r="53">
      <c r="A53" s="94"/>
      <c r="B53" s="94">
        <v>48.0</v>
      </c>
      <c r="C53" s="94">
        <v>2.5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0.021366</v>
      </c>
      <c r="L53" s="96">
        <v>5.1549760210672E-4</v>
      </c>
      <c r="M53" s="95">
        <f t="shared" si="1"/>
        <v>21366</v>
      </c>
      <c r="N53" s="95">
        <v>232.435142</v>
      </c>
      <c r="O53" s="95">
        <v>17910.410156</v>
      </c>
      <c r="P53" s="94">
        <v>104.225739</v>
      </c>
      <c r="Q53" s="97">
        <f t="shared" si="2"/>
        <v>-0.1617331201</v>
      </c>
      <c r="R53" s="98">
        <f t="shared" si="3"/>
        <v>-13.56551588</v>
      </c>
      <c r="S53" s="94">
        <v>40000.0</v>
      </c>
      <c r="T53" s="99">
        <f t="shared" si="4"/>
        <v>130969.2744</v>
      </c>
      <c r="U53" s="99">
        <f t="shared" si="13"/>
        <v>516.4986584</v>
      </c>
      <c r="V53" s="95">
        <f t="shared" si="6"/>
        <v>1.192937505</v>
      </c>
      <c r="W53" s="94">
        <f t="shared" si="7"/>
        <v>1</v>
      </c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</row>
    <row r="54">
      <c r="A54" s="94"/>
      <c r="B54" s="94">
        <v>49.0</v>
      </c>
      <c r="C54" s="94">
        <v>2.5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0.048038</v>
      </c>
      <c r="L54" s="96">
        <v>0.0013044266514024</v>
      </c>
      <c r="M54" s="95">
        <f t="shared" si="1"/>
        <v>48038</v>
      </c>
      <c r="N54" s="95">
        <v>524.374716</v>
      </c>
      <c r="O54" s="95">
        <v>38116.378906</v>
      </c>
      <c r="P54" s="94">
        <v>227.782554</v>
      </c>
      <c r="Q54" s="97">
        <f t="shared" si="2"/>
        <v>-0.2065369311</v>
      </c>
      <c r="R54" s="98">
        <f t="shared" si="3"/>
        <v>-17.35425248</v>
      </c>
      <c r="S54" s="94">
        <v>40000.0</v>
      </c>
      <c r="T54" s="99">
        <f t="shared" si="4"/>
        <v>294463.2595</v>
      </c>
      <c r="U54" s="99">
        <f t="shared" si="13"/>
        <v>1161.263809</v>
      </c>
      <c r="V54" s="95">
        <f t="shared" si="6"/>
        <v>1.260298102</v>
      </c>
      <c r="W54" s="94">
        <f t="shared" si="7"/>
        <v>0</v>
      </c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</row>
    <row r="55">
      <c r="A55" s="101"/>
      <c r="B55" s="101">
        <v>50.0</v>
      </c>
      <c r="C55" s="101">
        <v>2.5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8.0454E-6</v>
      </c>
      <c r="L55" s="103">
        <v>1.23019600967578E-7</v>
      </c>
      <c r="M55" s="102">
        <f t="shared" si="1"/>
        <v>8.0454</v>
      </c>
      <c r="N55" s="102">
        <v>0.087764</v>
      </c>
      <c r="O55" s="102">
        <v>7.333208</v>
      </c>
      <c r="P55" s="101">
        <v>0.697519</v>
      </c>
      <c r="Q55" s="104">
        <f t="shared" si="2"/>
        <v>-0.08852163969</v>
      </c>
      <c r="R55" s="106">
        <f t="shared" si="3"/>
        <v>-1.013048462</v>
      </c>
      <c r="S55" s="101">
        <v>11748.0</v>
      </c>
      <c r="T55" s="108">
        <f t="shared" si="4"/>
        <v>49.31668071</v>
      </c>
      <c r="U55" s="108">
        <f t="shared" ref="U55:U61" si="14">K55/$K$56</f>
        <v>0.07920337865</v>
      </c>
      <c r="V55" s="102">
        <f t="shared" si="6"/>
        <v>1.097118751</v>
      </c>
      <c r="W55" s="101">
        <f t="shared" si="7"/>
        <v>1</v>
      </c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</row>
    <row r="56">
      <c r="A56" s="101"/>
      <c r="B56" s="101">
        <v>51.0</v>
      </c>
      <c r="C56" s="101">
        <v>2.5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1.01579E-4</v>
      </c>
      <c r="L56" s="103">
        <v>2.35282548816901E-6</v>
      </c>
      <c r="M56" s="102">
        <f t="shared" si="1"/>
        <v>101.579</v>
      </c>
      <c r="N56" s="102">
        <v>1.147948</v>
      </c>
      <c r="O56" s="102">
        <v>99.16217</v>
      </c>
      <c r="P56" s="101">
        <v>1.159231</v>
      </c>
      <c r="Q56" s="104">
        <f t="shared" si="2"/>
        <v>-0.02379261462</v>
      </c>
      <c r="R56" s="106">
        <f t="shared" si="3"/>
        <v>-1.481407768</v>
      </c>
      <c r="S56" s="101">
        <v>40000.0</v>
      </c>
      <c r="T56" s="108">
        <f t="shared" si="4"/>
        <v>622.6588001</v>
      </c>
      <c r="U56" s="108">
        <f t="shared" si="14"/>
        <v>1</v>
      </c>
      <c r="V56" s="102">
        <f t="shared" si="6"/>
        <v>1.0243725</v>
      </c>
      <c r="W56" s="101">
        <f t="shared" si="7"/>
        <v>1</v>
      </c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</row>
    <row r="57">
      <c r="A57" s="101"/>
      <c r="B57" s="101">
        <v>52.0</v>
      </c>
      <c r="C57" s="101">
        <v>2.5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0.0012212</v>
      </c>
      <c r="L57" s="103">
        <v>4.00438648373394E-5</v>
      </c>
      <c r="M57" s="102">
        <f t="shared" si="1"/>
        <v>1221.2</v>
      </c>
      <c r="N57" s="102">
        <v>13.609453</v>
      </c>
      <c r="O57" s="102">
        <v>1141.425659</v>
      </c>
      <c r="P57" s="101">
        <v>7.475785</v>
      </c>
      <c r="Q57" s="104">
        <f t="shared" si="2"/>
        <v>-0.06532455044</v>
      </c>
      <c r="R57" s="106">
        <f t="shared" si="3"/>
        <v>-5.137602529</v>
      </c>
      <c r="S57" s="101">
        <v>40000.0</v>
      </c>
      <c r="T57" s="108">
        <f t="shared" si="4"/>
        <v>7485.709907</v>
      </c>
      <c r="U57" s="108">
        <f t="shared" si="14"/>
        <v>12.02216994</v>
      </c>
      <c r="V57" s="102">
        <f t="shared" si="6"/>
        <v>1.069890089</v>
      </c>
      <c r="W57" s="101">
        <f t="shared" si="7"/>
        <v>1</v>
      </c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</row>
    <row r="58">
      <c r="A58" s="101"/>
      <c r="B58" s="101">
        <v>53.0</v>
      </c>
      <c r="C58" s="101">
        <v>2.5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0.0061642</v>
      </c>
      <c r="L58" s="103">
        <v>1.71009941231496E-4</v>
      </c>
      <c r="M58" s="102">
        <f t="shared" si="1"/>
        <v>6164.2</v>
      </c>
      <c r="N58" s="102">
        <v>67.998701</v>
      </c>
      <c r="O58" s="102">
        <v>5444.511719</v>
      </c>
      <c r="P58" s="101">
        <v>30.160016</v>
      </c>
      <c r="Q58" s="104">
        <f t="shared" si="2"/>
        <v>-0.1167529089</v>
      </c>
      <c r="R58" s="106">
        <f t="shared" si="3"/>
        <v>-9.674898995</v>
      </c>
      <c r="S58" s="101">
        <v>40000.0</v>
      </c>
      <c r="T58" s="108">
        <f t="shared" si="4"/>
        <v>37785.30381</v>
      </c>
      <c r="U58" s="108">
        <f t="shared" si="14"/>
        <v>60.68380275</v>
      </c>
      <c r="V58" s="102">
        <f t="shared" si="6"/>
        <v>1.13218601</v>
      </c>
      <c r="W58" s="101">
        <f t="shared" si="7"/>
        <v>1</v>
      </c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</row>
    <row r="59">
      <c r="A59" s="101"/>
      <c r="B59" s="101">
        <v>54.0</v>
      </c>
      <c r="C59" s="101">
        <v>2.5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0.021206</v>
      </c>
      <c r="L59" s="103">
        <v>5.54340448942104E-4</v>
      </c>
      <c r="M59" s="102">
        <f t="shared" si="1"/>
        <v>21206</v>
      </c>
      <c r="N59" s="102">
        <v>231.230955</v>
      </c>
      <c r="O59" s="102">
        <v>17440.898438</v>
      </c>
      <c r="P59" s="101">
        <v>98.01717</v>
      </c>
      <c r="Q59" s="104">
        <f t="shared" si="2"/>
        <v>-0.1775488806</v>
      </c>
      <c r="R59" s="106">
        <f t="shared" si="3"/>
        <v>-14.99158848</v>
      </c>
      <c r="S59" s="101">
        <v>40000.0</v>
      </c>
      <c r="T59" s="108">
        <f t="shared" si="4"/>
        <v>129988.5066</v>
      </c>
      <c r="U59" s="108">
        <f t="shared" si="14"/>
        <v>208.7636224</v>
      </c>
      <c r="V59" s="102">
        <f t="shared" si="6"/>
        <v>1.21587773</v>
      </c>
      <c r="W59" s="101">
        <f t="shared" si="7"/>
        <v>0</v>
      </c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</row>
    <row r="60">
      <c r="A60" s="101"/>
      <c r="B60" s="101">
        <v>55.0</v>
      </c>
      <c r="C60" s="101">
        <v>2.5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0.057407</v>
      </c>
      <c r="L60" s="103">
        <v>0.00176351952388146</v>
      </c>
      <c r="M60" s="102">
        <f t="shared" si="1"/>
        <v>57407</v>
      </c>
      <c r="N60" s="102">
        <v>628.803642</v>
      </c>
      <c r="O60" s="102">
        <v>43727.925781</v>
      </c>
      <c r="P60" s="101">
        <v>254.45737</v>
      </c>
      <c r="Q60" s="104">
        <f t="shared" si="2"/>
        <v>-0.2382823387</v>
      </c>
      <c r="R60" s="106">
        <f t="shared" si="3"/>
        <v>-20.16556978</v>
      </c>
      <c r="S60" s="101">
        <v>40000.0</v>
      </c>
      <c r="T60" s="108">
        <f t="shared" si="4"/>
        <v>351893.3415</v>
      </c>
      <c r="U60" s="108">
        <f t="shared" si="14"/>
        <v>565.1463393</v>
      </c>
      <c r="V60" s="102">
        <f t="shared" si="6"/>
        <v>1.312822389</v>
      </c>
      <c r="W60" s="101">
        <f t="shared" si="7"/>
        <v>0</v>
      </c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</row>
    <row r="61">
      <c r="A61" s="101"/>
      <c r="B61" s="101">
        <v>56.0</v>
      </c>
      <c r="C61" s="101">
        <v>2.5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0.12601</v>
      </c>
      <c r="L61" s="103">
        <v>0.00357256521595088</v>
      </c>
      <c r="M61" s="102">
        <f t="shared" si="1"/>
        <v>126010</v>
      </c>
      <c r="N61" s="102">
        <v>1375.069595</v>
      </c>
      <c r="O61" s="102">
        <v>93064.671875</v>
      </c>
      <c r="P61" s="101">
        <v>556.109751</v>
      </c>
      <c r="Q61" s="104">
        <f t="shared" si="2"/>
        <v>-0.2614501081</v>
      </c>
      <c r="R61" s="106">
        <f t="shared" si="3"/>
        <v>-22.21135989</v>
      </c>
      <c r="S61" s="101">
        <v>40000.0</v>
      </c>
      <c r="T61" s="108">
        <f t="shared" si="4"/>
        <v>772415.9068</v>
      </c>
      <c r="U61" s="108">
        <f t="shared" si="14"/>
        <v>1240.512311</v>
      </c>
      <c r="V61" s="102">
        <f t="shared" si="6"/>
        <v>1.354004666</v>
      </c>
      <c r="W61" s="101">
        <f t="shared" si="7"/>
        <v>0</v>
      </c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</row>
    <row r="62">
      <c r="A62" s="4"/>
      <c r="B62" s="4">
        <v>57.0</v>
      </c>
      <c r="C62" s="44">
        <v>2.5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5.1303E-7</v>
      </c>
      <c r="L62" s="117">
        <v>1.10621526938576E-8</v>
      </c>
      <c r="M62" s="116">
        <f t="shared" si="1"/>
        <v>0.51303</v>
      </c>
      <c r="N62" s="116">
        <v>0.005881</v>
      </c>
      <c r="O62" s="116">
        <v>705.586487</v>
      </c>
      <c r="P62" s="4">
        <v>3.908738</v>
      </c>
      <c r="Q62" s="118">
        <f t="shared" si="2"/>
        <v>1374.331827</v>
      </c>
      <c r="R62" s="119">
        <f t="shared" si="3"/>
        <v>180.3837093</v>
      </c>
      <c r="S62" s="4">
        <v>40000.0</v>
      </c>
      <c r="T62" s="120">
        <f t="shared" si="4"/>
        <v>3.144770516</v>
      </c>
      <c r="V62" s="1">
        <f t="shared" si="6"/>
        <v>0.000727097258</v>
      </c>
      <c r="W62" s="121">
        <f t="shared" si="7"/>
        <v>0</v>
      </c>
    </row>
    <row r="63">
      <c r="A63" s="4" t="s">
        <v>45</v>
      </c>
      <c r="B63" s="4">
        <v>58.0</v>
      </c>
      <c r="C63" s="44">
        <v>2.5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5.1303E-7</v>
      </c>
      <c r="L63" s="117">
        <v>1.10621526938576E-8</v>
      </c>
      <c r="M63" s="116">
        <f t="shared" si="1"/>
        <v>0.51303</v>
      </c>
      <c r="N63" s="116">
        <v>0.005881</v>
      </c>
      <c r="O63" s="116">
        <v>705.586487</v>
      </c>
      <c r="P63" s="4">
        <v>3.908738</v>
      </c>
      <c r="Q63" s="118">
        <f t="shared" si="2"/>
        <v>1374.331827</v>
      </c>
      <c r="R63" s="119">
        <f t="shared" si="3"/>
        <v>180.3837093</v>
      </c>
      <c r="S63" s="4">
        <v>40000.0</v>
      </c>
      <c r="T63" s="120">
        <f t="shared" si="4"/>
        <v>3.144770516</v>
      </c>
      <c r="V63" s="1">
        <f t="shared" si="6"/>
        <v>0.000727097258</v>
      </c>
      <c r="W63" s="121">
        <f t="shared" si="7"/>
        <v>0</v>
      </c>
    </row>
    <row r="64">
      <c r="A64" s="4"/>
      <c r="B64" s="4">
        <v>59.0</v>
      </c>
      <c r="C64" s="44">
        <v>2.5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5.6344E-6</v>
      </c>
      <c r="L64" s="117">
        <v>1.60587255617208E-7</v>
      </c>
      <c r="M64" s="116">
        <f t="shared" si="1"/>
        <v>5.6344</v>
      </c>
      <c r="N64" s="116">
        <v>0.06125</v>
      </c>
      <c r="O64" s="116">
        <v>456.417603</v>
      </c>
      <c r="P64" s="4">
        <v>2.939232</v>
      </c>
      <c r="Q64" s="118">
        <f t="shared" si="2"/>
        <v>80.00553795</v>
      </c>
      <c r="R64" s="119">
        <f t="shared" si="3"/>
        <v>153.334394</v>
      </c>
      <c r="S64" s="4">
        <v>29176.0</v>
      </c>
      <c r="T64" s="120">
        <f t="shared" si="4"/>
        <v>34.53773657</v>
      </c>
      <c r="V64" s="1">
        <f t="shared" si="6"/>
        <v>0.012344835</v>
      </c>
      <c r="W64" s="121">
        <f t="shared" si="7"/>
        <v>0</v>
      </c>
    </row>
    <row r="65">
      <c r="A65" s="4"/>
      <c r="B65" s="4">
        <v>60.0</v>
      </c>
      <c r="C65" s="44">
        <v>2.5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1.6089E-7</v>
      </c>
      <c r="L65" s="117">
        <v>5.16988072073879E-9</v>
      </c>
      <c r="M65" s="116">
        <f t="shared" si="1"/>
        <v>0.16089</v>
      </c>
      <c r="N65" s="116">
        <v>0.001814</v>
      </c>
      <c r="O65" s="116">
        <v>703.209656</v>
      </c>
      <c r="P65" s="4">
        <v>3.964849</v>
      </c>
      <c r="Q65" s="118">
        <f t="shared" si="2"/>
        <v>4369.748064</v>
      </c>
      <c r="R65" s="119">
        <f t="shared" si="3"/>
        <v>177.3204206</v>
      </c>
      <c r="S65" s="4">
        <v>40000.0</v>
      </c>
      <c r="T65" s="120">
        <f t="shared" si="4"/>
        <v>0.9862232779</v>
      </c>
      <c r="V65" s="1">
        <f t="shared" si="6"/>
        <v>0.0002287937866</v>
      </c>
      <c r="W65" s="121">
        <f t="shared" si="7"/>
        <v>0</v>
      </c>
    </row>
    <row r="66">
      <c r="A66" s="4"/>
      <c r="B66" s="4">
        <v>61.0</v>
      </c>
      <c r="C66" s="44">
        <v>2.5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1.58859999999999E-7</v>
      </c>
      <c r="L66" s="117">
        <v>6.61130345191727E-9</v>
      </c>
      <c r="M66" s="116">
        <f t="shared" si="1"/>
        <v>0.15886</v>
      </c>
      <c r="N66" s="116">
        <v>0.001787</v>
      </c>
      <c r="O66" s="116">
        <v>703.164001</v>
      </c>
      <c r="P66" s="4">
        <v>3.964656</v>
      </c>
      <c r="Q66" s="118">
        <f t="shared" si="2"/>
        <v>4425.312483</v>
      </c>
      <c r="R66" s="119">
        <f t="shared" si="3"/>
        <v>177.3180497</v>
      </c>
      <c r="S66" s="4">
        <v>40000.0</v>
      </c>
      <c r="T66" s="120">
        <f t="shared" si="4"/>
        <v>0.973779787</v>
      </c>
      <c r="V66" s="1">
        <f t="shared" si="6"/>
        <v>0.0002259216908</v>
      </c>
      <c r="W66" s="121">
        <f t="shared" si="7"/>
        <v>0</v>
      </c>
    </row>
    <row r="67">
      <c r="K67" s="1"/>
      <c r="L67" s="2"/>
      <c r="M67" s="1"/>
      <c r="N67" s="1"/>
      <c r="O67" s="1"/>
      <c r="W67" s="122">
        <f>(SUM(W6:W61)-1)/55</f>
        <v>0.8545454545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  <c r="V4" s="3" t="s">
        <v>0</v>
      </c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42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  <c r="V5" s="3" t="s">
        <v>47</v>
      </c>
      <c r="W5" s="4">
        <v>0.2</v>
      </c>
    </row>
    <row r="6">
      <c r="A6" s="8"/>
      <c r="B6" s="8">
        <v>1.0</v>
      </c>
      <c r="C6" s="8">
        <v>2.5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>
        <v>4.8078E-10</v>
      </c>
      <c r="L6" s="11">
        <v>4.74172964222971E-12</v>
      </c>
      <c r="M6" s="10">
        <f t="shared" ref="M6:M66" si="1">K6*1000000</f>
        <v>0.00048078</v>
      </c>
      <c r="N6" s="10">
        <v>5.0E-6</v>
      </c>
      <c r="O6" s="10">
        <v>3.58E-4</v>
      </c>
      <c r="P6" s="8">
        <v>3.3E-5</v>
      </c>
      <c r="Q6" s="12">
        <f t="shared" ref="Q6:Q66" si="2">(O6-M6)/M6</f>
        <v>-0.2553766796</v>
      </c>
      <c r="R6" s="13">
        <f t="shared" ref="R6:R66" si="3">(O6-M6)/sqrt(N6*N6+P6*P6)</f>
        <v>-3.678620897</v>
      </c>
      <c r="S6" s="8">
        <v>11657.0</v>
      </c>
      <c r="T6" s="14">
        <f t="shared" ref="T6:T66" si="4">K6/$K$14</f>
        <v>0.007251255599</v>
      </c>
      <c r="U6" s="14">
        <f t="shared" ref="U6:U12" si="5">K6/$K$7</f>
        <v>0.1076678461</v>
      </c>
      <c r="V6" s="10">
        <f t="shared" ref="V6:V66" si="6">M6/O6</f>
        <v>1.342960894</v>
      </c>
      <c r="W6" s="8">
        <f t="shared" ref="W6:W66" si="7">IF(abs(V6-1)&lt;$W$5, 1, 0)</f>
        <v>0</v>
      </c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>
      <c r="A7" s="8"/>
      <c r="B7" s="8">
        <v>2.0</v>
      </c>
      <c r="C7" s="8">
        <v>2.5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>
        <v>4.4654E-9</v>
      </c>
      <c r="L7" s="11">
        <v>1.20496380766302E-10</v>
      </c>
      <c r="M7" s="10">
        <f t="shared" si="1"/>
        <v>0.0044654</v>
      </c>
      <c r="N7" s="10">
        <v>5.1E-5</v>
      </c>
      <c r="O7" s="10">
        <v>0.004138</v>
      </c>
      <c r="P7" s="8">
        <v>5.0E-5</v>
      </c>
      <c r="Q7" s="12">
        <f t="shared" si="2"/>
        <v>-0.0733192995</v>
      </c>
      <c r="R7" s="13">
        <f t="shared" si="3"/>
        <v>-4.584067599</v>
      </c>
      <c r="S7" s="8">
        <v>40000.0</v>
      </c>
      <c r="T7" s="14">
        <f t="shared" si="4"/>
        <v>0.06734838544</v>
      </c>
      <c r="U7" s="14">
        <f t="shared" si="5"/>
        <v>1</v>
      </c>
      <c r="V7" s="10">
        <f t="shared" si="6"/>
        <v>1.079120348</v>
      </c>
      <c r="W7" s="8">
        <f t="shared" si="7"/>
        <v>1</v>
      </c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8"/>
      <c r="B8" s="8">
        <v>3.0</v>
      </c>
      <c r="C8" s="8">
        <v>2.5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>
        <v>4.908E-8</v>
      </c>
      <c r="L8" s="11">
        <v>1.52260741274083E-9</v>
      </c>
      <c r="M8" s="10">
        <f t="shared" si="1"/>
        <v>0.04908</v>
      </c>
      <c r="N8" s="10">
        <v>5.55E-4</v>
      </c>
      <c r="O8" s="10">
        <v>0.047164</v>
      </c>
      <c r="P8" s="8">
        <v>3.09E-4</v>
      </c>
      <c r="Q8" s="12">
        <f t="shared" si="2"/>
        <v>-0.03903830481</v>
      </c>
      <c r="R8" s="13">
        <f t="shared" si="3"/>
        <v>-3.016272026</v>
      </c>
      <c r="S8" s="8">
        <v>40000.0</v>
      </c>
      <c r="T8" s="14">
        <f t="shared" si="4"/>
        <v>0.7402379983</v>
      </c>
      <c r="U8" s="14">
        <f t="shared" si="5"/>
        <v>10.9911766</v>
      </c>
      <c r="V8" s="10">
        <f t="shared" si="6"/>
        <v>1.040624205</v>
      </c>
      <c r="W8" s="8">
        <f t="shared" si="7"/>
        <v>1</v>
      </c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8"/>
      <c r="B9" s="8">
        <v>4.0</v>
      </c>
      <c r="C9" s="8">
        <v>2.5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>
        <v>2.23099999999999E-7</v>
      </c>
      <c r="L9" s="11">
        <v>6.63676628085295E-9</v>
      </c>
      <c r="M9" s="10">
        <f t="shared" si="1"/>
        <v>0.2231</v>
      </c>
      <c r="N9" s="10">
        <v>0.002469</v>
      </c>
      <c r="O9" s="10">
        <v>0.225234</v>
      </c>
      <c r="P9" s="8">
        <v>0.001248</v>
      </c>
      <c r="Q9" s="12">
        <f t="shared" si="2"/>
        <v>0.009565217391</v>
      </c>
      <c r="R9" s="13">
        <f t="shared" si="3"/>
        <v>0.7713746544</v>
      </c>
      <c r="S9" s="8">
        <v>40000.0</v>
      </c>
      <c r="T9" s="14">
        <f t="shared" si="4"/>
        <v>3.364855286</v>
      </c>
      <c r="U9" s="14">
        <f t="shared" si="5"/>
        <v>49.9619295</v>
      </c>
      <c r="V9" s="10">
        <f t="shared" si="6"/>
        <v>0.9905254091</v>
      </c>
      <c r="W9" s="8">
        <f t="shared" si="7"/>
        <v>1</v>
      </c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8"/>
      <c r="B10" s="8">
        <v>5.0</v>
      </c>
      <c r="C10" s="8">
        <v>2.5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>
        <v>7.09989999999999E-7</v>
      </c>
      <c r="L10" s="11">
        <v>2.51575237255179E-8</v>
      </c>
      <c r="M10" s="10">
        <f t="shared" si="1"/>
        <v>0.70999</v>
      </c>
      <c r="N10" s="10">
        <v>0.00777</v>
      </c>
      <c r="O10" s="10">
        <v>0.722111</v>
      </c>
      <c r="P10" s="8">
        <v>0.004061</v>
      </c>
      <c r="Q10" s="12">
        <f t="shared" si="2"/>
        <v>0.01707207144</v>
      </c>
      <c r="R10" s="13">
        <f t="shared" si="3"/>
        <v>1.382532044</v>
      </c>
      <c r="S10" s="8">
        <v>40000.0</v>
      </c>
      <c r="T10" s="14">
        <f t="shared" si="4"/>
        <v>10.70826358</v>
      </c>
      <c r="U10" s="14">
        <f t="shared" si="5"/>
        <v>158.9980741</v>
      </c>
      <c r="V10" s="10">
        <f t="shared" si="6"/>
        <v>0.983214492</v>
      </c>
      <c r="W10" s="8">
        <f t="shared" si="7"/>
        <v>1</v>
      </c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8"/>
      <c r="B11" s="8">
        <v>6.0</v>
      </c>
      <c r="C11" s="8">
        <v>2.5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>
        <v>1.80409999999999E-6</v>
      </c>
      <c r="L11" s="11">
        <v>5.44374258514611E-8</v>
      </c>
      <c r="M11" s="10">
        <f t="shared" si="1"/>
        <v>1.8041</v>
      </c>
      <c r="N11" s="10">
        <v>0.019819</v>
      </c>
      <c r="O11" s="10">
        <v>1.811426</v>
      </c>
      <c r="P11" s="8">
        <v>0.010546</v>
      </c>
      <c r="Q11" s="12">
        <f t="shared" si="2"/>
        <v>0.004060750513</v>
      </c>
      <c r="R11" s="13">
        <f t="shared" si="3"/>
        <v>0.3263224552</v>
      </c>
      <c r="S11" s="8">
        <v>40000.0</v>
      </c>
      <c r="T11" s="14">
        <f t="shared" si="4"/>
        <v>27.20993017</v>
      </c>
      <c r="U11" s="14">
        <f t="shared" si="5"/>
        <v>404.0175572</v>
      </c>
      <c r="V11" s="10">
        <f t="shared" si="6"/>
        <v>0.9959556725</v>
      </c>
      <c r="W11" s="8">
        <f t="shared" si="7"/>
        <v>1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>
      <c r="A12" s="8"/>
      <c r="B12" s="8">
        <v>7.0</v>
      </c>
      <c r="C12" s="8">
        <v>2.5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>
        <v>3.7689E-6</v>
      </c>
      <c r="L12" s="11">
        <v>1.19444501291976E-7</v>
      </c>
      <c r="M12" s="10">
        <f t="shared" si="1"/>
        <v>3.7689</v>
      </c>
      <c r="N12" s="10">
        <v>0.041083</v>
      </c>
      <c r="O12" s="10">
        <v>3.856468</v>
      </c>
      <c r="P12" s="202">
        <v>0.023049</v>
      </c>
      <c r="Q12" s="12">
        <f t="shared" si="2"/>
        <v>0.02323436546</v>
      </c>
      <c r="R12" s="13">
        <f t="shared" si="3"/>
        <v>1.858917</v>
      </c>
      <c r="S12" s="8">
        <v>40000.0</v>
      </c>
      <c r="T12" s="14">
        <f t="shared" si="4"/>
        <v>56.84358174</v>
      </c>
      <c r="U12" s="14">
        <f t="shared" si="5"/>
        <v>844.0229319</v>
      </c>
      <c r="V12" s="10">
        <f t="shared" si="6"/>
        <v>0.9772932123</v>
      </c>
      <c r="W12" s="8">
        <f t="shared" si="7"/>
        <v>1</v>
      </c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>
      <c r="A13" s="22"/>
      <c r="B13" s="22">
        <v>8.0</v>
      </c>
      <c r="C13" s="22">
        <v>2.5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>
        <v>5.9421E-9</v>
      </c>
      <c r="L13" s="24">
        <v>1.18374593745636E-10</v>
      </c>
      <c r="M13" s="23">
        <f t="shared" si="1"/>
        <v>0.0059421</v>
      </c>
      <c r="N13" s="23">
        <v>6.3E-5</v>
      </c>
      <c r="O13" s="23">
        <v>0.005724</v>
      </c>
      <c r="P13" s="22">
        <v>5.21E-4</v>
      </c>
      <c r="Q13" s="26">
        <f t="shared" si="2"/>
        <v>-0.03670419549</v>
      </c>
      <c r="R13" s="27">
        <f t="shared" si="3"/>
        <v>-0.4155906928</v>
      </c>
      <c r="S13" s="22">
        <v>11657.0</v>
      </c>
      <c r="T13" s="28">
        <f t="shared" si="4"/>
        <v>0.08962037917</v>
      </c>
      <c r="U13" s="28">
        <f t="shared" ref="U13:U19" si="8">K13/$K$14</f>
        <v>0.08962037917</v>
      </c>
      <c r="V13" s="23">
        <f t="shared" si="6"/>
        <v>1.038102725</v>
      </c>
      <c r="W13" s="22">
        <f t="shared" si="7"/>
        <v>1</v>
      </c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</row>
    <row r="14">
      <c r="A14" s="22"/>
      <c r="B14" s="22">
        <v>9.0</v>
      </c>
      <c r="C14" s="22">
        <v>2.5</v>
      </c>
      <c r="D14" s="22">
        <v>1.0</v>
      </c>
      <c r="E14" s="22">
        <v>0.0</v>
      </c>
      <c r="F14" s="22">
        <v>0.2</v>
      </c>
      <c r="G14" s="22">
        <v>0.0</v>
      </c>
      <c r="H14" s="22">
        <v>1.0</v>
      </c>
      <c r="I14" s="22">
        <v>0.0</v>
      </c>
      <c r="J14" s="22">
        <v>0.0</v>
      </c>
      <c r="K14" s="23">
        <v>6.6303E-8</v>
      </c>
      <c r="L14" s="24">
        <v>2.08316475215365E-9</v>
      </c>
      <c r="M14" s="23">
        <f t="shared" si="1"/>
        <v>0.066303</v>
      </c>
      <c r="N14" s="23">
        <v>3.77E-4</v>
      </c>
      <c r="O14" s="23">
        <v>0.066202</v>
      </c>
      <c r="P14" s="22">
        <v>8.02E-4</v>
      </c>
      <c r="Q14" s="26">
        <f t="shared" si="2"/>
        <v>-0.001523309654</v>
      </c>
      <c r="R14" s="27">
        <f t="shared" si="3"/>
        <v>-0.113971024</v>
      </c>
      <c r="S14" s="22">
        <v>40000.0</v>
      </c>
      <c r="T14" s="28">
        <f t="shared" si="4"/>
        <v>1</v>
      </c>
      <c r="U14" s="28">
        <f t="shared" si="8"/>
        <v>1</v>
      </c>
      <c r="V14" s="23">
        <f t="shared" si="6"/>
        <v>1.001525634</v>
      </c>
      <c r="W14" s="22">
        <f t="shared" si="7"/>
        <v>1</v>
      </c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>
      <c r="A15" s="22"/>
      <c r="B15" s="22">
        <v>10.0</v>
      </c>
      <c r="C15" s="22">
        <v>2.5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7.4207E-7</v>
      </c>
      <c r="L15" s="24">
        <v>1.77241235483043E-8</v>
      </c>
      <c r="M15" s="23">
        <f t="shared" si="1"/>
        <v>0.74207</v>
      </c>
      <c r="N15" s="23">
        <v>0.008313</v>
      </c>
      <c r="O15" s="23">
        <v>0.754627</v>
      </c>
      <c r="P15" s="22">
        <v>0.004943</v>
      </c>
      <c r="Q15" s="26">
        <f t="shared" si="2"/>
        <v>0.01692158422</v>
      </c>
      <c r="R15" s="27">
        <f t="shared" si="3"/>
        <v>1.298341762</v>
      </c>
      <c r="S15" s="22">
        <v>40000.0</v>
      </c>
      <c r="T15" s="28">
        <f t="shared" si="4"/>
        <v>11.19210292</v>
      </c>
      <c r="U15" s="28">
        <f t="shared" si="8"/>
        <v>11.19210292</v>
      </c>
      <c r="V15" s="23">
        <f t="shared" si="6"/>
        <v>0.9833599911</v>
      </c>
      <c r="W15" s="22">
        <f t="shared" si="7"/>
        <v>1</v>
      </c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>
      <c r="A16" s="22"/>
      <c r="B16" s="22">
        <v>11.0</v>
      </c>
      <c r="C16" s="22">
        <v>2.5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3.4997E-6</v>
      </c>
      <c r="L16" s="24">
        <v>1.07157257233365E-7</v>
      </c>
      <c r="M16" s="23">
        <f t="shared" si="1"/>
        <v>3.4997</v>
      </c>
      <c r="N16" s="23">
        <v>0.0392</v>
      </c>
      <c r="O16" s="23">
        <v>3.603738</v>
      </c>
      <c r="P16" s="22">
        <v>0.019972</v>
      </c>
      <c r="Q16" s="26">
        <f t="shared" si="2"/>
        <v>0.02972769094</v>
      </c>
      <c r="R16" s="27">
        <f t="shared" si="3"/>
        <v>2.364792695</v>
      </c>
      <c r="S16" s="22">
        <v>40000.0</v>
      </c>
      <c r="T16" s="28">
        <f t="shared" si="4"/>
        <v>52.78343363</v>
      </c>
      <c r="U16" s="28">
        <f t="shared" si="8"/>
        <v>52.78343363</v>
      </c>
      <c r="V16" s="23">
        <f t="shared" si="6"/>
        <v>0.9711305317</v>
      </c>
      <c r="W16" s="22">
        <f t="shared" si="7"/>
        <v>1</v>
      </c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>
      <c r="A17" s="22"/>
      <c r="B17" s="22">
        <v>12.0</v>
      </c>
      <c r="C17" s="22">
        <v>2.5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1.1312E-5</v>
      </c>
      <c r="L17" s="24">
        <v>3.0943676431722E-7</v>
      </c>
      <c r="M17" s="23">
        <f t="shared" si="1"/>
        <v>11.312</v>
      </c>
      <c r="N17" s="23">
        <v>0.124393</v>
      </c>
      <c r="O17" s="23">
        <v>11.553782</v>
      </c>
      <c r="P17" s="22">
        <v>0.064975</v>
      </c>
      <c r="Q17" s="26">
        <f t="shared" si="2"/>
        <v>0.02137393918</v>
      </c>
      <c r="R17" s="27">
        <f t="shared" si="3"/>
        <v>1.722827931</v>
      </c>
      <c r="S17" s="22">
        <v>40000.0</v>
      </c>
      <c r="T17" s="28">
        <f t="shared" si="4"/>
        <v>170.6106813</v>
      </c>
      <c r="U17" s="28">
        <f t="shared" si="8"/>
        <v>170.6106813</v>
      </c>
      <c r="V17" s="23">
        <f t="shared" si="6"/>
        <v>0.9790733459</v>
      </c>
      <c r="W17" s="22">
        <f t="shared" si="7"/>
        <v>1</v>
      </c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>
      <c r="A18" s="22"/>
      <c r="B18" s="22">
        <v>13.0</v>
      </c>
      <c r="C18" s="22">
        <v>2.5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2.7951E-5</v>
      </c>
      <c r="L18" s="24">
        <v>6.10272252541619E-7</v>
      </c>
      <c r="M18" s="23">
        <f t="shared" si="1"/>
        <v>27.951</v>
      </c>
      <c r="N18" s="23">
        <v>0.30662</v>
      </c>
      <c r="O18" s="23">
        <v>28.982822</v>
      </c>
      <c r="P18" s="22">
        <v>0.16873</v>
      </c>
      <c r="Q18" s="26">
        <f t="shared" si="2"/>
        <v>0.03691538764</v>
      </c>
      <c r="R18" s="27">
        <f t="shared" si="3"/>
        <v>2.948235697</v>
      </c>
      <c r="S18" s="22">
        <v>40000.0</v>
      </c>
      <c r="T18" s="28">
        <f t="shared" si="4"/>
        <v>421.5646351</v>
      </c>
      <c r="U18" s="28">
        <f t="shared" si="8"/>
        <v>421.5646351</v>
      </c>
      <c r="V18" s="23">
        <f t="shared" si="6"/>
        <v>0.9643988429</v>
      </c>
      <c r="W18" s="22">
        <f t="shared" si="7"/>
        <v>1</v>
      </c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>
      <c r="A19" s="22"/>
      <c r="B19" s="22">
        <v>14.0</v>
      </c>
      <c r="C19" s="22">
        <v>2.5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5.7437E-5</v>
      </c>
      <c r="L19" s="24">
        <v>1.92563438320408E-6</v>
      </c>
      <c r="M19" s="23">
        <f t="shared" si="1"/>
        <v>57.437</v>
      </c>
      <c r="N19" s="23">
        <v>0.626946</v>
      </c>
      <c r="O19" s="23">
        <v>61.703487</v>
      </c>
      <c r="P19" s="22">
        <v>0.368787</v>
      </c>
      <c r="Q19" s="26">
        <f t="shared" si="2"/>
        <v>0.07428116023</v>
      </c>
      <c r="R19" s="27">
        <f t="shared" si="3"/>
        <v>5.865646065</v>
      </c>
      <c r="S19" s="22">
        <v>40000.0</v>
      </c>
      <c r="T19" s="28">
        <f t="shared" si="4"/>
        <v>866.2805605</v>
      </c>
      <c r="U19" s="28">
        <f t="shared" si="8"/>
        <v>866.2805605</v>
      </c>
      <c r="V19" s="23">
        <f t="shared" si="6"/>
        <v>0.9308550099</v>
      </c>
      <c r="W19" s="22">
        <f t="shared" si="7"/>
        <v>1</v>
      </c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</row>
    <row r="20">
      <c r="A20" s="37"/>
      <c r="B20" s="37">
        <v>15.0</v>
      </c>
      <c r="C20" s="37">
        <v>2.5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>
        <v>2.8682E-8</v>
      </c>
      <c r="L20" s="39">
        <v>8.09592490083745E-10</v>
      </c>
      <c r="M20" s="38">
        <f t="shared" si="1"/>
        <v>0.028682</v>
      </c>
      <c r="N20" s="38">
        <v>3.07E-4</v>
      </c>
      <c r="O20" s="38">
        <v>0.028977</v>
      </c>
      <c r="P20" s="37">
        <v>0.002636</v>
      </c>
      <c r="Q20" s="40">
        <f t="shared" si="2"/>
        <v>0.01028519629</v>
      </c>
      <c r="R20" s="41">
        <f t="shared" si="3"/>
        <v>0.1111606388</v>
      </c>
      <c r="S20" s="37">
        <v>11657.0</v>
      </c>
      <c r="T20" s="42">
        <f t="shared" si="4"/>
        <v>0.4325897772</v>
      </c>
      <c r="U20" s="42">
        <f t="shared" ref="U20:U26" si="9">K20/$K$21</f>
        <v>0.08796810305</v>
      </c>
      <c r="V20" s="38">
        <f t="shared" si="6"/>
        <v>0.989819512</v>
      </c>
      <c r="W20" s="37">
        <f t="shared" si="7"/>
        <v>1</v>
      </c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</row>
    <row r="21">
      <c r="A21" s="37"/>
      <c r="B21" s="37">
        <v>16.0</v>
      </c>
      <c r="C21" s="37">
        <v>2.5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>
        <v>3.2605E-7</v>
      </c>
      <c r="L21" s="39">
        <v>9.0349014629073E-9</v>
      </c>
      <c r="M21" s="38">
        <f t="shared" si="1"/>
        <v>0.32605</v>
      </c>
      <c r="N21" s="38">
        <v>3.25E-4</v>
      </c>
      <c r="O21" s="38">
        <v>0.335134</v>
      </c>
      <c r="P21" s="37">
        <v>0.004059</v>
      </c>
      <c r="Q21" s="40">
        <f t="shared" si="2"/>
        <v>0.02786075755</v>
      </c>
      <c r="R21" s="41">
        <f t="shared" si="3"/>
        <v>2.230850041</v>
      </c>
      <c r="S21" s="37">
        <v>40000.0</v>
      </c>
      <c r="T21" s="42">
        <f t="shared" si="4"/>
        <v>4.917575374</v>
      </c>
      <c r="U21" s="42">
        <f t="shared" si="9"/>
        <v>1</v>
      </c>
      <c r="V21" s="38">
        <f t="shared" si="6"/>
        <v>0.9728944243</v>
      </c>
      <c r="W21" s="37">
        <f t="shared" si="7"/>
        <v>1</v>
      </c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</row>
    <row r="22">
      <c r="A22" s="37"/>
      <c r="B22" s="37">
        <v>17.0</v>
      </c>
      <c r="C22" s="37">
        <v>2.5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>
        <v>3.70889999999999E-6</v>
      </c>
      <c r="L22" s="39">
        <v>1.33736432333651E-7</v>
      </c>
      <c r="M22" s="38">
        <f t="shared" si="1"/>
        <v>3.7089</v>
      </c>
      <c r="N22" s="38">
        <v>0.041328</v>
      </c>
      <c r="O22" s="38">
        <v>3.820246</v>
      </c>
      <c r="P22" s="37">
        <v>0.025026</v>
      </c>
      <c r="Q22" s="40">
        <f t="shared" si="2"/>
        <v>0.03002130012</v>
      </c>
      <c r="R22" s="41">
        <f t="shared" si="3"/>
        <v>2.304601757</v>
      </c>
      <c r="S22" s="37">
        <v>40000.0</v>
      </c>
      <c r="T22" s="42">
        <f t="shared" si="4"/>
        <v>55.93864531</v>
      </c>
      <c r="U22" s="42">
        <f t="shared" si="9"/>
        <v>11.37524919</v>
      </c>
      <c r="V22" s="38">
        <f t="shared" si="6"/>
        <v>0.9708537094</v>
      </c>
      <c r="W22" s="37">
        <f t="shared" si="7"/>
        <v>1</v>
      </c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</row>
    <row r="23">
      <c r="A23" s="37"/>
      <c r="B23" s="37">
        <v>18.0</v>
      </c>
      <c r="C23" s="37">
        <v>2.5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>
        <v>1.7705E-5</v>
      </c>
      <c r="L23" s="39">
        <v>5.2002670871579E-7</v>
      </c>
      <c r="M23" s="38">
        <f t="shared" si="1"/>
        <v>17.705</v>
      </c>
      <c r="N23" s="38">
        <v>0.196153</v>
      </c>
      <c r="O23" s="38">
        <v>18.242937</v>
      </c>
      <c r="P23" s="37">
        <v>0.101108</v>
      </c>
      <c r="Q23" s="40">
        <f t="shared" si="2"/>
        <v>0.03038333804</v>
      </c>
      <c r="R23" s="41">
        <f t="shared" si="3"/>
        <v>2.437654584</v>
      </c>
      <c r="S23" s="37">
        <v>40000.0</v>
      </c>
      <c r="T23" s="42">
        <f t="shared" si="4"/>
        <v>267.0316577</v>
      </c>
      <c r="U23" s="42">
        <f t="shared" si="9"/>
        <v>54.3014875</v>
      </c>
      <c r="V23" s="38">
        <f t="shared" si="6"/>
        <v>0.970512588</v>
      </c>
      <c r="W23" s="37">
        <f t="shared" si="7"/>
        <v>1</v>
      </c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</row>
    <row r="24">
      <c r="A24" s="37"/>
      <c r="B24" s="37">
        <v>19.0</v>
      </c>
      <c r="C24" s="37">
        <v>2.5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5.3867E-5</v>
      </c>
      <c r="L24" s="39">
        <v>1.71842983886777E-6</v>
      </c>
      <c r="M24" s="38">
        <f t="shared" si="1"/>
        <v>53.867</v>
      </c>
      <c r="N24" s="38">
        <v>0.591706</v>
      </c>
      <c r="O24" s="38">
        <v>58.491581</v>
      </c>
      <c r="P24" s="37">
        <v>0.328934</v>
      </c>
      <c r="Q24" s="40">
        <f t="shared" si="2"/>
        <v>0.08585183879</v>
      </c>
      <c r="R24" s="41">
        <f t="shared" si="3"/>
        <v>6.831106149</v>
      </c>
      <c r="S24" s="37">
        <v>40000.0</v>
      </c>
      <c r="T24" s="42">
        <f t="shared" si="4"/>
        <v>812.436843</v>
      </c>
      <c r="U24" s="42">
        <f t="shared" si="9"/>
        <v>165.2108572</v>
      </c>
      <c r="V24" s="38">
        <f t="shared" si="6"/>
        <v>0.9209359549</v>
      </c>
      <c r="W24" s="37">
        <f t="shared" si="7"/>
        <v>1</v>
      </c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</row>
    <row r="25">
      <c r="A25" s="37"/>
      <c r="B25" s="37">
        <v>20.0</v>
      </c>
      <c r="C25" s="37">
        <v>2.5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>
        <v>1.44259999999999E-4</v>
      </c>
      <c r="L25" s="39">
        <v>4.24478765337234E-6</v>
      </c>
      <c r="M25" s="38">
        <f t="shared" si="1"/>
        <v>144.26</v>
      </c>
      <c r="N25" s="38">
        <v>1.577085</v>
      </c>
      <c r="O25" s="38">
        <v>146.724075</v>
      </c>
      <c r="P25" s="37">
        <v>0.854193</v>
      </c>
      <c r="Q25" s="40">
        <f t="shared" si="2"/>
        <v>0.01708079163</v>
      </c>
      <c r="R25" s="41">
        <f t="shared" si="3"/>
        <v>1.373849009</v>
      </c>
      <c r="S25" s="37">
        <v>40000.0</v>
      </c>
      <c r="T25" s="42">
        <f t="shared" si="4"/>
        <v>2175.768819</v>
      </c>
      <c r="U25" s="42">
        <f t="shared" si="9"/>
        <v>442.4474774</v>
      </c>
      <c r="V25" s="38">
        <f t="shared" si="6"/>
        <v>0.9832060621</v>
      </c>
      <c r="W25" s="37">
        <f t="shared" si="7"/>
        <v>1</v>
      </c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</row>
    <row r="26">
      <c r="A26" s="37"/>
      <c r="B26" s="37">
        <v>21.0</v>
      </c>
      <c r="C26" s="37">
        <v>2.5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>
        <v>3.0755E-4</v>
      </c>
      <c r="L26" s="39">
        <v>8.19217105941194E-6</v>
      </c>
      <c r="M26" s="38">
        <f t="shared" si="1"/>
        <v>307.55</v>
      </c>
      <c r="N26" s="38">
        <v>3.377895</v>
      </c>
      <c r="O26" s="38">
        <v>312.35318</v>
      </c>
      <c r="P26" s="37">
        <v>1.866984</v>
      </c>
      <c r="Q26" s="40">
        <f t="shared" si="2"/>
        <v>0.01561755812</v>
      </c>
      <c r="R26" s="41">
        <f t="shared" si="3"/>
        <v>1.244505698</v>
      </c>
      <c r="S26" s="37">
        <v>40000.0</v>
      </c>
      <c r="T26" s="42">
        <f t="shared" si="4"/>
        <v>4638.553308</v>
      </c>
      <c r="U26" s="42">
        <f t="shared" si="9"/>
        <v>943.2602362</v>
      </c>
      <c r="V26" s="38">
        <f t="shared" si="6"/>
        <v>0.9846225993</v>
      </c>
      <c r="W26" s="37">
        <f t="shared" si="7"/>
        <v>1</v>
      </c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</row>
    <row r="27">
      <c r="A27" s="44"/>
      <c r="B27" s="44">
        <v>22.0</v>
      </c>
      <c r="C27" s="44">
        <v>2.5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>
        <v>8.8024E-8</v>
      </c>
      <c r="L27" s="46">
        <v>2.19507630846856E-9</v>
      </c>
      <c r="M27" s="45">
        <f t="shared" si="1"/>
        <v>0.088024</v>
      </c>
      <c r="N27" s="45">
        <v>9.42E-4</v>
      </c>
      <c r="O27" s="45">
        <v>0.091584</v>
      </c>
      <c r="P27" s="44">
        <v>0.008332</v>
      </c>
      <c r="Q27" s="47">
        <f t="shared" si="2"/>
        <v>0.0404435154</v>
      </c>
      <c r="R27" s="48">
        <f t="shared" si="3"/>
        <v>0.4245635651</v>
      </c>
      <c r="S27" s="44">
        <v>11657.0</v>
      </c>
      <c r="T27" s="49">
        <f t="shared" si="4"/>
        <v>1.327602069</v>
      </c>
      <c r="U27" s="49">
        <f t="shared" ref="U27:U33" si="10">K27/$K$28</f>
        <v>0.08547015186</v>
      </c>
      <c r="V27" s="45">
        <f t="shared" si="6"/>
        <v>0.9611285814</v>
      </c>
      <c r="W27" s="44">
        <f t="shared" si="7"/>
        <v>1</v>
      </c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</row>
    <row r="28">
      <c r="A28" s="44"/>
      <c r="B28" s="44">
        <v>23.0</v>
      </c>
      <c r="C28" s="44">
        <v>2.5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>
        <v>1.02988E-6</v>
      </c>
      <c r="L28" s="46">
        <v>2.66174462419753E-8</v>
      </c>
      <c r="M28" s="45">
        <f t="shared" si="1"/>
        <v>1.02988</v>
      </c>
      <c r="N28" s="45">
        <v>0.011642</v>
      </c>
      <c r="O28" s="45">
        <v>1.059234</v>
      </c>
      <c r="P28" s="44">
        <v>0.01283</v>
      </c>
      <c r="Q28" s="47">
        <f t="shared" si="2"/>
        <v>0.02850234979</v>
      </c>
      <c r="R28" s="48">
        <f t="shared" si="3"/>
        <v>1.694344382</v>
      </c>
      <c r="S28" s="44">
        <v>40000.0</v>
      </c>
      <c r="T28" s="49">
        <f t="shared" si="4"/>
        <v>15.53293214</v>
      </c>
      <c r="U28" s="49">
        <f t="shared" si="10"/>
        <v>1</v>
      </c>
      <c r="V28" s="45">
        <f t="shared" si="6"/>
        <v>0.972287521</v>
      </c>
      <c r="W28" s="44">
        <f t="shared" si="7"/>
        <v>1</v>
      </c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</row>
    <row r="29">
      <c r="A29" s="44"/>
      <c r="B29" s="44">
        <v>24.0</v>
      </c>
      <c r="C29" s="44">
        <v>2.5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>
        <v>1.1205E-5</v>
      </c>
      <c r="L29" s="46">
        <v>3.23599546765236E-7</v>
      </c>
      <c r="M29" s="45">
        <f t="shared" si="1"/>
        <v>11.205</v>
      </c>
      <c r="N29" s="45">
        <v>0.124957</v>
      </c>
      <c r="O29" s="45">
        <v>12.074039</v>
      </c>
      <c r="P29" s="44">
        <v>0.079095</v>
      </c>
      <c r="Q29" s="47">
        <f t="shared" si="2"/>
        <v>0.07755814369</v>
      </c>
      <c r="R29" s="48">
        <f t="shared" si="3"/>
        <v>5.876411308</v>
      </c>
      <c r="S29" s="44">
        <v>40000.0</v>
      </c>
      <c r="T29" s="49">
        <f t="shared" si="4"/>
        <v>168.996878</v>
      </c>
      <c r="U29" s="49">
        <f t="shared" si="10"/>
        <v>10.87990834</v>
      </c>
      <c r="V29" s="45">
        <f t="shared" si="6"/>
        <v>0.9280241682</v>
      </c>
      <c r="W29" s="44">
        <f t="shared" si="7"/>
        <v>1</v>
      </c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</row>
    <row r="30">
      <c r="A30" s="44"/>
      <c r="B30" s="44">
        <v>25.0</v>
      </c>
      <c r="C30" s="44">
        <v>2.5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>
        <v>5.6107E-5</v>
      </c>
      <c r="L30" s="46">
        <v>1.52980790369975E-6</v>
      </c>
      <c r="M30" s="45">
        <f t="shared" si="1"/>
        <v>56.107</v>
      </c>
      <c r="N30" s="45">
        <v>0.622205</v>
      </c>
      <c r="O30" s="45">
        <v>57.659809</v>
      </c>
      <c r="P30" s="44">
        <v>0.319552</v>
      </c>
      <c r="Q30" s="47">
        <f t="shared" si="2"/>
        <v>0.0276758515</v>
      </c>
      <c r="R30" s="48">
        <f t="shared" si="3"/>
        <v>2.219992431</v>
      </c>
      <c r="S30" s="44">
        <v>40000.0</v>
      </c>
      <c r="T30" s="49">
        <f t="shared" si="4"/>
        <v>846.2211363</v>
      </c>
      <c r="U30" s="49">
        <f t="shared" si="10"/>
        <v>54.47916262</v>
      </c>
      <c r="V30" s="45">
        <f t="shared" si="6"/>
        <v>0.9730694737</v>
      </c>
      <c r="W30" s="44">
        <f t="shared" si="7"/>
        <v>1</v>
      </c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</row>
    <row r="31">
      <c r="A31" s="44"/>
      <c r="B31" s="44">
        <v>26.0</v>
      </c>
      <c r="C31" s="44">
        <v>2.5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>
        <v>1.83149999999999E-4</v>
      </c>
      <c r="L31" s="46">
        <v>3.9410235557107E-6</v>
      </c>
      <c r="M31" s="45">
        <f t="shared" si="1"/>
        <v>183.15</v>
      </c>
      <c r="N31" s="45">
        <v>2.004659</v>
      </c>
      <c r="O31" s="45">
        <v>184.860504</v>
      </c>
      <c r="P31" s="44">
        <v>1.039594</v>
      </c>
      <c r="Q31" s="47">
        <f t="shared" si="2"/>
        <v>0.009339361179</v>
      </c>
      <c r="R31" s="48">
        <f t="shared" si="3"/>
        <v>0.7574674658</v>
      </c>
      <c r="S31" s="44">
        <v>40000.0</v>
      </c>
      <c r="T31" s="49">
        <f t="shared" si="4"/>
        <v>2762.318447</v>
      </c>
      <c r="U31" s="49">
        <f t="shared" si="10"/>
        <v>177.8362528</v>
      </c>
      <c r="V31" s="45">
        <f t="shared" si="6"/>
        <v>0.9907470554</v>
      </c>
      <c r="W31" s="44">
        <f t="shared" si="7"/>
        <v>1</v>
      </c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</row>
    <row r="32">
      <c r="A32" s="44"/>
      <c r="B32" s="44">
        <v>27.0</v>
      </c>
      <c r="C32" s="44">
        <v>2.5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>
        <v>4.6331E-4</v>
      </c>
      <c r="L32" s="46">
        <v>1.93107598101277E-5</v>
      </c>
      <c r="M32" s="45">
        <f t="shared" si="1"/>
        <v>463.31</v>
      </c>
      <c r="N32" s="45">
        <v>5.049586</v>
      </c>
      <c r="O32" s="45">
        <v>463.725159</v>
      </c>
      <c r="P32" s="44">
        <v>2.699673</v>
      </c>
      <c r="Q32" s="47">
        <f t="shared" si="2"/>
        <v>0.0008960717446</v>
      </c>
      <c r="R32" s="48">
        <f t="shared" si="3"/>
        <v>0.0725047696</v>
      </c>
      <c r="S32" s="44">
        <v>40000.0</v>
      </c>
      <c r="T32" s="49">
        <f t="shared" si="4"/>
        <v>6987.768276</v>
      </c>
      <c r="U32" s="49">
        <f t="shared" si="10"/>
        <v>449.8679458</v>
      </c>
      <c r="V32" s="45">
        <f t="shared" si="6"/>
        <v>0.9991047305</v>
      </c>
      <c r="W32" s="44">
        <f t="shared" si="7"/>
        <v>1</v>
      </c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</row>
    <row r="33">
      <c r="A33" s="44"/>
      <c r="B33" s="44">
        <v>28.0</v>
      </c>
      <c r="C33" s="44">
        <v>2.5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>
        <v>0.00102284</v>
      </c>
      <c r="L33" s="46">
        <v>2.72115661683287E-5</v>
      </c>
      <c r="M33" s="45">
        <f t="shared" si="1"/>
        <v>1022.84</v>
      </c>
      <c r="N33" s="45">
        <v>11.231536</v>
      </c>
      <c r="O33" s="45">
        <v>987.255798</v>
      </c>
      <c r="P33" s="44">
        <v>5.900592</v>
      </c>
      <c r="Q33" s="47">
        <f t="shared" si="2"/>
        <v>-0.03478960737</v>
      </c>
      <c r="R33" s="48">
        <f t="shared" si="3"/>
        <v>-2.80473821</v>
      </c>
      <c r="S33" s="44">
        <v>40000.0</v>
      </c>
      <c r="T33" s="49">
        <f t="shared" si="4"/>
        <v>15426.75294</v>
      </c>
      <c r="U33" s="49">
        <f t="shared" si="10"/>
        <v>993.1642521</v>
      </c>
      <c r="V33" s="45">
        <f t="shared" si="6"/>
        <v>1.036043548</v>
      </c>
      <c r="W33" s="44">
        <f t="shared" si="7"/>
        <v>1</v>
      </c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</row>
    <row r="34">
      <c r="A34" s="51"/>
      <c r="B34" s="51">
        <v>29.0</v>
      </c>
      <c r="C34" s="51">
        <v>2.5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>
        <v>2.0795E-7</v>
      </c>
      <c r="L34" s="53">
        <v>3.74825885504782E-9</v>
      </c>
      <c r="M34" s="52">
        <f t="shared" si="1"/>
        <v>0.20795</v>
      </c>
      <c r="N34" s="52">
        <v>0.002233</v>
      </c>
      <c r="O34" s="52">
        <v>0.223593</v>
      </c>
      <c r="P34" s="51">
        <v>0.020341</v>
      </c>
      <c r="Q34" s="54">
        <f t="shared" si="2"/>
        <v>0.07522481366</v>
      </c>
      <c r="R34" s="55">
        <f t="shared" si="3"/>
        <v>0.7644454291</v>
      </c>
      <c r="S34" s="51">
        <v>11657.0</v>
      </c>
      <c r="T34" s="56">
        <f t="shared" si="4"/>
        <v>3.136358837</v>
      </c>
      <c r="U34" s="56">
        <f t="shared" ref="U34:U40" si="11">K34/$K$35</f>
        <v>0.0890425623</v>
      </c>
      <c r="V34" s="52">
        <f t="shared" si="6"/>
        <v>0.9300380602</v>
      </c>
      <c r="W34" s="51">
        <f t="shared" si="7"/>
        <v>1</v>
      </c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</row>
    <row r="35">
      <c r="A35" s="51"/>
      <c r="B35" s="51">
        <v>30.0</v>
      </c>
      <c r="C35" s="51">
        <v>2.5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>
        <v>2.3354E-6</v>
      </c>
      <c r="L35" s="53">
        <v>7.30892909012287E-8</v>
      </c>
      <c r="M35" s="52">
        <f t="shared" si="1"/>
        <v>2.3354</v>
      </c>
      <c r="N35" s="52">
        <v>0.026377</v>
      </c>
      <c r="O35" s="52">
        <v>2.586106</v>
      </c>
      <c r="P35" s="51">
        <v>0.031323</v>
      </c>
      <c r="Q35" s="54">
        <f t="shared" si="2"/>
        <v>0.1073503468</v>
      </c>
      <c r="R35" s="55">
        <f t="shared" si="3"/>
        <v>6.122294182</v>
      </c>
      <c r="S35" s="51">
        <v>40000.0</v>
      </c>
      <c r="T35" s="56">
        <f t="shared" si="4"/>
        <v>35.22314224</v>
      </c>
      <c r="U35" s="56">
        <f t="shared" si="11"/>
        <v>1</v>
      </c>
      <c r="V35" s="52">
        <f t="shared" si="6"/>
        <v>0.9030565646</v>
      </c>
      <c r="W35" s="51">
        <f t="shared" si="7"/>
        <v>1</v>
      </c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</row>
    <row r="36">
      <c r="A36" s="51"/>
      <c r="B36" s="51">
        <v>31.0</v>
      </c>
      <c r="C36" s="51">
        <v>2.5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>
        <v>2.93579999999999E-5</v>
      </c>
      <c r="L36" s="53">
        <v>6.89586027185071E-7</v>
      </c>
      <c r="M36" s="52">
        <f t="shared" si="1"/>
        <v>29.358</v>
      </c>
      <c r="N36" s="52">
        <v>0.328421</v>
      </c>
      <c r="O36" s="52">
        <v>29.479704</v>
      </c>
      <c r="P36" s="51">
        <v>0.193103</v>
      </c>
      <c r="Q36" s="54">
        <f t="shared" si="2"/>
        <v>0.004145514</v>
      </c>
      <c r="R36" s="55">
        <f t="shared" si="3"/>
        <v>0.3194461409</v>
      </c>
      <c r="S36" s="51">
        <v>40000.0</v>
      </c>
      <c r="T36" s="56">
        <f t="shared" si="4"/>
        <v>442.7853943</v>
      </c>
      <c r="U36" s="56">
        <f t="shared" si="11"/>
        <v>12.5708658</v>
      </c>
      <c r="V36" s="52">
        <f t="shared" si="6"/>
        <v>0.9958716003</v>
      </c>
      <c r="W36" s="51">
        <f t="shared" si="7"/>
        <v>1</v>
      </c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</row>
    <row r="37">
      <c r="A37" s="51"/>
      <c r="B37" s="51">
        <v>32.0</v>
      </c>
      <c r="C37" s="51">
        <v>2.5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>
        <v>1.4015E-4</v>
      </c>
      <c r="L37" s="53">
        <v>2.92698175980346E-6</v>
      </c>
      <c r="M37" s="52">
        <f t="shared" si="1"/>
        <v>140.15</v>
      </c>
      <c r="N37" s="52">
        <v>1.551899</v>
      </c>
      <c r="O37" s="52">
        <v>140.768372</v>
      </c>
      <c r="P37" s="51">
        <v>0.780156</v>
      </c>
      <c r="Q37" s="54">
        <f t="shared" si="2"/>
        <v>0.004412215483</v>
      </c>
      <c r="R37" s="55">
        <f t="shared" si="3"/>
        <v>0.3560079711</v>
      </c>
      <c r="S37" s="51">
        <v>40000.0</v>
      </c>
      <c r="T37" s="56">
        <f t="shared" si="4"/>
        <v>2113.780674</v>
      </c>
      <c r="U37" s="56">
        <f t="shared" si="11"/>
        <v>60.011133</v>
      </c>
      <c r="V37" s="52">
        <f t="shared" si="6"/>
        <v>0.9956071666</v>
      </c>
      <c r="W37" s="51">
        <f t="shared" si="7"/>
        <v>1</v>
      </c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</row>
    <row r="38">
      <c r="A38" s="51"/>
      <c r="B38" s="51">
        <v>33.0</v>
      </c>
      <c r="C38" s="51">
        <v>2.5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>
        <v>4.6397E-4</v>
      </c>
      <c r="L38" s="53">
        <v>1.26287194741016E-5</v>
      </c>
      <c r="M38" s="52">
        <f t="shared" si="1"/>
        <v>463.97</v>
      </c>
      <c r="N38" s="52">
        <v>5.120293</v>
      </c>
      <c r="O38" s="52">
        <v>451.348419</v>
      </c>
      <c r="P38" s="51">
        <v>2.538071</v>
      </c>
      <c r="Q38" s="54">
        <f t="shared" si="2"/>
        <v>-0.02720344203</v>
      </c>
      <c r="R38" s="55">
        <f t="shared" si="3"/>
        <v>-2.208568917</v>
      </c>
      <c r="S38" s="51">
        <v>40000.0</v>
      </c>
      <c r="T38" s="56">
        <f t="shared" si="4"/>
        <v>6997.722577</v>
      </c>
      <c r="U38" s="56">
        <f t="shared" si="11"/>
        <v>198.6683223</v>
      </c>
      <c r="V38" s="52">
        <f t="shared" si="6"/>
        <v>1.027964164</v>
      </c>
      <c r="W38" s="51">
        <f t="shared" si="7"/>
        <v>1</v>
      </c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</row>
    <row r="39">
      <c r="A39" s="51"/>
      <c r="B39" s="51">
        <v>34.0</v>
      </c>
      <c r="C39" s="51">
        <v>2.5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>
        <v>0.0011673</v>
      </c>
      <c r="L39" s="53">
        <v>4.27084430892898E-5</v>
      </c>
      <c r="M39" s="52">
        <f t="shared" si="1"/>
        <v>1167.3</v>
      </c>
      <c r="N39" s="52">
        <v>12.750199</v>
      </c>
      <c r="O39" s="52">
        <v>1132.177246</v>
      </c>
      <c r="P39" s="51">
        <v>6.590998</v>
      </c>
      <c r="Q39" s="54">
        <f t="shared" si="2"/>
        <v>-0.03008888375</v>
      </c>
      <c r="R39" s="55">
        <f t="shared" si="3"/>
        <v>-2.447065786</v>
      </c>
      <c r="S39" s="51">
        <v>40000.0</v>
      </c>
      <c r="T39" s="56">
        <f t="shared" si="4"/>
        <v>17605.53821</v>
      </c>
      <c r="U39" s="56">
        <f t="shared" si="11"/>
        <v>499.8287231</v>
      </c>
      <c r="V39" s="52">
        <f t="shared" si="6"/>
        <v>1.03102231</v>
      </c>
      <c r="W39" s="51">
        <f t="shared" si="7"/>
        <v>1</v>
      </c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</row>
    <row r="40">
      <c r="A40" s="51"/>
      <c r="B40" s="51">
        <v>35.0</v>
      </c>
      <c r="C40" s="51">
        <v>2.5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>
        <v>0.0025852</v>
      </c>
      <c r="L40" s="53">
        <v>6.34329041849208E-5</v>
      </c>
      <c r="M40" s="52">
        <f t="shared" si="1"/>
        <v>2585.2</v>
      </c>
      <c r="N40" s="52">
        <v>28.26199</v>
      </c>
      <c r="O40" s="52">
        <v>2410.317139</v>
      </c>
      <c r="P40" s="51">
        <v>14.405743</v>
      </c>
      <c r="Q40" s="54">
        <f t="shared" si="2"/>
        <v>-0.06764771043</v>
      </c>
      <c r="R40" s="55">
        <f t="shared" si="3"/>
        <v>-5.513037617</v>
      </c>
      <c r="S40" s="51">
        <v>40000.0</v>
      </c>
      <c r="T40" s="56">
        <f t="shared" si="4"/>
        <v>38990.69424</v>
      </c>
      <c r="U40" s="56">
        <f t="shared" si="11"/>
        <v>1106.962405</v>
      </c>
      <c r="V40" s="52">
        <f t="shared" si="6"/>
        <v>1.072555955</v>
      </c>
      <c r="W40" s="51">
        <f t="shared" si="7"/>
        <v>1</v>
      </c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</row>
    <row r="41">
      <c r="A41" s="58"/>
      <c r="B41" s="58">
        <v>36.0</v>
      </c>
      <c r="C41" s="58">
        <v>2.5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>
        <v>4.49309999999999E-7</v>
      </c>
      <c r="L41" s="60">
        <v>1.18653042289038E-8</v>
      </c>
      <c r="M41" s="59">
        <f t="shared" si="1"/>
        <v>0.44931</v>
      </c>
      <c r="N41" s="59">
        <v>0.00487</v>
      </c>
      <c r="O41" s="59">
        <v>0.46364</v>
      </c>
      <c r="P41" s="58">
        <v>0.042179</v>
      </c>
      <c r="Q41" s="61">
        <f t="shared" si="2"/>
        <v>0.03189334758</v>
      </c>
      <c r="R41" s="62">
        <f t="shared" si="3"/>
        <v>0.3375003516</v>
      </c>
      <c r="S41" s="58">
        <v>11657.0</v>
      </c>
      <c r="T41" s="63">
        <f t="shared" si="4"/>
        <v>6.776616443</v>
      </c>
      <c r="U41" s="63">
        <f t="shared" ref="U41:U47" si="12">K41/$K$42</f>
        <v>0.08481067613</v>
      </c>
      <c r="V41" s="59">
        <f t="shared" si="6"/>
        <v>0.9690923993</v>
      </c>
      <c r="W41" s="58">
        <f t="shared" si="7"/>
        <v>1</v>
      </c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</row>
    <row r="42">
      <c r="A42" s="58"/>
      <c r="B42" s="58">
        <v>37.0</v>
      </c>
      <c r="C42" s="58">
        <v>2.5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>
        <v>5.2978E-6</v>
      </c>
      <c r="L42" s="60">
        <v>1.15071765047343E-7</v>
      </c>
      <c r="M42" s="59">
        <f t="shared" si="1"/>
        <v>5.2978</v>
      </c>
      <c r="N42" s="59">
        <v>0.059857</v>
      </c>
      <c r="O42" s="59">
        <v>5.36215</v>
      </c>
      <c r="P42" s="58">
        <v>0.064952</v>
      </c>
      <c r="Q42" s="61">
        <f t="shared" si="2"/>
        <v>0.0121465514</v>
      </c>
      <c r="R42" s="62">
        <f t="shared" si="3"/>
        <v>0.7285444903</v>
      </c>
      <c r="S42" s="58">
        <v>40000.0</v>
      </c>
      <c r="T42" s="63">
        <f t="shared" si="4"/>
        <v>79.90287016</v>
      </c>
      <c r="U42" s="63">
        <f t="shared" si="12"/>
        <v>1</v>
      </c>
      <c r="V42" s="59">
        <f t="shared" si="6"/>
        <v>0.9879992167</v>
      </c>
      <c r="W42" s="58">
        <f t="shared" si="7"/>
        <v>1</v>
      </c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</row>
    <row r="43">
      <c r="A43" s="58"/>
      <c r="B43" s="58">
        <v>38.0</v>
      </c>
      <c r="C43" s="58">
        <v>2.5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>
        <v>6.07509999999999E-5</v>
      </c>
      <c r="L43" s="60">
        <v>9.86311309881418E-7</v>
      </c>
      <c r="M43" s="59">
        <f t="shared" si="1"/>
        <v>60.751</v>
      </c>
      <c r="N43" s="59">
        <v>0.677927</v>
      </c>
      <c r="O43" s="59">
        <v>61.12394</v>
      </c>
      <c r="P43" s="58">
        <v>0.400418</v>
      </c>
      <c r="Q43" s="61">
        <f t="shared" si="2"/>
        <v>0.00613882899</v>
      </c>
      <c r="R43" s="62">
        <f t="shared" si="3"/>
        <v>0.4736649895</v>
      </c>
      <c r="S43" s="58">
        <v>40000.0</v>
      </c>
      <c r="T43" s="63">
        <f t="shared" si="4"/>
        <v>916.2632158</v>
      </c>
      <c r="U43" s="63">
        <f t="shared" si="12"/>
        <v>11.46721281</v>
      </c>
      <c r="V43" s="59">
        <f t="shared" si="6"/>
        <v>0.9938986263</v>
      </c>
      <c r="W43" s="58">
        <f t="shared" si="7"/>
        <v>1</v>
      </c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</row>
    <row r="44">
      <c r="A44" s="218" t="s">
        <v>21</v>
      </c>
      <c r="B44" s="218">
        <v>39.0</v>
      </c>
      <c r="C44" s="218">
        <v>2.5</v>
      </c>
      <c r="D44" s="218">
        <v>1.0</v>
      </c>
      <c r="E44" s="218">
        <v>0.0</v>
      </c>
      <c r="F44" s="218">
        <v>1.0</v>
      </c>
      <c r="G44" s="218">
        <v>0.0</v>
      </c>
      <c r="H44" s="218">
        <v>3.0</v>
      </c>
      <c r="I44" s="218">
        <v>0.0</v>
      </c>
      <c r="J44" s="218">
        <v>0.0</v>
      </c>
      <c r="K44" s="166">
        <v>2.91885E-4</v>
      </c>
      <c r="L44" s="219">
        <v>8.49556596264434E-6</v>
      </c>
      <c r="M44" s="166">
        <f t="shared" si="1"/>
        <v>291.885</v>
      </c>
      <c r="N44" s="166">
        <v>1.617731</v>
      </c>
      <c r="O44" s="166">
        <v>291.886993</v>
      </c>
      <c r="P44" s="218">
        <v>1.617731</v>
      </c>
      <c r="Q44" s="220">
        <f t="shared" si="2"/>
        <v>0.000006828031588</v>
      </c>
      <c r="R44" s="221">
        <f t="shared" si="3"/>
        <v>0.0008711360634</v>
      </c>
      <c r="S44" s="218">
        <v>40000.0</v>
      </c>
      <c r="T44" s="222">
        <f t="shared" si="4"/>
        <v>4402.289489</v>
      </c>
      <c r="U44" s="222">
        <f t="shared" si="12"/>
        <v>55.09551134</v>
      </c>
      <c r="V44" s="166">
        <f t="shared" si="6"/>
        <v>0.999993172</v>
      </c>
      <c r="W44" s="218">
        <f t="shared" si="7"/>
        <v>1</v>
      </c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</row>
    <row r="45">
      <c r="A45" s="58"/>
      <c r="B45" s="58">
        <v>40.0</v>
      </c>
      <c r="C45" s="58">
        <v>2.5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>
        <v>9.75249999999999E-4</v>
      </c>
      <c r="L45" s="60">
        <v>2.97044048360957E-5</v>
      </c>
      <c r="M45" s="59">
        <f t="shared" si="1"/>
        <v>975.25</v>
      </c>
      <c r="N45" s="59">
        <v>10.743443</v>
      </c>
      <c r="O45" s="59">
        <v>935.865295</v>
      </c>
      <c r="P45" s="58">
        <v>5.262944</v>
      </c>
      <c r="Q45" s="61">
        <f t="shared" si="2"/>
        <v>-0.0403842143</v>
      </c>
      <c r="R45" s="62">
        <f t="shared" si="3"/>
        <v>-3.292131771</v>
      </c>
      <c r="S45" s="58">
        <v>40000.0</v>
      </c>
      <c r="T45" s="63">
        <f t="shared" si="4"/>
        <v>14708.98753</v>
      </c>
      <c r="U45" s="63">
        <f t="shared" si="12"/>
        <v>184.085847</v>
      </c>
      <c r="V45" s="59">
        <f t="shared" si="6"/>
        <v>1.042083733</v>
      </c>
      <c r="W45" s="58">
        <f t="shared" si="7"/>
        <v>1</v>
      </c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</row>
    <row r="46">
      <c r="A46" s="58"/>
      <c r="B46" s="58">
        <v>41.0</v>
      </c>
      <c r="C46" s="58">
        <v>2.5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>
        <v>0.002536</v>
      </c>
      <c r="L46" s="60">
        <v>7.14562803397994E-5</v>
      </c>
      <c r="M46" s="59">
        <f t="shared" si="1"/>
        <v>2536</v>
      </c>
      <c r="N46" s="59">
        <v>27.633318</v>
      </c>
      <c r="O46" s="59">
        <v>2347.585205</v>
      </c>
      <c r="P46" s="58">
        <v>13.667093</v>
      </c>
      <c r="Q46" s="61">
        <f t="shared" si="2"/>
        <v>-0.07429605481</v>
      </c>
      <c r="R46" s="62">
        <f t="shared" si="3"/>
        <v>-6.111729759</v>
      </c>
      <c r="S46" s="58">
        <v>40000.0</v>
      </c>
      <c r="T46" s="63">
        <f t="shared" si="4"/>
        <v>38248.64637</v>
      </c>
      <c r="U46" s="63">
        <f t="shared" si="12"/>
        <v>478.6892672</v>
      </c>
      <c r="V46" s="59">
        <f t="shared" si="6"/>
        <v>1.08025898</v>
      </c>
      <c r="W46" s="58">
        <f t="shared" si="7"/>
        <v>1</v>
      </c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</row>
    <row r="47">
      <c r="A47" s="58"/>
      <c r="B47" s="58">
        <v>42.0</v>
      </c>
      <c r="C47" s="58">
        <v>2.5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>
        <v>0.0057437</v>
      </c>
      <c r="L47" s="60">
        <v>2.33498536754872E-4</v>
      </c>
      <c r="M47" s="59">
        <f t="shared" si="1"/>
        <v>5743.7</v>
      </c>
      <c r="N47" s="59">
        <v>62.741216</v>
      </c>
      <c r="O47" s="59">
        <v>4997.650879</v>
      </c>
      <c r="P47" s="58">
        <v>29.871749</v>
      </c>
      <c r="Q47" s="61">
        <f t="shared" si="2"/>
        <v>-0.1298899875</v>
      </c>
      <c r="R47" s="62">
        <f t="shared" si="3"/>
        <v>-10.73615178</v>
      </c>
      <c r="S47" s="58">
        <v>40000.0</v>
      </c>
      <c r="T47" s="63">
        <f t="shared" si="4"/>
        <v>86628.05605</v>
      </c>
      <c r="U47" s="63">
        <f t="shared" si="12"/>
        <v>1084.167013</v>
      </c>
      <c r="V47" s="59">
        <f t="shared" si="6"/>
        <v>1.14927996</v>
      </c>
      <c r="W47" s="58">
        <f t="shared" si="7"/>
        <v>1</v>
      </c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</row>
    <row r="48">
      <c r="A48" s="94"/>
      <c r="B48" s="94">
        <v>43.0</v>
      </c>
      <c r="C48" s="94">
        <v>2.5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>
        <v>1.3679E-6</v>
      </c>
      <c r="L48" s="96">
        <v>3.2460060929634E-8</v>
      </c>
      <c r="M48" s="95">
        <f t="shared" si="1"/>
        <v>1.3679</v>
      </c>
      <c r="N48" s="95">
        <v>0.014642</v>
      </c>
      <c r="O48" s="95">
        <v>1.465341</v>
      </c>
      <c r="P48" s="94">
        <v>0.133306</v>
      </c>
      <c r="Q48" s="97">
        <f t="shared" si="2"/>
        <v>0.07123400833</v>
      </c>
      <c r="R48" s="98">
        <f t="shared" si="3"/>
        <v>0.726587608</v>
      </c>
      <c r="S48" s="94">
        <v>11657.0</v>
      </c>
      <c r="T48" s="99">
        <f t="shared" si="4"/>
        <v>20.63104234</v>
      </c>
      <c r="U48" s="99">
        <f t="shared" ref="U48:U54" si="13">K48/$K$49</f>
        <v>0.07982609711</v>
      </c>
      <c r="V48" s="95">
        <f t="shared" si="6"/>
        <v>0.9335028502</v>
      </c>
      <c r="W48" s="94">
        <f t="shared" si="7"/>
        <v>1</v>
      </c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</row>
    <row r="49">
      <c r="A49" s="94"/>
      <c r="B49" s="94">
        <v>44.0</v>
      </c>
      <c r="C49" s="94">
        <v>2.5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>
        <v>1.7136E-5</v>
      </c>
      <c r="L49" s="96">
        <v>5.53036064727145E-7</v>
      </c>
      <c r="M49" s="95">
        <f t="shared" si="1"/>
        <v>17.136</v>
      </c>
      <c r="N49" s="95">
        <v>0.194886</v>
      </c>
      <c r="O49" s="95">
        <v>16.947742</v>
      </c>
      <c r="P49" s="94">
        <v>0.20528</v>
      </c>
      <c r="Q49" s="97">
        <f t="shared" si="2"/>
        <v>-0.01098611111</v>
      </c>
      <c r="R49" s="98">
        <f t="shared" si="3"/>
        <v>-0.665092118</v>
      </c>
      <c r="S49" s="94">
        <v>40000.0</v>
      </c>
      <c r="T49" s="99">
        <f t="shared" si="4"/>
        <v>258.4498439</v>
      </c>
      <c r="U49" s="99">
        <f t="shared" si="13"/>
        <v>1</v>
      </c>
      <c r="V49" s="95">
        <f t="shared" si="6"/>
        <v>1.011108146</v>
      </c>
      <c r="W49" s="94">
        <f t="shared" si="7"/>
        <v>1</v>
      </c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</row>
    <row r="50">
      <c r="A50" s="94"/>
      <c r="B50" s="94">
        <v>45.0</v>
      </c>
      <c r="C50" s="94">
        <v>2.5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>
        <v>2.0164E-4</v>
      </c>
      <c r="L50" s="96">
        <v>7.72689387068884E-6</v>
      </c>
      <c r="M50" s="95">
        <f t="shared" si="1"/>
        <v>201.64</v>
      </c>
      <c r="N50" s="95">
        <v>2.263318</v>
      </c>
      <c r="O50" s="95">
        <v>193.184616</v>
      </c>
      <c r="P50" s="94">
        <v>1.265519</v>
      </c>
      <c r="Q50" s="97">
        <f t="shared" si="2"/>
        <v>-0.04193306884</v>
      </c>
      <c r="R50" s="98">
        <f t="shared" si="3"/>
        <v>-3.260729298</v>
      </c>
      <c r="S50" s="94">
        <v>40000.0</v>
      </c>
      <c r="T50" s="99">
        <f t="shared" si="4"/>
        <v>3041.18969</v>
      </c>
      <c r="U50" s="99">
        <f t="shared" si="13"/>
        <v>11.76704015</v>
      </c>
      <c r="V50" s="95">
        <f t="shared" si="6"/>
        <v>1.043768413</v>
      </c>
      <c r="W50" s="94">
        <f t="shared" si="7"/>
        <v>1</v>
      </c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</row>
    <row r="51">
      <c r="A51" s="94"/>
      <c r="B51" s="94">
        <v>46.0</v>
      </c>
      <c r="C51" s="94">
        <v>2.5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>
        <v>9.898E-4</v>
      </c>
      <c r="L51" s="96">
        <v>3.0889912053398E-5</v>
      </c>
      <c r="M51" s="95">
        <f t="shared" si="1"/>
        <v>989.8</v>
      </c>
      <c r="N51" s="95">
        <v>10.983629</v>
      </c>
      <c r="O51" s="95">
        <v>922.556946</v>
      </c>
      <c r="P51" s="94">
        <v>5.112829</v>
      </c>
      <c r="Q51" s="97">
        <f t="shared" si="2"/>
        <v>-0.06793600121</v>
      </c>
      <c r="R51" s="98">
        <f t="shared" si="3"/>
        <v>-5.550247139</v>
      </c>
      <c r="S51" s="94">
        <v>40000.0</v>
      </c>
      <c r="T51" s="99">
        <f t="shared" si="4"/>
        <v>14928.43461</v>
      </c>
      <c r="U51" s="99">
        <f t="shared" si="13"/>
        <v>57.76143791</v>
      </c>
      <c r="V51" s="95">
        <f t="shared" si="6"/>
        <v>1.0728877</v>
      </c>
      <c r="W51" s="94">
        <f t="shared" si="7"/>
        <v>1</v>
      </c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</row>
    <row r="52">
      <c r="A52" s="94"/>
      <c r="B52" s="94">
        <v>47.0</v>
      </c>
      <c r="C52" s="94">
        <v>2.5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>
        <v>0.0033492</v>
      </c>
      <c r="L52" s="96">
        <v>5.41372740765957E-5</v>
      </c>
      <c r="M52" s="95">
        <f t="shared" si="1"/>
        <v>3349.2</v>
      </c>
      <c r="N52" s="95">
        <v>37.066016</v>
      </c>
      <c r="O52" s="95">
        <v>2957.768311</v>
      </c>
      <c r="P52" s="94">
        <v>16.633501</v>
      </c>
      <c r="Q52" s="97">
        <f t="shared" si="2"/>
        <v>-0.1168731903</v>
      </c>
      <c r="R52" s="98">
        <f t="shared" si="3"/>
        <v>-9.634738737</v>
      </c>
      <c r="S52" s="94">
        <v>40000.0</v>
      </c>
      <c r="T52" s="99">
        <f t="shared" si="4"/>
        <v>50513.55142</v>
      </c>
      <c r="U52" s="99">
        <f t="shared" si="13"/>
        <v>195.4481793</v>
      </c>
      <c r="V52" s="95">
        <f t="shared" si="6"/>
        <v>1.132340213</v>
      </c>
      <c r="W52" s="94">
        <f t="shared" si="7"/>
        <v>1</v>
      </c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</row>
    <row r="53">
      <c r="A53" s="94"/>
      <c r="B53" s="94">
        <v>48.0</v>
      </c>
      <c r="C53" s="94">
        <v>2.5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>
        <v>0.0089734</v>
      </c>
      <c r="L53" s="96">
        <v>3.60872153416014E-4</v>
      </c>
      <c r="M53" s="95">
        <f t="shared" si="1"/>
        <v>8973.4</v>
      </c>
      <c r="N53" s="95">
        <v>97.86473</v>
      </c>
      <c r="O53" s="95">
        <v>7419.602539</v>
      </c>
      <c r="P53" s="94">
        <v>43.194765</v>
      </c>
      <c r="Q53" s="97">
        <f t="shared" si="2"/>
        <v>-0.1731559343</v>
      </c>
      <c r="R53" s="98">
        <f t="shared" si="3"/>
        <v>-14.52509216</v>
      </c>
      <c r="S53" s="94">
        <v>40000.0</v>
      </c>
      <c r="T53" s="99">
        <f t="shared" si="4"/>
        <v>135339.2757</v>
      </c>
      <c r="U53" s="99">
        <f t="shared" si="13"/>
        <v>523.6577965</v>
      </c>
      <c r="V53" s="95">
        <f t="shared" si="6"/>
        <v>1.209417884</v>
      </c>
      <c r="W53" s="94">
        <f t="shared" si="7"/>
        <v>0</v>
      </c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</row>
    <row r="54">
      <c r="A54" s="94"/>
      <c r="B54" s="94">
        <v>49.0</v>
      </c>
      <c r="C54" s="94">
        <v>2.5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>
        <v>0.0205759999999999</v>
      </c>
      <c r="L54" s="96">
        <v>4.17856966490261E-4</v>
      </c>
      <c r="M54" s="95">
        <f t="shared" si="1"/>
        <v>20576</v>
      </c>
      <c r="N54" s="95">
        <v>225.086797</v>
      </c>
      <c r="O54" s="95">
        <v>15796.092773</v>
      </c>
      <c r="P54" s="94">
        <v>94.409478</v>
      </c>
      <c r="Q54" s="97">
        <f t="shared" si="2"/>
        <v>-0.232304978</v>
      </c>
      <c r="R54" s="98">
        <f t="shared" si="3"/>
        <v>-19.58300641</v>
      </c>
      <c r="S54" s="94">
        <v>40000.0</v>
      </c>
      <c r="T54" s="99">
        <f t="shared" si="4"/>
        <v>310332.8658</v>
      </c>
      <c r="U54" s="99">
        <f t="shared" si="13"/>
        <v>1200.746965</v>
      </c>
      <c r="V54" s="95">
        <f t="shared" si="6"/>
        <v>1.302600605</v>
      </c>
      <c r="W54" s="94">
        <f t="shared" si="7"/>
        <v>0</v>
      </c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</row>
    <row r="55">
      <c r="A55" s="101"/>
      <c r="B55" s="101">
        <v>50.0</v>
      </c>
      <c r="C55" s="101">
        <v>2.5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>
        <v>3.26129999999999E-6</v>
      </c>
      <c r="L55" s="103">
        <v>6.77479806997144E-8</v>
      </c>
      <c r="M55" s="102">
        <f t="shared" si="1"/>
        <v>3.2613</v>
      </c>
      <c r="N55" s="102">
        <v>0.003524</v>
      </c>
      <c r="O55" s="102">
        <v>3.577482</v>
      </c>
      <c r="P55" s="101">
        <v>0.325455</v>
      </c>
      <c r="Q55" s="104">
        <f t="shared" si="2"/>
        <v>0.09694968264</v>
      </c>
      <c r="R55" s="106">
        <f t="shared" si="3"/>
        <v>0.9714506351</v>
      </c>
      <c r="S55" s="101">
        <v>11657.0</v>
      </c>
      <c r="T55" s="108">
        <f t="shared" si="4"/>
        <v>49.18781956</v>
      </c>
      <c r="U55" s="108">
        <f t="shared" ref="U55:U61" si="14">K55/$K$56</f>
        <v>0.07521795286</v>
      </c>
      <c r="V55" s="102">
        <f t="shared" si="6"/>
        <v>0.9116188425</v>
      </c>
      <c r="W55" s="101">
        <f t="shared" si="7"/>
        <v>1</v>
      </c>
      <c r="X55" s="110"/>
      <c r="Y55" s="110"/>
      <c r="Z55" s="110"/>
      <c r="AA55" s="110"/>
      <c r="AB55" s="110"/>
      <c r="AC55" s="110"/>
      <c r="AD55" s="110"/>
      <c r="AE55" s="110"/>
      <c r="AF55" s="110"/>
      <c r="AG55" s="110"/>
      <c r="AH55" s="110"/>
    </row>
    <row r="56">
      <c r="A56" s="101"/>
      <c r="B56" s="101">
        <v>51.0</v>
      </c>
      <c r="C56" s="101">
        <v>2.5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>
        <v>4.3358E-5</v>
      </c>
      <c r="L56" s="103">
        <v>9.99808870623669E-7</v>
      </c>
      <c r="M56" s="102">
        <f t="shared" si="1"/>
        <v>43.358</v>
      </c>
      <c r="N56" s="102">
        <v>0.049447</v>
      </c>
      <c r="O56" s="102">
        <v>41.377693</v>
      </c>
      <c r="P56" s="101">
        <v>0.501171</v>
      </c>
      <c r="Q56" s="104">
        <f t="shared" si="2"/>
        <v>-0.04567339361</v>
      </c>
      <c r="R56" s="106">
        <f t="shared" si="3"/>
        <v>-3.932267187</v>
      </c>
      <c r="S56" s="101">
        <v>40000.0</v>
      </c>
      <c r="T56" s="108">
        <f t="shared" si="4"/>
        <v>653.9372276</v>
      </c>
      <c r="U56" s="108">
        <f t="shared" si="14"/>
        <v>1</v>
      </c>
      <c r="V56" s="102">
        <f t="shared" si="6"/>
        <v>1.04785929</v>
      </c>
      <c r="W56" s="101">
        <f t="shared" si="7"/>
        <v>1</v>
      </c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</row>
    <row r="57">
      <c r="A57" s="101"/>
      <c r="B57" s="101">
        <v>52.0</v>
      </c>
      <c r="C57" s="101">
        <v>2.5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>
        <v>5.10509999999999E-4</v>
      </c>
      <c r="L57" s="103">
        <v>1.78694307563379E-5</v>
      </c>
      <c r="M57" s="102">
        <f t="shared" si="1"/>
        <v>510.51</v>
      </c>
      <c r="N57" s="102">
        <v>5.703525</v>
      </c>
      <c r="O57" s="102">
        <v>471.675232</v>
      </c>
      <c r="P57" s="101">
        <v>3.089645</v>
      </c>
      <c r="Q57" s="104">
        <f t="shared" si="2"/>
        <v>-0.07607053339</v>
      </c>
      <c r="R57" s="106">
        <f t="shared" si="3"/>
        <v>-5.986913134</v>
      </c>
      <c r="S57" s="101">
        <v>40000.0</v>
      </c>
      <c r="T57" s="108">
        <f t="shared" si="4"/>
        <v>7699.651599</v>
      </c>
      <c r="U57" s="108">
        <f t="shared" si="14"/>
        <v>11.77429771</v>
      </c>
      <c r="V57" s="102">
        <f t="shared" si="6"/>
        <v>1.082333702</v>
      </c>
      <c r="W57" s="101">
        <f t="shared" si="7"/>
        <v>1</v>
      </c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</row>
    <row r="58">
      <c r="A58" s="101"/>
      <c r="B58" s="101">
        <v>53.0</v>
      </c>
      <c r="C58" s="101">
        <v>2.5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>
        <v>0.0025491</v>
      </c>
      <c r="L58" s="103">
        <v>7.0258965422373E-5</v>
      </c>
      <c r="M58" s="102">
        <f t="shared" si="1"/>
        <v>2549.1</v>
      </c>
      <c r="N58" s="102">
        <v>28.17122</v>
      </c>
      <c r="O58" s="102">
        <v>2252.293701</v>
      </c>
      <c r="P58" s="101">
        <v>12.482493</v>
      </c>
      <c r="Q58" s="104">
        <f t="shared" si="2"/>
        <v>-0.116435722</v>
      </c>
      <c r="R58" s="106">
        <f t="shared" si="3"/>
        <v>-9.632556767</v>
      </c>
      <c r="S58" s="101">
        <v>40000.0</v>
      </c>
      <c r="T58" s="108">
        <f t="shared" si="4"/>
        <v>38446.22415</v>
      </c>
      <c r="U58" s="108">
        <f t="shared" si="14"/>
        <v>58.79191845</v>
      </c>
      <c r="V58" s="102">
        <f t="shared" si="6"/>
        <v>1.131779572</v>
      </c>
      <c r="W58" s="101">
        <f t="shared" si="7"/>
        <v>1</v>
      </c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</row>
    <row r="59">
      <c r="A59" s="101"/>
      <c r="B59" s="101">
        <v>54.0</v>
      </c>
      <c r="C59" s="101">
        <v>2.5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>
        <v>0.0089088</v>
      </c>
      <c r="L59" s="103">
        <v>1.94312348781257E-4</v>
      </c>
      <c r="M59" s="102">
        <f t="shared" si="1"/>
        <v>8908.8</v>
      </c>
      <c r="N59" s="102">
        <v>98.708711</v>
      </c>
      <c r="O59" s="102">
        <v>7221.574707</v>
      </c>
      <c r="P59" s="101">
        <v>40.609132</v>
      </c>
      <c r="Q59" s="104">
        <f t="shared" si="2"/>
        <v>-0.189388615</v>
      </c>
      <c r="R59" s="106">
        <f t="shared" si="3"/>
        <v>-15.80750561</v>
      </c>
      <c r="S59" s="101">
        <v>40000.0</v>
      </c>
      <c r="T59" s="108">
        <f t="shared" si="4"/>
        <v>134364.9609</v>
      </c>
      <c r="U59" s="108">
        <f t="shared" si="14"/>
        <v>205.470732</v>
      </c>
      <c r="V59" s="102">
        <f t="shared" si="6"/>
        <v>1.233636757</v>
      </c>
      <c r="W59" s="101">
        <f t="shared" si="7"/>
        <v>0</v>
      </c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</row>
    <row r="60">
      <c r="A60" s="101"/>
      <c r="B60" s="101">
        <v>55.0</v>
      </c>
      <c r="C60" s="101">
        <v>2.5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>
        <v>0.023763</v>
      </c>
      <c r="L60" s="103">
        <v>6.21343526382771E-4</v>
      </c>
      <c r="M60" s="102">
        <f t="shared" si="1"/>
        <v>23763</v>
      </c>
      <c r="N60" s="102">
        <v>258.145247</v>
      </c>
      <c r="O60" s="102">
        <v>18114.835938</v>
      </c>
      <c r="P60" s="101">
        <v>105.455968</v>
      </c>
      <c r="Q60" s="104">
        <f t="shared" si="2"/>
        <v>-0.2376873317</v>
      </c>
      <c r="R60" s="106">
        <f t="shared" si="3"/>
        <v>-20.25486596</v>
      </c>
      <c r="S60" s="101">
        <v>40000.0</v>
      </c>
      <c r="T60" s="108">
        <f t="shared" si="4"/>
        <v>358400.0724</v>
      </c>
      <c r="U60" s="108">
        <f t="shared" si="14"/>
        <v>548.0649476</v>
      </c>
      <c r="V60" s="102">
        <f t="shared" si="6"/>
        <v>1.311797693</v>
      </c>
      <c r="W60" s="101">
        <f t="shared" si="7"/>
        <v>0</v>
      </c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</row>
    <row r="61">
      <c r="A61" s="101"/>
      <c r="B61" s="101">
        <v>56.0</v>
      </c>
      <c r="C61" s="101">
        <v>2.5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>
        <v>0.053416</v>
      </c>
      <c r="L61" s="103">
        <v>0.00123775064801706</v>
      </c>
      <c r="M61" s="102">
        <f t="shared" si="1"/>
        <v>53416</v>
      </c>
      <c r="N61" s="102">
        <v>581.538821</v>
      </c>
      <c r="O61" s="102">
        <v>38565.074219</v>
      </c>
      <c r="P61" s="101">
        <v>230.491889</v>
      </c>
      <c r="Q61" s="104">
        <f t="shared" si="2"/>
        <v>-0.2780239213</v>
      </c>
      <c r="R61" s="106">
        <f t="shared" si="3"/>
        <v>-23.7405559</v>
      </c>
      <c r="S61" s="101">
        <v>40000.0</v>
      </c>
      <c r="T61" s="108">
        <f t="shared" si="4"/>
        <v>805634.7375</v>
      </c>
      <c r="U61" s="108">
        <f t="shared" si="14"/>
        <v>1231.975645</v>
      </c>
      <c r="V61" s="102">
        <f t="shared" si="6"/>
        <v>1.385087442</v>
      </c>
      <c r="W61" s="101">
        <f t="shared" si="7"/>
        <v>0</v>
      </c>
      <c r="X61" s="110"/>
      <c r="Y61" s="110"/>
      <c r="Z61" s="110"/>
      <c r="AA61" s="110"/>
      <c r="AB61" s="110"/>
      <c r="AC61" s="110"/>
      <c r="AD61" s="110"/>
      <c r="AE61" s="110"/>
      <c r="AF61" s="110"/>
      <c r="AG61" s="110"/>
      <c r="AH61" s="110"/>
    </row>
    <row r="62">
      <c r="A62" s="4"/>
      <c r="B62" s="4">
        <v>57.0</v>
      </c>
      <c r="C62" s="44">
        <v>2.5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>
        <v>2.1306E-7</v>
      </c>
      <c r="L62" s="117">
        <v>5.6694502966925E-9</v>
      </c>
      <c r="M62" s="116">
        <f t="shared" si="1"/>
        <v>0.21306</v>
      </c>
      <c r="N62" s="116">
        <v>0.002429</v>
      </c>
      <c r="O62" s="116">
        <v>291.886993</v>
      </c>
      <c r="P62" s="4">
        <v>1.617731</v>
      </c>
      <c r="Q62" s="118">
        <f t="shared" si="2"/>
        <v>1368.975561</v>
      </c>
      <c r="R62" s="119">
        <f t="shared" si="3"/>
        <v>180.2979631</v>
      </c>
      <c r="S62" s="4">
        <v>40000.0</v>
      </c>
      <c r="T62" s="120">
        <f t="shared" si="4"/>
        <v>3.213429257</v>
      </c>
      <c r="V62" s="1">
        <f t="shared" si="6"/>
        <v>0.0007299400285</v>
      </c>
      <c r="W62" s="121">
        <f t="shared" si="7"/>
        <v>0</v>
      </c>
    </row>
    <row r="63">
      <c r="A63" s="4" t="s">
        <v>45</v>
      </c>
      <c r="B63" s="4">
        <v>58.0</v>
      </c>
      <c r="C63" s="44">
        <v>2.5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>
        <v>2.1306E-7</v>
      </c>
      <c r="L63" s="117">
        <v>5.6694502966925E-9</v>
      </c>
      <c r="M63" s="116">
        <f t="shared" si="1"/>
        <v>0.21306</v>
      </c>
      <c r="N63" s="116">
        <v>0.002429</v>
      </c>
      <c r="O63" s="116">
        <v>291.886993</v>
      </c>
      <c r="P63" s="4">
        <v>1.617731</v>
      </c>
      <c r="Q63" s="118">
        <f t="shared" si="2"/>
        <v>1368.975561</v>
      </c>
      <c r="R63" s="119">
        <f t="shared" si="3"/>
        <v>180.2979631</v>
      </c>
      <c r="S63" s="4">
        <v>40000.0</v>
      </c>
      <c r="T63" s="120">
        <f t="shared" si="4"/>
        <v>3.213429257</v>
      </c>
      <c r="V63" s="1">
        <f t="shared" si="6"/>
        <v>0.0007299400285</v>
      </c>
      <c r="W63" s="121">
        <f t="shared" si="7"/>
        <v>0</v>
      </c>
    </row>
    <row r="64">
      <c r="A64" s="4"/>
      <c r="B64" s="4">
        <v>59.0</v>
      </c>
      <c r="C64" s="44">
        <v>2.5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>
        <v>2.28709999999999E-6</v>
      </c>
      <c r="L64" s="117">
        <v>5.89188707744245E-8</v>
      </c>
      <c r="M64" s="116">
        <f t="shared" si="1"/>
        <v>2.2871</v>
      </c>
      <c r="N64" s="116">
        <v>0.024823</v>
      </c>
      <c r="O64" s="116">
        <v>189.267319</v>
      </c>
      <c r="P64" s="4">
        <v>1.218126</v>
      </c>
      <c r="Q64" s="118">
        <f t="shared" si="2"/>
        <v>81.75428228</v>
      </c>
      <c r="R64" s="119">
        <f t="shared" si="3"/>
        <v>153.4663968</v>
      </c>
      <c r="S64" s="4">
        <v>29282.0</v>
      </c>
      <c r="T64" s="120">
        <f t="shared" si="4"/>
        <v>34.49466842</v>
      </c>
      <c r="V64" s="1">
        <f t="shared" si="6"/>
        <v>0.0120839668</v>
      </c>
      <c r="W64" s="121">
        <f t="shared" si="7"/>
        <v>0</v>
      </c>
    </row>
    <row r="65">
      <c r="A65" s="4"/>
      <c r="B65" s="4">
        <v>60.0</v>
      </c>
      <c r="C65" s="44">
        <v>2.5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>
        <v>6.5923E-8</v>
      </c>
      <c r="L65" s="117">
        <v>1.59567505742519E-9</v>
      </c>
      <c r="M65" s="116">
        <f t="shared" si="1"/>
        <v>0.065923</v>
      </c>
      <c r="N65" s="116">
        <v>7.52E-4</v>
      </c>
      <c r="O65" s="116">
        <v>291.449799</v>
      </c>
      <c r="P65" s="4">
        <v>1.626001</v>
      </c>
      <c r="Q65" s="118">
        <f t="shared" si="2"/>
        <v>4420.063953</v>
      </c>
      <c r="R65" s="119">
        <f t="shared" si="3"/>
        <v>179.2027464</v>
      </c>
      <c r="S65" s="4">
        <v>40000.0</v>
      </c>
      <c r="T65" s="120">
        <f t="shared" si="4"/>
        <v>0.994268736</v>
      </c>
      <c r="V65" s="1">
        <f t="shared" si="6"/>
        <v>0.0002261898969</v>
      </c>
      <c r="W65" s="121">
        <f t="shared" si="7"/>
        <v>0</v>
      </c>
    </row>
    <row r="66">
      <c r="A66" s="4"/>
      <c r="B66" s="4">
        <v>61.0</v>
      </c>
      <c r="C66" s="44">
        <v>2.5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>
        <v>6.5044E-8</v>
      </c>
      <c r="L66" s="117">
        <v>1.41960244826187E-9</v>
      </c>
      <c r="M66" s="116">
        <f t="shared" si="1"/>
        <v>0.065044</v>
      </c>
      <c r="N66" s="116">
        <v>7.38E-4</v>
      </c>
      <c r="O66" s="116">
        <v>291.437927</v>
      </c>
      <c r="P66" s="4">
        <v>1.625931</v>
      </c>
      <c r="Q66" s="118">
        <f t="shared" si="2"/>
        <v>4479.627375</v>
      </c>
      <c r="R66" s="119">
        <f t="shared" si="3"/>
        <v>179.2037011</v>
      </c>
      <c r="S66" s="4">
        <v>40000.0</v>
      </c>
      <c r="T66" s="120">
        <f t="shared" si="4"/>
        <v>0.9810114173</v>
      </c>
      <c r="V66" s="1">
        <f t="shared" si="6"/>
        <v>0.0002231830314</v>
      </c>
      <c r="W66" s="121">
        <f t="shared" si="7"/>
        <v>0</v>
      </c>
    </row>
    <row r="67">
      <c r="K67" s="1"/>
      <c r="L67" s="2"/>
      <c r="M67" s="1"/>
      <c r="N67" s="1"/>
      <c r="O67" s="1"/>
      <c r="W67" s="122">
        <f>(SUM(W6:W61)-1)/55</f>
        <v>0.8909090909</v>
      </c>
    </row>
    <row r="68">
      <c r="K68" s="1"/>
      <c r="L68" s="2"/>
      <c r="M68" s="1"/>
      <c r="N68" s="1"/>
      <c r="O68" s="1"/>
    </row>
    <row r="69">
      <c r="K69" s="1"/>
      <c r="L69" s="2"/>
      <c r="M69" s="1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5.38"/>
    <col customWidth="1" min="3" max="3" width="6.38"/>
    <col customWidth="1" min="4" max="7" width="8.88"/>
    <col customWidth="1" min="8" max="8" width="6.38"/>
    <col customWidth="1" min="9" max="10" width="8.88"/>
    <col customWidth="1" min="12" max="13" width="12.13"/>
    <col customWidth="1" min="14" max="14" width="11.75"/>
    <col customWidth="1" min="15" max="15" width="12.63"/>
    <col customWidth="1" min="17" max="18" width="15.75"/>
    <col customWidth="1" min="21" max="21" width="16.38"/>
  </cols>
  <sheetData>
    <row r="1">
      <c r="K1" s="1"/>
      <c r="L1" s="2"/>
      <c r="M1" s="1"/>
      <c r="N1" s="1"/>
      <c r="O1" s="1"/>
    </row>
    <row r="2">
      <c r="K2" s="1"/>
      <c r="L2" s="2"/>
      <c r="M2" s="1"/>
      <c r="N2" s="1"/>
      <c r="O2" s="1"/>
    </row>
    <row r="3">
      <c r="K3" s="1"/>
      <c r="L3" s="1"/>
      <c r="M3" s="1"/>
      <c r="N3" s="1"/>
      <c r="O3" s="1"/>
    </row>
    <row r="4" ht="43.5" customHeight="1">
      <c r="K4" s="1"/>
      <c r="L4" s="1"/>
      <c r="N4" s="1"/>
      <c r="O4" s="1"/>
    </row>
    <row r="5" ht="56.25" customHeight="1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5" t="s">
        <v>11</v>
      </c>
      <c r="L5" s="6" t="s">
        <v>12</v>
      </c>
      <c r="M5" s="5" t="s">
        <v>13</v>
      </c>
      <c r="N5" s="4" t="s">
        <v>14</v>
      </c>
      <c r="O5" s="5" t="s">
        <v>15</v>
      </c>
      <c r="P5" s="4" t="s">
        <v>14</v>
      </c>
      <c r="Q5" s="3" t="s">
        <v>16</v>
      </c>
      <c r="R5" s="3" t="s">
        <v>16</v>
      </c>
      <c r="S5" s="7" t="s">
        <v>17</v>
      </c>
      <c r="T5" s="7" t="s">
        <v>18</v>
      </c>
      <c r="U5" s="7" t="s">
        <v>19</v>
      </c>
    </row>
    <row r="6">
      <c r="A6" s="8"/>
      <c r="B6" s="8">
        <v>1.0</v>
      </c>
      <c r="C6" s="8">
        <v>1.5</v>
      </c>
      <c r="D6" s="8">
        <v>1.0</v>
      </c>
      <c r="E6" s="8">
        <v>0.0</v>
      </c>
      <c r="F6" s="8">
        <v>0.0</v>
      </c>
      <c r="G6" s="8">
        <v>0.0</v>
      </c>
      <c r="H6" s="8">
        <v>0.5</v>
      </c>
      <c r="I6" s="8">
        <v>0.0</v>
      </c>
      <c r="J6" s="8">
        <v>0.0</v>
      </c>
      <c r="K6" s="10"/>
      <c r="L6" s="11"/>
      <c r="M6" s="10">
        <f t="shared" ref="M6:M66" si="1">K6*1000000</f>
        <v>0</v>
      </c>
      <c r="N6" s="10"/>
      <c r="O6" s="10"/>
      <c r="P6" s="8"/>
      <c r="Q6" s="12" t="str">
        <f t="shared" ref="Q6:Q66" si="2">(O6-M6)/M6</f>
        <v>#DIV/0!</v>
      </c>
      <c r="R6" s="13" t="str">
        <f t="shared" ref="R6:R66" si="3">(O6-M6)/sqrt(N6*N6+P6*P6)</f>
        <v>#DIV/0!</v>
      </c>
      <c r="S6" s="8"/>
      <c r="T6" s="14">
        <f t="shared" ref="T6:T66" si="4">K6/$K$14</f>
        <v>0</v>
      </c>
      <c r="U6" s="14" t="str">
        <f t="shared" ref="U6:U12" si="5">K6/$K$7</f>
        <v>#DIV/0!</v>
      </c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>
      <c r="A7" s="8"/>
      <c r="B7" s="8">
        <v>2.0</v>
      </c>
      <c r="C7" s="8">
        <v>1.5</v>
      </c>
      <c r="D7" s="8">
        <v>1.0</v>
      </c>
      <c r="E7" s="8">
        <v>0.0</v>
      </c>
      <c r="F7" s="8">
        <v>0.2</v>
      </c>
      <c r="G7" s="8">
        <v>0.0</v>
      </c>
      <c r="H7" s="8">
        <v>0.5</v>
      </c>
      <c r="I7" s="8">
        <v>0.0</v>
      </c>
      <c r="J7" s="8">
        <v>0.0</v>
      </c>
      <c r="K7" s="10"/>
      <c r="L7" s="11"/>
      <c r="M7" s="10">
        <f t="shared" si="1"/>
        <v>0</v>
      </c>
      <c r="N7" s="10"/>
      <c r="O7" s="10"/>
      <c r="P7" s="8"/>
      <c r="Q7" s="12" t="str">
        <f t="shared" si="2"/>
        <v>#DIV/0!</v>
      </c>
      <c r="R7" s="13" t="str">
        <f t="shared" si="3"/>
        <v>#DIV/0!</v>
      </c>
      <c r="S7" s="8"/>
      <c r="T7" s="14">
        <f t="shared" si="4"/>
        <v>0</v>
      </c>
      <c r="U7" s="14" t="str">
        <f t="shared" si="5"/>
        <v>#DIV/0!</v>
      </c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>
      <c r="A8" s="8"/>
      <c r="B8" s="8">
        <v>3.0</v>
      </c>
      <c r="C8" s="8">
        <v>1.5</v>
      </c>
      <c r="D8" s="8">
        <v>1.0</v>
      </c>
      <c r="E8" s="8">
        <v>0.0</v>
      </c>
      <c r="F8" s="8">
        <v>0.6</v>
      </c>
      <c r="G8" s="8">
        <v>0.0</v>
      </c>
      <c r="H8" s="8">
        <v>0.5</v>
      </c>
      <c r="I8" s="8">
        <v>0.0</v>
      </c>
      <c r="J8" s="8">
        <v>0.0</v>
      </c>
      <c r="K8" s="10"/>
      <c r="L8" s="11"/>
      <c r="M8" s="10">
        <f t="shared" si="1"/>
        <v>0</v>
      </c>
      <c r="N8" s="10"/>
      <c r="O8" s="10"/>
      <c r="P8" s="8"/>
      <c r="Q8" s="12" t="str">
        <f t="shared" si="2"/>
        <v>#DIV/0!</v>
      </c>
      <c r="R8" s="13" t="str">
        <f t="shared" si="3"/>
        <v>#DIV/0!</v>
      </c>
      <c r="S8" s="8"/>
      <c r="T8" s="14">
        <f t="shared" si="4"/>
        <v>0</v>
      </c>
      <c r="U8" s="14" t="str">
        <f t="shared" si="5"/>
        <v>#DIV/0!</v>
      </c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>
      <c r="A9" s="8"/>
      <c r="B9" s="8">
        <v>4.0</v>
      </c>
      <c r="C9" s="8">
        <v>1.5</v>
      </c>
      <c r="D9" s="8">
        <v>1.0</v>
      </c>
      <c r="E9" s="8">
        <v>0.0</v>
      </c>
      <c r="F9" s="8">
        <v>1.0</v>
      </c>
      <c r="G9" s="8">
        <v>0.0</v>
      </c>
      <c r="H9" s="8">
        <v>0.5</v>
      </c>
      <c r="I9" s="8">
        <v>0.0</v>
      </c>
      <c r="J9" s="8">
        <v>0.0</v>
      </c>
      <c r="K9" s="10"/>
      <c r="L9" s="11"/>
      <c r="M9" s="10">
        <f t="shared" si="1"/>
        <v>0</v>
      </c>
      <c r="N9" s="10"/>
      <c r="O9" s="10"/>
      <c r="P9" s="8"/>
      <c r="Q9" s="12" t="str">
        <f t="shared" si="2"/>
        <v>#DIV/0!</v>
      </c>
      <c r="R9" s="13" t="str">
        <f t="shared" si="3"/>
        <v>#DIV/0!</v>
      </c>
      <c r="S9" s="8"/>
      <c r="T9" s="14">
        <f t="shared" si="4"/>
        <v>0</v>
      </c>
      <c r="U9" s="14" t="str">
        <f t="shared" si="5"/>
        <v>#DIV/0!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>
      <c r="A10" s="8"/>
      <c r="B10" s="8">
        <v>5.0</v>
      </c>
      <c r="C10" s="8">
        <v>1.5</v>
      </c>
      <c r="D10" s="8">
        <v>1.0</v>
      </c>
      <c r="E10" s="8">
        <v>0.0</v>
      </c>
      <c r="F10" s="8">
        <v>1.4</v>
      </c>
      <c r="G10" s="8">
        <v>0.0</v>
      </c>
      <c r="H10" s="8">
        <v>0.5</v>
      </c>
      <c r="I10" s="8">
        <v>0.0</v>
      </c>
      <c r="J10" s="8">
        <v>0.0</v>
      </c>
      <c r="K10" s="10"/>
      <c r="L10" s="11"/>
      <c r="M10" s="10">
        <f t="shared" si="1"/>
        <v>0</v>
      </c>
      <c r="N10" s="10"/>
      <c r="O10" s="10"/>
      <c r="P10" s="8"/>
      <c r="Q10" s="12" t="str">
        <f t="shared" si="2"/>
        <v>#DIV/0!</v>
      </c>
      <c r="R10" s="13" t="str">
        <f t="shared" si="3"/>
        <v>#DIV/0!</v>
      </c>
      <c r="S10" s="8"/>
      <c r="T10" s="14">
        <f t="shared" si="4"/>
        <v>0</v>
      </c>
      <c r="U10" s="14" t="str">
        <f t="shared" si="5"/>
        <v>#DIV/0!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>
      <c r="A11" s="8"/>
      <c r="B11" s="8">
        <v>6.0</v>
      </c>
      <c r="C11" s="8">
        <v>1.5</v>
      </c>
      <c r="D11" s="8">
        <v>1.0</v>
      </c>
      <c r="E11" s="8">
        <v>0.0</v>
      </c>
      <c r="F11" s="8">
        <v>1.8</v>
      </c>
      <c r="G11" s="8">
        <v>0.0</v>
      </c>
      <c r="H11" s="8">
        <v>0.5</v>
      </c>
      <c r="I11" s="8">
        <v>0.0</v>
      </c>
      <c r="J11" s="8">
        <v>0.0</v>
      </c>
      <c r="K11" s="10"/>
      <c r="L11" s="11"/>
      <c r="M11" s="10">
        <f t="shared" si="1"/>
        <v>0</v>
      </c>
      <c r="N11" s="10"/>
      <c r="O11" s="10"/>
      <c r="P11" s="8"/>
      <c r="Q11" s="12" t="str">
        <f t="shared" si="2"/>
        <v>#DIV/0!</v>
      </c>
      <c r="R11" s="13" t="str">
        <f t="shared" si="3"/>
        <v>#DIV/0!</v>
      </c>
      <c r="S11" s="8"/>
      <c r="T11" s="14">
        <f t="shared" si="4"/>
        <v>0</v>
      </c>
      <c r="U11" s="14" t="str">
        <f t="shared" si="5"/>
        <v>#DIV/0!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>
      <c r="A12" s="8"/>
      <c r="B12" s="8">
        <v>7.0</v>
      </c>
      <c r="C12" s="8">
        <v>1.5</v>
      </c>
      <c r="D12" s="8">
        <v>1.0</v>
      </c>
      <c r="E12" s="8">
        <v>0.0</v>
      </c>
      <c r="F12" s="8">
        <v>2.2</v>
      </c>
      <c r="G12" s="8">
        <v>0.0</v>
      </c>
      <c r="H12" s="8">
        <v>0.5</v>
      </c>
      <c r="I12" s="8">
        <v>0.0</v>
      </c>
      <c r="J12" s="8">
        <v>0.0</v>
      </c>
      <c r="K12" s="10"/>
      <c r="L12" s="11"/>
      <c r="M12" s="10">
        <f t="shared" si="1"/>
        <v>0</v>
      </c>
      <c r="N12" s="10"/>
      <c r="O12" s="10"/>
      <c r="P12" s="202"/>
      <c r="Q12" s="12" t="str">
        <f t="shared" si="2"/>
        <v>#DIV/0!</v>
      </c>
      <c r="R12" s="13" t="str">
        <f t="shared" si="3"/>
        <v>#DIV/0!</v>
      </c>
      <c r="S12" s="8"/>
      <c r="T12" s="14">
        <f t="shared" si="4"/>
        <v>0</v>
      </c>
      <c r="U12" s="14" t="str">
        <f t="shared" si="5"/>
        <v>#DIV/0!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>
      <c r="A13" s="22"/>
      <c r="B13" s="22">
        <v>8.0</v>
      </c>
      <c r="C13" s="22">
        <v>1.5</v>
      </c>
      <c r="D13" s="22">
        <v>1.0</v>
      </c>
      <c r="E13" s="22">
        <v>0.0</v>
      </c>
      <c r="F13" s="22">
        <v>0.0</v>
      </c>
      <c r="G13" s="22">
        <v>0.0</v>
      </c>
      <c r="H13" s="22">
        <v>1.0</v>
      </c>
      <c r="I13" s="22">
        <v>0.0</v>
      </c>
      <c r="J13" s="22">
        <v>0.0</v>
      </c>
      <c r="K13" s="23"/>
      <c r="L13" s="24"/>
      <c r="M13" s="23">
        <f t="shared" si="1"/>
        <v>0</v>
      </c>
      <c r="N13" s="23"/>
      <c r="O13" s="23"/>
      <c r="P13" s="22"/>
      <c r="Q13" s="26" t="str">
        <f t="shared" si="2"/>
        <v>#DIV/0!</v>
      </c>
      <c r="R13" s="27" t="str">
        <f t="shared" si="3"/>
        <v>#DIV/0!</v>
      </c>
      <c r="S13" s="22"/>
      <c r="T13" s="28">
        <f t="shared" si="4"/>
        <v>0</v>
      </c>
      <c r="U13" s="28">
        <f t="shared" ref="U13:U19" si="6">K13/$K$14</f>
        <v>0</v>
      </c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</row>
    <row r="14">
      <c r="A14" s="29" t="s">
        <v>21</v>
      </c>
      <c r="B14" s="29">
        <v>9.0</v>
      </c>
      <c r="C14" s="29">
        <v>1.5</v>
      </c>
      <c r="D14" s="29">
        <v>1.0</v>
      </c>
      <c r="E14" s="29">
        <v>0.0</v>
      </c>
      <c r="F14" s="29">
        <v>0.2</v>
      </c>
      <c r="G14" s="29">
        <v>0.0</v>
      </c>
      <c r="H14" s="29">
        <v>1.0</v>
      </c>
      <c r="I14" s="29">
        <v>0.0</v>
      </c>
      <c r="J14" s="29">
        <v>0.0</v>
      </c>
      <c r="K14" s="30">
        <v>3.14194999999999E-7</v>
      </c>
      <c r="L14" s="31">
        <v>1.0273564532582E-8</v>
      </c>
      <c r="M14" s="30">
        <f t="shared" si="1"/>
        <v>0.314195</v>
      </c>
      <c r="N14" s="30">
        <v>0.001571</v>
      </c>
      <c r="O14" s="30">
        <v>0.314172</v>
      </c>
      <c r="P14" s="29">
        <v>0.001571</v>
      </c>
      <c r="Q14" s="32">
        <f t="shared" si="2"/>
        <v>-0.00007320294721</v>
      </c>
      <c r="R14" s="34">
        <f t="shared" si="3"/>
        <v>-0.01035229533</v>
      </c>
      <c r="S14" s="29"/>
      <c r="T14" s="35">
        <f t="shared" si="4"/>
        <v>1</v>
      </c>
      <c r="U14" s="35">
        <f t="shared" si="6"/>
        <v>1</v>
      </c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</row>
    <row r="15">
      <c r="A15" s="22"/>
      <c r="B15" s="22">
        <v>10.0</v>
      </c>
      <c r="C15" s="22">
        <v>1.5</v>
      </c>
      <c r="D15" s="22">
        <v>1.0</v>
      </c>
      <c r="E15" s="22">
        <v>0.0</v>
      </c>
      <c r="F15" s="22">
        <v>0.6</v>
      </c>
      <c r="G15" s="22">
        <v>0.0</v>
      </c>
      <c r="H15" s="22">
        <v>1.0</v>
      </c>
      <c r="I15" s="22">
        <v>0.0</v>
      </c>
      <c r="J15" s="22">
        <v>0.0</v>
      </c>
      <c r="K15" s="23">
        <v>3.6122E-6</v>
      </c>
      <c r="L15" s="24">
        <v>1.08147841196926E-7</v>
      </c>
      <c r="M15" s="23">
        <f t="shared" si="1"/>
        <v>3.6122</v>
      </c>
      <c r="N15" s="23">
        <v>0.03612</v>
      </c>
      <c r="O15" s="23">
        <v>3.778732</v>
      </c>
      <c r="P15" s="22">
        <v>0.031868</v>
      </c>
      <c r="Q15" s="26">
        <f t="shared" si="2"/>
        <v>0.04610265212</v>
      </c>
      <c r="R15" s="27">
        <f t="shared" si="3"/>
        <v>3.457265695</v>
      </c>
      <c r="S15" s="22"/>
      <c r="T15" s="28">
        <f t="shared" si="4"/>
        <v>11.496682</v>
      </c>
      <c r="U15" s="28">
        <f t="shared" si="6"/>
        <v>11.496682</v>
      </c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</row>
    <row r="16">
      <c r="A16" s="22"/>
      <c r="B16" s="22">
        <v>11.0</v>
      </c>
      <c r="C16" s="22">
        <v>1.5</v>
      </c>
      <c r="D16" s="22">
        <v>1.0</v>
      </c>
      <c r="E16" s="22">
        <v>0.0</v>
      </c>
      <c r="F16" s="22">
        <v>1.0</v>
      </c>
      <c r="G16" s="22">
        <v>0.0</v>
      </c>
      <c r="H16" s="22">
        <v>1.0</v>
      </c>
      <c r="I16" s="22">
        <v>0.0</v>
      </c>
      <c r="J16" s="22">
        <v>0.0</v>
      </c>
      <c r="K16" s="23">
        <v>1.6637E-5</v>
      </c>
      <c r="L16" s="24">
        <v>5.50858925275388E-7</v>
      </c>
      <c r="M16" s="23">
        <f t="shared" si="1"/>
        <v>16.637</v>
      </c>
      <c r="N16" s="23">
        <v>0.1664</v>
      </c>
      <c r="O16" s="23">
        <v>18.338207</v>
      </c>
      <c r="P16" s="22">
        <v>0.222885</v>
      </c>
      <c r="Q16" s="26">
        <f t="shared" si="2"/>
        <v>0.1022544329</v>
      </c>
      <c r="R16" s="27">
        <f t="shared" si="3"/>
        <v>6.116178781</v>
      </c>
      <c r="S16" s="22"/>
      <c r="T16" s="28">
        <f t="shared" si="4"/>
        <v>52.95119273</v>
      </c>
      <c r="U16" s="28">
        <f t="shared" si="6"/>
        <v>52.95119273</v>
      </c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</row>
    <row r="17">
      <c r="A17" s="22"/>
      <c r="B17" s="22">
        <v>12.0</v>
      </c>
      <c r="C17" s="22">
        <v>1.5</v>
      </c>
      <c r="D17" s="22">
        <v>1.0</v>
      </c>
      <c r="E17" s="22">
        <v>0.0</v>
      </c>
      <c r="F17" s="22">
        <v>1.4</v>
      </c>
      <c r="G17" s="22">
        <v>0.0</v>
      </c>
      <c r="H17" s="22">
        <v>1.0</v>
      </c>
      <c r="I17" s="22">
        <v>0.0</v>
      </c>
      <c r="J17" s="22">
        <v>0.0</v>
      </c>
      <c r="K17" s="23">
        <v>5.3602E-5</v>
      </c>
      <c r="L17" s="24">
        <v>7.23552962048313E-7</v>
      </c>
      <c r="M17" s="23">
        <f t="shared" si="1"/>
        <v>53.602</v>
      </c>
      <c r="N17" s="23">
        <v>0.536001</v>
      </c>
      <c r="O17" s="23">
        <v>59.225761</v>
      </c>
      <c r="P17" s="22">
        <v>0.833952</v>
      </c>
      <c r="Q17" s="26">
        <f t="shared" si="2"/>
        <v>0.1049169994</v>
      </c>
      <c r="R17" s="27">
        <f t="shared" si="3"/>
        <v>5.672836218</v>
      </c>
      <c r="S17" s="22"/>
      <c r="T17" s="28">
        <f t="shared" si="4"/>
        <v>170.6010599</v>
      </c>
      <c r="U17" s="28">
        <f t="shared" si="6"/>
        <v>170.6010599</v>
      </c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</row>
    <row r="18">
      <c r="A18" s="22"/>
      <c r="B18" s="22">
        <v>13.0</v>
      </c>
      <c r="C18" s="22">
        <v>1.5</v>
      </c>
      <c r="D18" s="22">
        <v>1.0</v>
      </c>
      <c r="E18" s="22">
        <v>0.0</v>
      </c>
      <c r="F18" s="22">
        <v>1.8</v>
      </c>
      <c r="G18" s="22">
        <v>0.0</v>
      </c>
      <c r="H18" s="22">
        <v>1.0</v>
      </c>
      <c r="I18" s="22">
        <v>0.0</v>
      </c>
      <c r="J18" s="22">
        <v>0.0</v>
      </c>
      <c r="K18" s="23">
        <v>1.32279999999999E-4</v>
      </c>
      <c r="L18" s="24">
        <v>4.24572988097714E-6</v>
      </c>
      <c r="M18" s="23">
        <f t="shared" si="1"/>
        <v>132.28</v>
      </c>
      <c r="N18" s="23">
        <v>1.323017</v>
      </c>
      <c r="O18" s="23">
        <v>149.10881</v>
      </c>
      <c r="P18" s="22">
        <v>2.250082</v>
      </c>
      <c r="Q18" s="26">
        <f t="shared" si="2"/>
        <v>0.1272211219</v>
      </c>
      <c r="R18" s="27">
        <f t="shared" si="3"/>
        <v>6.447279058</v>
      </c>
      <c r="S18" s="22"/>
      <c r="T18" s="28">
        <f t="shared" si="4"/>
        <v>421.0124286</v>
      </c>
      <c r="U18" s="28">
        <f t="shared" si="6"/>
        <v>421.0124286</v>
      </c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</row>
    <row r="19">
      <c r="A19" s="22"/>
      <c r="B19" s="22">
        <v>14.0</v>
      </c>
      <c r="C19" s="22">
        <v>1.5</v>
      </c>
      <c r="D19" s="22">
        <v>1.0</v>
      </c>
      <c r="E19" s="22">
        <v>0.0</v>
      </c>
      <c r="F19" s="22">
        <v>2.2</v>
      </c>
      <c r="G19" s="22">
        <v>0.0</v>
      </c>
      <c r="H19" s="22">
        <v>1.0</v>
      </c>
      <c r="I19" s="22">
        <v>0.0</v>
      </c>
      <c r="J19" s="22">
        <v>0.0</v>
      </c>
      <c r="K19" s="23">
        <v>2.7911E-4</v>
      </c>
      <c r="L19" s="24">
        <v>7.00784481055972E-6</v>
      </c>
      <c r="M19" s="23">
        <f t="shared" si="1"/>
        <v>279.11</v>
      </c>
      <c r="N19" s="23">
        <v>2.791009</v>
      </c>
      <c r="O19" s="23">
        <v>318.005371</v>
      </c>
      <c r="P19" s="22">
        <v>4.982713</v>
      </c>
      <c r="Q19" s="26">
        <f t="shared" si="2"/>
        <v>0.1393549891</v>
      </c>
      <c r="R19" s="27">
        <f t="shared" si="3"/>
        <v>6.810434898</v>
      </c>
      <c r="S19" s="22"/>
      <c r="T19" s="28">
        <f t="shared" si="4"/>
        <v>888.3336781</v>
      </c>
      <c r="U19" s="28">
        <f t="shared" si="6"/>
        <v>888.3336781</v>
      </c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</row>
    <row r="20">
      <c r="A20" s="37"/>
      <c r="B20" s="37">
        <v>15.0</v>
      </c>
      <c r="C20" s="37">
        <v>1.5</v>
      </c>
      <c r="D20" s="37">
        <v>1.0</v>
      </c>
      <c r="E20" s="37">
        <v>0.0</v>
      </c>
      <c r="F20" s="37">
        <v>0.0</v>
      </c>
      <c r="G20" s="37">
        <v>0.0</v>
      </c>
      <c r="H20" s="37">
        <v>1.5</v>
      </c>
      <c r="I20" s="37">
        <v>0.0</v>
      </c>
      <c r="J20" s="37">
        <v>0.0</v>
      </c>
      <c r="K20" s="38"/>
      <c r="L20" s="39"/>
      <c r="M20" s="38">
        <f t="shared" si="1"/>
        <v>0</v>
      </c>
      <c r="N20" s="38"/>
      <c r="O20" s="38"/>
      <c r="P20" s="37"/>
      <c r="Q20" s="40" t="str">
        <f t="shared" si="2"/>
        <v>#DIV/0!</v>
      </c>
      <c r="R20" s="41" t="str">
        <f t="shared" si="3"/>
        <v>#DIV/0!</v>
      </c>
      <c r="S20" s="37"/>
      <c r="T20" s="42">
        <f t="shared" si="4"/>
        <v>0</v>
      </c>
      <c r="U20" s="42" t="str">
        <f t="shared" ref="U20:U26" si="7">K20/$K$21</f>
        <v>#DIV/0!</v>
      </c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</row>
    <row r="21">
      <c r="A21" s="37"/>
      <c r="B21" s="37">
        <v>16.0</v>
      </c>
      <c r="C21" s="37">
        <v>1.5</v>
      </c>
      <c r="D21" s="37">
        <v>1.0</v>
      </c>
      <c r="E21" s="37">
        <v>0.0</v>
      </c>
      <c r="F21" s="37">
        <v>0.2</v>
      </c>
      <c r="G21" s="37">
        <v>0.0</v>
      </c>
      <c r="H21" s="37">
        <v>1.5</v>
      </c>
      <c r="I21" s="37">
        <v>0.0</v>
      </c>
      <c r="J21" s="37">
        <v>0.0</v>
      </c>
      <c r="K21" s="38"/>
      <c r="L21" s="39"/>
      <c r="M21" s="38">
        <f t="shared" si="1"/>
        <v>0</v>
      </c>
      <c r="N21" s="38"/>
      <c r="O21" s="38"/>
      <c r="P21" s="37"/>
      <c r="Q21" s="40" t="str">
        <f t="shared" si="2"/>
        <v>#DIV/0!</v>
      </c>
      <c r="R21" s="41" t="str">
        <f t="shared" si="3"/>
        <v>#DIV/0!</v>
      </c>
      <c r="S21" s="37"/>
      <c r="T21" s="42">
        <f t="shared" si="4"/>
        <v>0</v>
      </c>
      <c r="U21" s="42" t="str">
        <f t="shared" si="7"/>
        <v>#DIV/0!</v>
      </c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</row>
    <row r="22">
      <c r="A22" s="37"/>
      <c r="B22" s="37">
        <v>17.0</v>
      </c>
      <c r="C22" s="37">
        <v>1.5</v>
      </c>
      <c r="D22" s="37">
        <v>1.0</v>
      </c>
      <c r="E22" s="37">
        <v>0.0</v>
      </c>
      <c r="F22" s="37">
        <v>0.6</v>
      </c>
      <c r="G22" s="37">
        <v>0.0</v>
      </c>
      <c r="H22" s="37">
        <v>1.5</v>
      </c>
      <c r="I22" s="37">
        <v>0.0</v>
      </c>
      <c r="J22" s="37">
        <v>0.0</v>
      </c>
      <c r="K22" s="38"/>
      <c r="L22" s="39"/>
      <c r="M22" s="38">
        <f t="shared" si="1"/>
        <v>0</v>
      </c>
      <c r="N22" s="38"/>
      <c r="O22" s="38"/>
      <c r="P22" s="37"/>
      <c r="Q22" s="40" t="str">
        <f t="shared" si="2"/>
        <v>#DIV/0!</v>
      </c>
      <c r="R22" s="41" t="str">
        <f t="shared" si="3"/>
        <v>#DIV/0!</v>
      </c>
      <c r="S22" s="37"/>
      <c r="T22" s="42">
        <f t="shared" si="4"/>
        <v>0</v>
      </c>
      <c r="U22" s="42" t="str">
        <f t="shared" si="7"/>
        <v>#DIV/0!</v>
      </c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</row>
    <row r="23">
      <c r="A23" s="37"/>
      <c r="B23" s="37">
        <v>18.0</v>
      </c>
      <c r="C23" s="37">
        <v>1.5</v>
      </c>
      <c r="D23" s="37">
        <v>1.0</v>
      </c>
      <c r="E23" s="37">
        <v>0.0</v>
      </c>
      <c r="F23" s="37">
        <v>1.0</v>
      </c>
      <c r="G23" s="37">
        <v>0.0</v>
      </c>
      <c r="H23" s="37">
        <v>1.5</v>
      </c>
      <c r="I23" s="37">
        <v>0.0</v>
      </c>
      <c r="J23" s="37">
        <v>0.0</v>
      </c>
      <c r="K23" s="38"/>
      <c r="L23" s="39"/>
      <c r="M23" s="38">
        <f t="shared" si="1"/>
        <v>0</v>
      </c>
      <c r="N23" s="38"/>
      <c r="O23" s="38"/>
      <c r="P23" s="37"/>
      <c r="Q23" s="40" t="str">
        <f t="shared" si="2"/>
        <v>#DIV/0!</v>
      </c>
      <c r="R23" s="41" t="str">
        <f t="shared" si="3"/>
        <v>#DIV/0!</v>
      </c>
      <c r="S23" s="37"/>
      <c r="T23" s="42">
        <f t="shared" si="4"/>
        <v>0</v>
      </c>
      <c r="U23" s="42" t="str">
        <f t="shared" si="7"/>
        <v>#DIV/0!</v>
      </c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</row>
    <row r="24">
      <c r="A24" s="37"/>
      <c r="B24" s="37">
        <v>19.0</v>
      </c>
      <c r="C24" s="37">
        <v>1.5</v>
      </c>
      <c r="D24" s="37">
        <v>1.0</v>
      </c>
      <c r="E24" s="37">
        <v>0.0</v>
      </c>
      <c r="F24" s="37">
        <v>1.4</v>
      </c>
      <c r="G24" s="37">
        <v>0.0</v>
      </c>
      <c r="H24" s="37">
        <v>1.5</v>
      </c>
      <c r="I24" s="37">
        <v>0.0</v>
      </c>
      <c r="J24" s="37">
        <v>0.0</v>
      </c>
      <c r="K24" s="38">
        <v>2.5756E-4</v>
      </c>
      <c r="L24" s="39">
        <v>6.85163403057175E-6</v>
      </c>
      <c r="M24" s="38">
        <f t="shared" si="1"/>
        <v>257.56</v>
      </c>
      <c r="N24" s="38">
        <v>2.576013</v>
      </c>
      <c r="O24" s="38">
        <v>299.796722</v>
      </c>
      <c r="P24" s="37">
        <v>4.221881</v>
      </c>
      <c r="Q24" s="40">
        <f t="shared" si="2"/>
        <v>0.1639878941</v>
      </c>
      <c r="R24" s="41">
        <f t="shared" si="3"/>
        <v>8.540059458</v>
      </c>
      <c r="S24" s="37"/>
      <c r="T24" s="42">
        <f t="shared" si="4"/>
        <v>819.7456993</v>
      </c>
      <c r="U24" s="42" t="str">
        <f t="shared" si="7"/>
        <v>#DIV/0!</v>
      </c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</row>
    <row r="25">
      <c r="A25" s="37"/>
      <c r="B25" s="37">
        <v>20.0</v>
      </c>
      <c r="C25" s="37">
        <v>1.5</v>
      </c>
      <c r="D25" s="37">
        <v>1.0</v>
      </c>
      <c r="E25" s="37">
        <v>0.0</v>
      </c>
      <c r="F25" s="37">
        <v>1.8</v>
      </c>
      <c r="G25" s="37">
        <v>0.0</v>
      </c>
      <c r="H25" s="37">
        <v>1.5</v>
      </c>
      <c r="I25" s="37">
        <v>0.0</v>
      </c>
      <c r="J25" s="37">
        <v>0.0</v>
      </c>
      <c r="K25" s="38"/>
      <c r="L25" s="39"/>
      <c r="M25" s="38">
        <f t="shared" si="1"/>
        <v>0</v>
      </c>
      <c r="N25" s="38"/>
      <c r="O25" s="38"/>
      <c r="P25" s="37"/>
      <c r="Q25" s="40" t="str">
        <f t="shared" si="2"/>
        <v>#DIV/0!</v>
      </c>
      <c r="R25" s="41" t="str">
        <f t="shared" si="3"/>
        <v>#DIV/0!</v>
      </c>
      <c r="S25" s="37"/>
      <c r="T25" s="42">
        <f t="shared" si="4"/>
        <v>0</v>
      </c>
      <c r="U25" s="42" t="str">
        <f t="shared" si="7"/>
        <v>#DIV/0!</v>
      </c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</row>
    <row r="26">
      <c r="A26" s="37"/>
      <c r="B26" s="37">
        <v>21.0</v>
      </c>
      <c r="C26" s="37">
        <v>1.5</v>
      </c>
      <c r="D26" s="37">
        <v>1.0</v>
      </c>
      <c r="E26" s="37">
        <v>0.0</v>
      </c>
      <c r="F26" s="37">
        <v>2.2</v>
      </c>
      <c r="G26" s="37">
        <v>0.0</v>
      </c>
      <c r="H26" s="37">
        <v>1.5</v>
      </c>
      <c r="I26" s="37">
        <v>0.0</v>
      </c>
      <c r="J26" s="37">
        <v>0.0</v>
      </c>
      <c r="K26" s="38"/>
      <c r="L26" s="39"/>
      <c r="M26" s="38">
        <f t="shared" si="1"/>
        <v>0</v>
      </c>
      <c r="N26" s="38"/>
      <c r="O26" s="38"/>
      <c r="P26" s="37"/>
      <c r="Q26" s="40" t="str">
        <f t="shared" si="2"/>
        <v>#DIV/0!</v>
      </c>
      <c r="R26" s="41" t="str">
        <f t="shared" si="3"/>
        <v>#DIV/0!</v>
      </c>
      <c r="S26" s="37"/>
      <c r="T26" s="42">
        <f t="shared" si="4"/>
        <v>0</v>
      </c>
      <c r="U26" s="42" t="str">
        <f t="shared" si="7"/>
        <v>#DIV/0!</v>
      </c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</row>
    <row r="27">
      <c r="A27" s="44"/>
      <c r="B27" s="44">
        <v>22.0</v>
      </c>
      <c r="C27" s="44">
        <v>1.5</v>
      </c>
      <c r="D27" s="44">
        <v>1.0</v>
      </c>
      <c r="E27" s="44">
        <v>0.0</v>
      </c>
      <c r="F27" s="44">
        <v>0.0</v>
      </c>
      <c r="G27" s="44">
        <v>0.0</v>
      </c>
      <c r="H27" s="44">
        <v>2.0</v>
      </c>
      <c r="I27" s="44">
        <v>0.0</v>
      </c>
      <c r="J27" s="44">
        <v>0.0</v>
      </c>
      <c r="K27" s="45"/>
      <c r="L27" s="46"/>
      <c r="M27" s="45">
        <f t="shared" si="1"/>
        <v>0</v>
      </c>
      <c r="N27" s="45"/>
      <c r="O27" s="45"/>
      <c r="P27" s="44"/>
      <c r="Q27" s="47" t="str">
        <f t="shared" si="2"/>
        <v>#DIV/0!</v>
      </c>
      <c r="R27" s="48" t="str">
        <f t="shared" si="3"/>
        <v>#DIV/0!</v>
      </c>
      <c r="S27" s="44"/>
      <c r="T27" s="49">
        <f t="shared" si="4"/>
        <v>0</v>
      </c>
      <c r="U27" s="49" t="str">
        <f t="shared" ref="U27:U33" si="8">K27/$K$28</f>
        <v>#DIV/0!</v>
      </c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</row>
    <row r="28">
      <c r="A28" s="44"/>
      <c r="B28" s="44">
        <v>23.0</v>
      </c>
      <c r="C28" s="44">
        <v>1.5</v>
      </c>
      <c r="D28" s="44">
        <v>1.0</v>
      </c>
      <c r="E28" s="44">
        <v>0.0</v>
      </c>
      <c r="F28" s="44">
        <v>0.2</v>
      </c>
      <c r="G28" s="44">
        <v>0.0</v>
      </c>
      <c r="H28" s="44">
        <v>2.0</v>
      </c>
      <c r="I28" s="44">
        <v>0.0</v>
      </c>
      <c r="J28" s="44">
        <v>0.0</v>
      </c>
      <c r="K28" s="45"/>
      <c r="L28" s="46"/>
      <c r="M28" s="45">
        <f t="shared" si="1"/>
        <v>0</v>
      </c>
      <c r="N28" s="45"/>
      <c r="O28" s="45"/>
      <c r="P28" s="44"/>
      <c r="Q28" s="47" t="str">
        <f t="shared" si="2"/>
        <v>#DIV/0!</v>
      </c>
      <c r="R28" s="48" t="str">
        <f t="shared" si="3"/>
        <v>#DIV/0!</v>
      </c>
      <c r="S28" s="44"/>
      <c r="T28" s="49">
        <f t="shared" si="4"/>
        <v>0</v>
      </c>
      <c r="U28" s="49" t="str">
        <f t="shared" si="8"/>
        <v>#DIV/0!</v>
      </c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</row>
    <row r="29">
      <c r="A29" s="44"/>
      <c r="B29" s="44">
        <v>24.0</v>
      </c>
      <c r="C29" s="44">
        <v>1.5</v>
      </c>
      <c r="D29" s="44">
        <v>1.0</v>
      </c>
      <c r="E29" s="44">
        <v>0.0</v>
      </c>
      <c r="F29" s="44">
        <v>0.6</v>
      </c>
      <c r="G29" s="44">
        <v>0.0</v>
      </c>
      <c r="H29" s="44">
        <v>2.0</v>
      </c>
      <c r="I29" s="44">
        <v>0.0</v>
      </c>
      <c r="J29" s="44">
        <v>0.0</v>
      </c>
      <c r="K29" s="45"/>
      <c r="L29" s="46"/>
      <c r="M29" s="45">
        <f t="shared" si="1"/>
        <v>0</v>
      </c>
      <c r="N29" s="45"/>
      <c r="O29" s="45"/>
      <c r="P29" s="44"/>
      <c r="Q29" s="47" t="str">
        <f t="shared" si="2"/>
        <v>#DIV/0!</v>
      </c>
      <c r="R29" s="48" t="str">
        <f t="shared" si="3"/>
        <v>#DIV/0!</v>
      </c>
      <c r="S29" s="44"/>
      <c r="T29" s="49">
        <f t="shared" si="4"/>
        <v>0</v>
      </c>
      <c r="U29" s="49" t="str">
        <f t="shared" si="8"/>
        <v>#DIV/0!</v>
      </c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</row>
    <row r="30">
      <c r="A30" s="44"/>
      <c r="B30" s="44">
        <v>25.0</v>
      </c>
      <c r="C30" s="44">
        <v>1.5</v>
      </c>
      <c r="D30" s="44">
        <v>1.0</v>
      </c>
      <c r="E30" s="44">
        <v>0.0</v>
      </c>
      <c r="F30" s="44">
        <v>1.0</v>
      </c>
      <c r="G30" s="44">
        <v>0.0</v>
      </c>
      <c r="H30" s="44">
        <v>2.0</v>
      </c>
      <c r="I30" s="44">
        <v>0.0</v>
      </c>
      <c r="J30" s="44">
        <v>0.0</v>
      </c>
      <c r="K30" s="45"/>
      <c r="L30" s="46"/>
      <c r="M30" s="45">
        <f t="shared" si="1"/>
        <v>0</v>
      </c>
      <c r="N30" s="45"/>
      <c r="O30" s="45"/>
      <c r="P30" s="44"/>
      <c r="Q30" s="47" t="str">
        <f t="shared" si="2"/>
        <v>#DIV/0!</v>
      </c>
      <c r="R30" s="48" t="str">
        <f t="shared" si="3"/>
        <v>#DIV/0!</v>
      </c>
      <c r="S30" s="44"/>
      <c r="T30" s="49">
        <f t="shared" si="4"/>
        <v>0</v>
      </c>
      <c r="U30" s="49" t="str">
        <f t="shared" si="8"/>
        <v>#DIV/0!</v>
      </c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</row>
    <row r="31">
      <c r="A31" s="44"/>
      <c r="B31" s="44">
        <v>26.0</v>
      </c>
      <c r="C31" s="44">
        <v>1.5</v>
      </c>
      <c r="D31" s="44">
        <v>1.0</v>
      </c>
      <c r="E31" s="44">
        <v>0.0</v>
      </c>
      <c r="F31" s="44">
        <v>1.4</v>
      </c>
      <c r="G31" s="44">
        <v>0.0</v>
      </c>
      <c r="H31" s="44">
        <v>2.0</v>
      </c>
      <c r="I31" s="44">
        <v>0.0</v>
      </c>
      <c r="J31" s="44">
        <v>0.0</v>
      </c>
      <c r="K31" s="45"/>
      <c r="L31" s="46"/>
      <c r="M31" s="45">
        <f t="shared" si="1"/>
        <v>0</v>
      </c>
      <c r="N31" s="45"/>
      <c r="O31" s="45"/>
      <c r="P31" s="44"/>
      <c r="Q31" s="47" t="str">
        <f t="shared" si="2"/>
        <v>#DIV/0!</v>
      </c>
      <c r="R31" s="48" t="str">
        <f t="shared" si="3"/>
        <v>#DIV/0!</v>
      </c>
      <c r="S31" s="44"/>
      <c r="T31" s="49">
        <f t="shared" si="4"/>
        <v>0</v>
      </c>
      <c r="U31" s="49" t="str">
        <f t="shared" si="8"/>
        <v>#DIV/0!</v>
      </c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</row>
    <row r="32">
      <c r="A32" s="44"/>
      <c r="B32" s="44">
        <v>27.0</v>
      </c>
      <c r="C32" s="44">
        <v>1.5</v>
      </c>
      <c r="D32" s="44">
        <v>1.0</v>
      </c>
      <c r="E32" s="44">
        <v>0.0</v>
      </c>
      <c r="F32" s="44">
        <v>1.8</v>
      </c>
      <c r="G32" s="44">
        <v>0.0</v>
      </c>
      <c r="H32" s="44">
        <v>2.0</v>
      </c>
      <c r="I32" s="44">
        <v>0.0</v>
      </c>
      <c r="J32" s="44">
        <v>0.0</v>
      </c>
      <c r="K32" s="45"/>
      <c r="L32" s="46"/>
      <c r="M32" s="45">
        <f t="shared" si="1"/>
        <v>0</v>
      </c>
      <c r="N32" s="45"/>
      <c r="O32" s="45"/>
      <c r="P32" s="44"/>
      <c r="Q32" s="47" t="str">
        <f t="shared" si="2"/>
        <v>#DIV/0!</v>
      </c>
      <c r="R32" s="48" t="str">
        <f t="shared" si="3"/>
        <v>#DIV/0!</v>
      </c>
      <c r="S32" s="44"/>
      <c r="T32" s="49">
        <f t="shared" si="4"/>
        <v>0</v>
      </c>
      <c r="U32" s="49" t="str">
        <f t="shared" si="8"/>
        <v>#DIV/0!</v>
      </c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</row>
    <row r="33">
      <c r="A33" s="44"/>
      <c r="B33" s="44">
        <v>28.0</v>
      </c>
      <c r="C33" s="44">
        <v>1.5</v>
      </c>
      <c r="D33" s="44">
        <v>1.0</v>
      </c>
      <c r="E33" s="44">
        <v>0.0</v>
      </c>
      <c r="F33" s="44">
        <v>2.2</v>
      </c>
      <c r="G33" s="44">
        <v>0.0</v>
      </c>
      <c r="H33" s="44">
        <v>2.0</v>
      </c>
      <c r="I33" s="44">
        <v>0.0</v>
      </c>
      <c r="J33" s="44">
        <v>0.0</v>
      </c>
      <c r="K33" s="45"/>
      <c r="L33" s="46"/>
      <c r="M33" s="45">
        <f t="shared" si="1"/>
        <v>0</v>
      </c>
      <c r="N33" s="45"/>
      <c r="O33" s="45"/>
      <c r="P33" s="44"/>
      <c r="Q33" s="47" t="str">
        <f t="shared" si="2"/>
        <v>#DIV/0!</v>
      </c>
      <c r="R33" s="48" t="str">
        <f t="shared" si="3"/>
        <v>#DIV/0!</v>
      </c>
      <c r="S33" s="44"/>
      <c r="T33" s="49">
        <f t="shared" si="4"/>
        <v>0</v>
      </c>
      <c r="U33" s="49" t="str">
        <f t="shared" si="8"/>
        <v>#DIV/0!</v>
      </c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</row>
    <row r="34">
      <c r="A34" s="51"/>
      <c r="B34" s="51">
        <v>29.0</v>
      </c>
      <c r="C34" s="51">
        <v>1.5</v>
      </c>
      <c r="D34" s="51">
        <v>1.0</v>
      </c>
      <c r="E34" s="51">
        <v>0.0</v>
      </c>
      <c r="F34" s="51">
        <v>0.0</v>
      </c>
      <c r="G34" s="51">
        <v>0.0</v>
      </c>
      <c r="H34" s="51">
        <v>2.5</v>
      </c>
      <c r="I34" s="51">
        <v>0.0</v>
      </c>
      <c r="J34" s="51">
        <v>0.0</v>
      </c>
      <c r="K34" s="52"/>
      <c r="L34" s="53"/>
      <c r="M34" s="52">
        <f t="shared" si="1"/>
        <v>0</v>
      </c>
      <c r="N34" s="52"/>
      <c r="O34" s="52"/>
      <c r="P34" s="51"/>
      <c r="Q34" s="54" t="str">
        <f t="shared" si="2"/>
        <v>#DIV/0!</v>
      </c>
      <c r="R34" s="55" t="str">
        <f t="shared" si="3"/>
        <v>#DIV/0!</v>
      </c>
      <c r="S34" s="51"/>
      <c r="T34" s="56">
        <f t="shared" si="4"/>
        <v>0</v>
      </c>
      <c r="U34" s="56" t="str">
        <f t="shared" ref="U34:U40" si="9">K34/$K$35</f>
        <v>#DIV/0!</v>
      </c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</row>
    <row r="35">
      <c r="A35" s="51"/>
      <c r="B35" s="51">
        <v>30.0</v>
      </c>
      <c r="C35" s="51">
        <v>1.5</v>
      </c>
      <c r="D35" s="51">
        <v>1.0</v>
      </c>
      <c r="E35" s="51">
        <v>0.0</v>
      </c>
      <c r="F35" s="51">
        <v>0.2</v>
      </c>
      <c r="G35" s="51">
        <v>0.0</v>
      </c>
      <c r="H35" s="51">
        <v>2.5</v>
      </c>
      <c r="I35" s="51">
        <v>0.0</v>
      </c>
      <c r="J35" s="51">
        <v>0.0</v>
      </c>
      <c r="K35" s="52"/>
      <c r="L35" s="53"/>
      <c r="M35" s="52">
        <f t="shared" si="1"/>
        <v>0</v>
      </c>
      <c r="N35" s="52"/>
      <c r="O35" s="52"/>
      <c r="P35" s="51"/>
      <c r="Q35" s="54" t="str">
        <f t="shared" si="2"/>
        <v>#DIV/0!</v>
      </c>
      <c r="R35" s="55" t="str">
        <f t="shared" si="3"/>
        <v>#DIV/0!</v>
      </c>
      <c r="S35" s="51"/>
      <c r="T35" s="56">
        <f t="shared" si="4"/>
        <v>0</v>
      </c>
      <c r="U35" s="56" t="str">
        <f t="shared" si="9"/>
        <v>#DIV/0!</v>
      </c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</row>
    <row r="36">
      <c r="A36" s="51"/>
      <c r="B36" s="51">
        <v>31.0</v>
      </c>
      <c r="C36" s="51">
        <v>1.5</v>
      </c>
      <c r="D36" s="51">
        <v>1.0</v>
      </c>
      <c r="E36" s="51">
        <v>0.0</v>
      </c>
      <c r="F36" s="51">
        <v>0.6</v>
      </c>
      <c r="G36" s="51">
        <v>0.0</v>
      </c>
      <c r="H36" s="51">
        <v>2.5</v>
      </c>
      <c r="I36" s="51">
        <v>0.0</v>
      </c>
      <c r="J36" s="51">
        <v>0.0</v>
      </c>
      <c r="K36" s="52"/>
      <c r="L36" s="53"/>
      <c r="M36" s="52">
        <f t="shared" si="1"/>
        <v>0</v>
      </c>
      <c r="N36" s="52"/>
      <c r="O36" s="52"/>
      <c r="P36" s="51"/>
      <c r="Q36" s="54" t="str">
        <f t="shared" si="2"/>
        <v>#DIV/0!</v>
      </c>
      <c r="R36" s="55" t="str">
        <f t="shared" si="3"/>
        <v>#DIV/0!</v>
      </c>
      <c r="S36" s="51"/>
      <c r="T36" s="56">
        <f t="shared" si="4"/>
        <v>0</v>
      </c>
      <c r="U36" s="56" t="str">
        <f t="shared" si="9"/>
        <v>#DIV/0!</v>
      </c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</row>
    <row r="37">
      <c r="A37" s="51"/>
      <c r="B37" s="51">
        <v>32.0</v>
      </c>
      <c r="C37" s="51">
        <v>1.5</v>
      </c>
      <c r="D37" s="51">
        <v>1.0</v>
      </c>
      <c r="E37" s="51">
        <v>0.0</v>
      </c>
      <c r="F37" s="51">
        <v>1.0</v>
      </c>
      <c r="G37" s="51">
        <v>0.0</v>
      </c>
      <c r="H37" s="51">
        <v>2.5</v>
      </c>
      <c r="I37" s="51">
        <v>0.0</v>
      </c>
      <c r="J37" s="51">
        <v>0.0</v>
      </c>
      <c r="K37" s="52"/>
      <c r="L37" s="53"/>
      <c r="M37" s="52">
        <f t="shared" si="1"/>
        <v>0</v>
      </c>
      <c r="N37" s="52"/>
      <c r="O37" s="52"/>
      <c r="P37" s="51"/>
      <c r="Q37" s="54" t="str">
        <f t="shared" si="2"/>
        <v>#DIV/0!</v>
      </c>
      <c r="R37" s="55" t="str">
        <f t="shared" si="3"/>
        <v>#DIV/0!</v>
      </c>
      <c r="S37" s="51"/>
      <c r="T37" s="56">
        <f t="shared" si="4"/>
        <v>0</v>
      </c>
      <c r="U37" s="56" t="str">
        <f t="shared" si="9"/>
        <v>#DIV/0!</v>
      </c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</row>
    <row r="38">
      <c r="A38" s="51"/>
      <c r="B38" s="51">
        <v>33.0</v>
      </c>
      <c r="C38" s="51">
        <v>1.5</v>
      </c>
      <c r="D38" s="51">
        <v>1.0</v>
      </c>
      <c r="E38" s="51">
        <v>0.0</v>
      </c>
      <c r="F38" s="51">
        <v>1.4</v>
      </c>
      <c r="G38" s="51">
        <v>0.0</v>
      </c>
      <c r="H38" s="51">
        <v>2.5</v>
      </c>
      <c r="I38" s="51">
        <v>0.0</v>
      </c>
      <c r="J38" s="51">
        <v>0.0</v>
      </c>
      <c r="K38" s="52"/>
      <c r="L38" s="53"/>
      <c r="M38" s="52">
        <f t="shared" si="1"/>
        <v>0</v>
      </c>
      <c r="N38" s="52"/>
      <c r="O38" s="52"/>
      <c r="P38" s="51"/>
      <c r="Q38" s="54" t="str">
        <f t="shared" si="2"/>
        <v>#DIV/0!</v>
      </c>
      <c r="R38" s="55" t="str">
        <f t="shared" si="3"/>
        <v>#DIV/0!</v>
      </c>
      <c r="S38" s="51"/>
      <c r="T38" s="56">
        <f t="shared" si="4"/>
        <v>0</v>
      </c>
      <c r="U38" s="56" t="str">
        <f t="shared" si="9"/>
        <v>#DIV/0!</v>
      </c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</row>
    <row r="39">
      <c r="A39" s="51"/>
      <c r="B39" s="51">
        <v>34.0</v>
      </c>
      <c r="C39" s="51">
        <v>1.5</v>
      </c>
      <c r="D39" s="51">
        <v>1.0</v>
      </c>
      <c r="E39" s="51">
        <v>0.0</v>
      </c>
      <c r="F39" s="51">
        <v>1.8</v>
      </c>
      <c r="G39" s="51">
        <v>0.0</v>
      </c>
      <c r="H39" s="51">
        <v>2.5</v>
      </c>
      <c r="I39" s="51">
        <v>0.0</v>
      </c>
      <c r="J39" s="51">
        <v>0.0</v>
      </c>
      <c r="K39" s="52"/>
      <c r="L39" s="53"/>
      <c r="M39" s="52">
        <f t="shared" si="1"/>
        <v>0</v>
      </c>
      <c r="N39" s="52"/>
      <c r="O39" s="52"/>
      <c r="P39" s="51"/>
      <c r="Q39" s="54" t="str">
        <f t="shared" si="2"/>
        <v>#DIV/0!</v>
      </c>
      <c r="R39" s="55" t="str">
        <f t="shared" si="3"/>
        <v>#DIV/0!</v>
      </c>
      <c r="S39" s="51"/>
      <c r="T39" s="56">
        <f t="shared" si="4"/>
        <v>0</v>
      </c>
      <c r="U39" s="56" t="str">
        <f t="shared" si="9"/>
        <v>#DIV/0!</v>
      </c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</row>
    <row r="40">
      <c r="A40" s="51"/>
      <c r="B40" s="51">
        <v>35.0</v>
      </c>
      <c r="C40" s="51">
        <v>1.5</v>
      </c>
      <c r="D40" s="51">
        <v>1.0</v>
      </c>
      <c r="E40" s="51">
        <v>0.0</v>
      </c>
      <c r="F40" s="51">
        <v>2.2</v>
      </c>
      <c r="G40" s="51">
        <v>0.0</v>
      </c>
      <c r="H40" s="51">
        <v>2.5</v>
      </c>
      <c r="I40" s="51">
        <v>0.0</v>
      </c>
      <c r="J40" s="51">
        <v>0.0</v>
      </c>
      <c r="K40" s="52"/>
      <c r="L40" s="53"/>
      <c r="M40" s="52">
        <f t="shared" si="1"/>
        <v>0</v>
      </c>
      <c r="N40" s="52"/>
      <c r="O40" s="52"/>
      <c r="P40" s="51"/>
      <c r="Q40" s="54" t="str">
        <f t="shared" si="2"/>
        <v>#DIV/0!</v>
      </c>
      <c r="R40" s="55" t="str">
        <f t="shared" si="3"/>
        <v>#DIV/0!</v>
      </c>
      <c r="S40" s="51"/>
      <c r="T40" s="56">
        <f t="shared" si="4"/>
        <v>0</v>
      </c>
      <c r="U40" s="56" t="str">
        <f t="shared" si="9"/>
        <v>#DIV/0!</v>
      </c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</row>
    <row r="41">
      <c r="A41" s="58"/>
      <c r="B41" s="58">
        <v>36.0</v>
      </c>
      <c r="C41" s="58">
        <v>1.5</v>
      </c>
      <c r="D41" s="58">
        <v>1.0</v>
      </c>
      <c r="E41" s="58">
        <v>0.0</v>
      </c>
      <c r="F41" s="58">
        <v>0.0</v>
      </c>
      <c r="G41" s="58">
        <v>0.0</v>
      </c>
      <c r="H41" s="58">
        <v>3.0</v>
      </c>
      <c r="I41" s="58">
        <v>0.0</v>
      </c>
      <c r="J41" s="58">
        <v>0.0</v>
      </c>
      <c r="K41" s="59"/>
      <c r="L41" s="60"/>
      <c r="M41" s="59">
        <f t="shared" si="1"/>
        <v>0</v>
      </c>
      <c r="N41" s="59"/>
      <c r="O41" s="59"/>
      <c r="P41" s="58"/>
      <c r="Q41" s="61" t="str">
        <f t="shared" si="2"/>
        <v>#DIV/0!</v>
      </c>
      <c r="R41" s="62" t="str">
        <f t="shared" si="3"/>
        <v>#DIV/0!</v>
      </c>
      <c r="S41" s="58"/>
      <c r="T41" s="63">
        <f t="shared" si="4"/>
        <v>0</v>
      </c>
      <c r="U41" s="63" t="str">
        <f t="shared" ref="U41:U47" si="10">K41/$K$42</f>
        <v>#DIV/0!</v>
      </c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</row>
    <row r="42">
      <c r="A42" s="58"/>
      <c r="B42" s="58">
        <v>37.0</v>
      </c>
      <c r="C42" s="58">
        <v>1.5</v>
      </c>
      <c r="D42" s="58">
        <v>1.0</v>
      </c>
      <c r="E42" s="58">
        <v>0.0</v>
      </c>
      <c r="F42" s="58">
        <v>0.2</v>
      </c>
      <c r="G42" s="58">
        <v>0.0</v>
      </c>
      <c r="H42" s="58">
        <v>3.0</v>
      </c>
      <c r="I42" s="58">
        <v>0.0</v>
      </c>
      <c r="J42" s="58">
        <v>0.0</v>
      </c>
      <c r="K42" s="59"/>
      <c r="L42" s="60"/>
      <c r="M42" s="59">
        <f t="shared" si="1"/>
        <v>0</v>
      </c>
      <c r="N42" s="59"/>
      <c r="O42" s="59"/>
      <c r="P42" s="58"/>
      <c r="Q42" s="61" t="str">
        <f t="shared" si="2"/>
        <v>#DIV/0!</v>
      </c>
      <c r="R42" s="62" t="str">
        <f t="shared" si="3"/>
        <v>#DIV/0!</v>
      </c>
      <c r="S42" s="58"/>
      <c r="T42" s="63">
        <f t="shared" si="4"/>
        <v>0</v>
      </c>
      <c r="U42" s="63" t="str">
        <f t="shared" si="10"/>
        <v>#DIV/0!</v>
      </c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</row>
    <row r="43">
      <c r="A43" s="58"/>
      <c r="B43" s="58">
        <v>38.0</v>
      </c>
      <c r="C43" s="58">
        <v>1.5</v>
      </c>
      <c r="D43" s="58">
        <v>1.0</v>
      </c>
      <c r="E43" s="58">
        <v>0.0</v>
      </c>
      <c r="F43" s="58">
        <v>0.6</v>
      </c>
      <c r="G43" s="58">
        <v>0.0</v>
      </c>
      <c r="H43" s="58">
        <v>3.0</v>
      </c>
      <c r="I43" s="58">
        <v>0.0</v>
      </c>
      <c r="J43" s="58">
        <v>0.0</v>
      </c>
      <c r="K43" s="59"/>
      <c r="L43" s="60"/>
      <c r="M43" s="59">
        <f t="shared" si="1"/>
        <v>0</v>
      </c>
      <c r="N43" s="59"/>
      <c r="O43" s="59"/>
      <c r="P43" s="58"/>
      <c r="Q43" s="61" t="str">
        <f t="shared" si="2"/>
        <v>#DIV/0!</v>
      </c>
      <c r="R43" s="62" t="str">
        <f t="shared" si="3"/>
        <v>#DIV/0!</v>
      </c>
      <c r="S43" s="58"/>
      <c r="T43" s="63">
        <f t="shared" si="4"/>
        <v>0</v>
      </c>
      <c r="U43" s="63" t="str">
        <f t="shared" si="10"/>
        <v>#DIV/0!</v>
      </c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</row>
    <row r="44">
      <c r="A44" s="58"/>
      <c r="B44" s="58">
        <v>39.0</v>
      </c>
      <c r="C44" s="58">
        <v>1.5</v>
      </c>
      <c r="D44" s="58">
        <v>1.0</v>
      </c>
      <c r="E44" s="58">
        <v>0.0</v>
      </c>
      <c r="F44" s="58">
        <v>1.0</v>
      </c>
      <c r="G44" s="58">
        <v>0.0</v>
      </c>
      <c r="H44" s="58">
        <v>3.0</v>
      </c>
      <c r="I44" s="58">
        <v>0.0</v>
      </c>
      <c r="J44" s="58">
        <v>0.0</v>
      </c>
      <c r="K44" s="59"/>
      <c r="L44" s="60"/>
      <c r="M44" s="59">
        <f t="shared" si="1"/>
        <v>0</v>
      </c>
      <c r="N44" s="59"/>
      <c r="O44" s="59"/>
      <c r="P44" s="58"/>
      <c r="Q44" s="61" t="str">
        <f t="shared" si="2"/>
        <v>#DIV/0!</v>
      </c>
      <c r="R44" s="62" t="str">
        <f t="shared" si="3"/>
        <v>#DIV/0!</v>
      </c>
      <c r="S44" s="58"/>
      <c r="T44" s="63">
        <f t="shared" si="4"/>
        <v>0</v>
      </c>
      <c r="U44" s="63" t="str">
        <f t="shared" si="10"/>
        <v>#DIV/0!</v>
      </c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</row>
    <row r="45">
      <c r="A45" s="58"/>
      <c r="B45" s="58">
        <v>40.0</v>
      </c>
      <c r="C45" s="58">
        <v>1.5</v>
      </c>
      <c r="D45" s="58">
        <v>1.0</v>
      </c>
      <c r="E45" s="58">
        <v>0.0</v>
      </c>
      <c r="F45" s="58">
        <v>1.4</v>
      </c>
      <c r="G45" s="58">
        <v>0.0</v>
      </c>
      <c r="H45" s="58">
        <v>3.0</v>
      </c>
      <c r="I45" s="58">
        <v>0.0</v>
      </c>
      <c r="J45" s="58">
        <v>0.0</v>
      </c>
      <c r="K45" s="59"/>
      <c r="L45" s="60"/>
      <c r="M45" s="59">
        <f t="shared" si="1"/>
        <v>0</v>
      </c>
      <c r="N45" s="59"/>
      <c r="O45" s="59"/>
      <c r="P45" s="58"/>
      <c r="Q45" s="61" t="str">
        <f t="shared" si="2"/>
        <v>#DIV/0!</v>
      </c>
      <c r="R45" s="62" t="str">
        <f t="shared" si="3"/>
        <v>#DIV/0!</v>
      </c>
      <c r="S45" s="58"/>
      <c r="T45" s="63">
        <f t="shared" si="4"/>
        <v>0</v>
      </c>
      <c r="U45" s="63" t="str">
        <f t="shared" si="10"/>
        <v>#DIV/0!</v>
      </c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</row>
    <row r="46">
      <c r="A46" s="58"/>
      <c r="B46" s="58">
        <v>41.0</v>
      </c>
      <c r="C46" s="58">
        <v>1.5</v>
      </c>
      <c r="D46" s="58">
        <v>1.0</v>
      </c>
      <c r="E46" s="58">
        <v>0.0</v>
      </c>
      <c r="F46" s="58">
        <v>1.8</v>
      </c>
      <c r="G46" s="58">
        <v>0.0</v>
      </c>
      <c r="H46" s="58">
        <v>3.0</v>
      </c>
      <c r="I46" s="58">
        <v>0.0</v>
      </c>
      <c r="J46" s="58">
        <v>0.0</v>
      </c>
      <c r="K46" s="59"/>
      <c r="L46" s="60"/>
      <c r="M46" s="59">
        <f t="shared" si="1"/>
        <v>0</v>
      </c>
      <c r="N46" s="59"/>
      <c r="O46" s="59"/>
      <c r="P46" s="58"/>
      <c r="Q46" s="61" t="str">
        <f t="shared" si="2"/>
        <v>#DIV/0!</v>
      </c>
      <c r="R46" s="62" t="str">
        <f t="shared" si="3"/>
        <v>#DIV/0!</v>
      </c>
      <c r="S46" s="58"/>
      <c r="T46" s="63">
        <f t="shared" si="4"/>
        <v>0</v>
      </c>
      <c r="U46" s="63" t="str">
        <f t="shared" si="10"/>
        <v>#DIV/0!</v>
      </c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</row>
    <row r="47">
      <c r="A47" s="58"/>
      <c r="B47" s="58">
        <v>42.0</v>
      </c>
      <c r="C47" s="58">
        <v>1.5</v>
      </c>
      <c r="D47" s="58">
        <v>1.0</v>
      </c>
      <c r="E47" s="58">
        <v>0.0</v>
      </c>
      <c r="F47" s="58">
        <v>2.2</v>
      </c>
      <c r="G47" s="58">
        <v>0.0</v>
      </c>
      <c r="H47" s="58">
        <v>3.0</v>
      </c>
      <c r="I47" s="58">
        <v>0.0</v>
      </c>
      <c r="J47" s="58">
        <v>0.0</v>
      </c>
      <c r="K47" s="59"/>
      <c r="L47" s="60"/>
      <c r="M47" s="59">
        <f t="shared" si="1"/>
        <v>0</v>
      </c>
      <c r="N47" s="59"/>
      <c r="O47" s="59"/>
      <c r="P47" s="58"/>
      <c r="Q47" s="61" t="str">
        <f t="shared" si="2"/>
        <v>#DIV/0!</v>
      </c>
      <c r="R47" s="62" t="str">
        <f t="shared" si="3"/>
        <v>#DIV/0!</v>
      </c>
      <c r="S47" s="58"/>
      <c r="T47" s="63">
        <f t="shared" si="4"/>
        <v>0</v>
      </c>
      <c r="U47" s="63" t="str">
        <f t="shared" si="10"/>
        <v>#DIV/0!</v>
      </c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</row>
    <row r="48">
      <c r="A48" s="94"/>
      <c r="B48" s="94">
        <v>43.0</v>
      </c>
      <c r="C48" s="94">
        <v>1.5</v>
      </c>
      <c r="D48" s="94">
        <v>1.0</v>
      </c>
      <c r="E48" s="94">
        <v>0.0</v>
      </c>
      <c r="F48" s="94">
        <v>0.0</v>
      </c>
      <c r="G48" s="94">
        <v>0.0</v>
      </c>
      <c r="H48" s="94">
        <v>4.0</v>
      </c>
      <c r="I48" s="94">
        <v>0.0</v>
      </c>
      <c r="J48" s="94">
        <v>0.0</v>
      </c>
      <c r="K48" s="95"/>
      <c r="L48" s="96"/>
      <c r="M48" s="95">
        <f t="shared" si="1"/>
        <v>0</v>
      </c>
      <c r="N48" s="95"/>
      <c r="O48" s="95"/>
      <c r="P48" s="94"/>
      <c r="Q48" s="97" t="str">
        <f t="shared" si="2"/>
        <v>#DIV/0!</v>
      </c>
      <c r="R48" s="98" t="str">
        <f t="shared" si="3"/>
        <v>#DIV/0!</v>
      </c>
      <c r="S48" s="94"/>
      <c r="T48" s="99">
        <f t="shared" si="4"/>
        <v>0</v>
      </c>
      <c r="U48" s="99" t="str">
        <f t="shared" ref="U48:U54" si="11">K48/$K$49</f>
        <v>#DIV/0!</v>
      </c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</row>
    <row r="49">
      <c r="A49" s="94"/>
      <c r="B49" s="94">
        <v>44.0</v>
      </c>
      <c r="C49" s="94">
        <v>1.5</v>
      </c>
      <c r="D49" s="94">
        <v>1.0</v>
      </c>
      <c r="E49" s="94">
        <v>0.0</v>
      </c>
      <c r="F49" s="94">
        <v>0.2</v>
      </c>
      <c r="G49" s="94">
        <v>0.0</v>
      </c>
      <c r="H49" s="94">
        <v>4.0</v>
      </c>
      <c r="I49" s="94">
        <v>0.0</v>
      </c>
      <c r="J49" s="94">
        <v>0.0</v>
      </c>
      <c r="K49" s="95"/>
      <c r="L49" s="96"/>
      <c r="M49" s="95">
        <f t="shared" si="1"/>
        <v>0</v>
      </c>
      <c r="N49" s="95"/>
      <c r="O49" s="95"/>
      <c r="P49" s="94"/>
      <c r="Q49" s="97" t="str">
        <f t="shared" si="2"/>
        <v>#DIV/0!</v>
      </c>
      <c r="R49" s="98" t="str">
        <f t="shared" si="3"/>
        <v>#DIV/0!</v>
      </c>
      <c r="S49" s="94"/>
      <c r="T49" s="99">
        <f t="shared" si="4"/>
        <v>0</v>
      </c>
      <c r="U49" s="99" t="str">
        <f t="shared" si="11"/>
        <v>#DIV/0!</v>
      </c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</row>
    <row r="50">
      <c r="A50" s="94"/>
      <c r="B50" s="94">
        <v>45.0</v>
      </c>
      <c r="C50" s="94">
        <v>1.5</v>
      </c>
      <c r="D50" s="94">
        <v>1.0</v>
      </c>
      <c r="E50" s="94">
        <v>0.0</v>
      </c>
      <c r="F50" s="94">
        <v>0.6</v>
      </c>
      <c r="G50" s="94">
        <v>0.0</v>
      </c>
      <c r="H50" s="94">
        <v>4.0</v>
      </c>
      <c r="I50" s="94">
        <v>0.0</v>
      </c>
      <c r="J50" s="94">
        <v>0.0</v>
      </c>
      <c r="K50" s="95"/>
      <c r="L50" s="96"/>
      <c r="M50" s="95">
        <f t="shared" si="1"/>
        <v>0</v>
      </c>
      <c r="N50" s="95"/>
      <c r="O50" s="95"/>
      <c r="P50" s="94"/>
      <c r="Q50" s="97" t="str">
        <f t="shared" si="2"/>
        <v>#DIV/0!</v>
      </c>
      <c r="R50" s="98" t="str">
        <f t="shared" si="3"/>
        <v>#DIV/0!</v>
      </c>
      <c r="S50" s="94"/>
      <c r="T50" s="99">
        <f t="shared" si="4"/>
        <v>0</v>
      </c>
      <c r="U50" s="99" t="str">
        <f t="shared" si="11"/>
        <v>#DIV/0!</v>
      </c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</row>
    <row r="51">
      <c r="A51" s="94"/>
      <c r="B51" s="94">
        <v>46.0</v>
      </c>
      <c r="C51" s="94">
        <v>1.5</v>
      </c>
      <c r="D51" s="94">
        <v>1.0</v>
      </c>
      <c r="E51" s="94">
        <v>0.0</v>
      </c>
      <c r="F51" s="94">
        <v>1.0</v>
      </c>
      <c r="G51" s="94">
        <v>0.0</v>
      </c>
      <c r="H51" s="94">
        <v>4.0</v>
      </c>
      <c r="I51" s="94">
        <v>0.0</v>
      </c>
      <c r="J51" s="94">
        <v>0.0</v>
      </c>
      <c r="K51" s="95"/>
      <c r="L51" s="96"/>
      <c r="M51" s="95">
        <f t="shared" si="1"/>
        <v>0</v>
      </c>
      <c r="N51" s="95"/>
      <c r="O51" s="95"/>
      <c r="P51" s="94"/>
      <c r="Q51" s="97" t="str">
        <f t="shared" si="2"/>
        <v>#DIV/0!</v>
      </c>
      <c r="R51" s="98" t="str">
        <f t="shared" si="3"/>
        <v>#DIV/0!</v>
      </c>
      <c r="S51" s="94"/>
      <c r="T51" s="99">
        <f t="shared" si="4"/>
        <v>0</v>
      </c>
      <c r="U51" s="99" t="str">
        <f t="shared" si="11"/>
        <v>#DIV/0!</v>
      </c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</row>
    <row r="52">
      <c r="A52" s="94"/>
      <c r="B52" s="94">
        <v>47.0</v>
      </c>
      <c r="C52" s="94">
        <v>1.5</v>
      </c>
      <c r="D52" s="94">
        <v>1.0</v>
      </c>
      <c r="E52" s="94">
        <v>0.0</v>
      </c>
      <c r="F52" s="94">
        <v>1.4</v>
      </c>
      <c r="G52" s="94">
        <v>0.0</v>
      </c>
      <c r="H52" s="94">
        <v>4.0</v>
      </c>
      <c r="I52" s="94">
        <v>0.0</v>
      </c>
      <c r="J52" s="94">
        <v>0.0</v>
      </c>
      <c r="K52" s="95"/>
      <c r="L52" s="96"/>
      <c r="M52" s="95">
        <f t="shared" si="1"/>
        <v>0</v>
      </c>
      <c r="N52" s="95"/>
      <c r="O52" s="95"/>
      <c r="P52" s="94"/>
      <c r="Q52" s="97" t="str">
        <f t="shared" si="2"/>
        <v>#DIV/0!</v>
      </c>
      <c r="R52" s="98" t="str">
        <f t="shared" si="3"/>
        <v>#DIV/0!</v>
      </c>
      <c r="S52" s="94"/>
      <c r="T52" s="99">
        <f t="shared" si="4"/>
        <v>0</v>
      </c>
      <c r="U52" s="99" t="str">
        <f t="shared" si="11"/>
        <v>#DIV/0!</v>
      </c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</row>
    <row r="53">
      <c r="A53" s="94"/>
      <c r="B53" s="94">
        <v>48.0</v>
      </c>
      <c r="C53" s="94">
        <v>1.5</v>
      </c>
      <c r="D53" s="94">
        <v>1.0</v>
      </c>
      <c r="E53" s="94">
        <v>0.0</v>
      </c>
      <c r="F53" s="94">
        <v>1.8</v>
      </c>
      <c r="G53" s="94">
        <v>0.0</v>
      </c>
      <c r="H53" s="94">
        <v>4.0</v>
      </c>
      <c r="I53" s="94">
        <v>0.0</v>
      </c>
      <c r="J53" s="94">
        <v>0.0</v>
      </c>
      <c r="K53" s="95"/>
      <c r="L53" s="96"/>
      <c r="M53" s="95">
        <f t="shared" si="1"/>
        <v>0</v>
      </c>
      <c r="N53" s="95"/>
      <c r="O53" s="95"/>
      <c r="P53" s="94"/>
      <c r="Q53" s="97" t="str">
        <f t="shared" si="2"/>
        <v>#DIV/0!</v>
      </c>
      <c r="R53" s="98" t="str">
        <f t="shared" si="3"/>
        <v>#DIV/0!</v>
      </c>
      <c r="S53" s="94"/>
      <c r="T53" s="99">
        <f t="shared" si="4"/>
        <v>0</v>
      </c>
      <c r="U53" s="99" t="str">
        <f t="shared" si="11"/>
        <v>#DIV/0!</v>
      </c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</row>
    <row r="54">
      <c r="A54" s="94"/>
      <c r="B54" s="94">
        <v>49.0</v>
      </c>
      <c r="C54" s="94">
        <v>1.5</v>
      </c>
      <c r="D54" s="94">
        <v>1.0</v>
      </c>
      <c r="E54" s="94">
        <v>0.0</v>
      </c>
      <c r="F54" s="94">
        <v>2.2</v>
      </c>
      <c r="G54" s="94">
        <v>0.0</v>
      </c>
      <c r="H54" s="94">
        <v>4.0</v>
      </c>
      <c r="I54" s="94">
        <v>0.0</v>
      </c>
      <c r="J54" s="94">
        <v>0.0</v>
      </c>
      <c r="K54" s="95"/>
      <c r="L54" s="96"/>
      <c r="M54" s="95">
        <f t="shared" si="1"/>
        <v>0</v>
      </c>
      <c r="N54" s="95"/>
      <c r="O54" s="95"/>
      <c r="P54" s="94"/>
      <c r="Q54" s="97" t="str">
        <f t="shared" si="2"/>
        <v>#DIV/0!</v>
      </c>
      <c r="R54" s="98" t="str">
        <f t="shared" si="3"/>
        <v>#DIV/0!</v>
      </c>
      <c r="S54" s="94"/>
      <c r="T54" s="99">
        <f t="shared" si="4"/>
        <v>0</v>
      </c>
      <c r="U54" s="99" t="str">
        <f t="shared" si="11"/>
        <v>#DIV/0!</v>
      </c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</row>
    <row r="55">
      <c r="A55" s="101"/>
      <c r="B55" s="101">
        <v>50.0</v>
      </c>
      <c r="C55" s="101">
        <v>1.5</v>
      </c>
      <c r="D55" s="101">
        <v>1.0</v>
      </c>
      <c r="E55" s="101">
        <v>0.0</v>
      </c>
      <c r="F55" s="101">
        <v>0.0</v>
      </c>
      <c r="G55" s="101">
        <v>0.0</v>
      </c>
      <c r="H55" s="101">
        <v>5.0</v>
      </c>
      <c r="I55" s="101">
        <v>0.0</v>
      </c>
      <c r="J55" s="101">
        <v>0.0</v>
      </c>
      <c r="K55" s="102"/>
      <c r="L55" s="103"/>
      <c r="M55" s="102">
        <f t="shared" si="1"/>
        <v>0</v>
      </c>
      <c r="N55" s="102"/>
      <c r="O55" s="102"/>
      <c r="P55" s="101"/>
      <c r="Q55" s="104" t="str">
        <f t="shared" si="2"/>
        <v>#DIV/0!</v>
      </c>
      <c r="R55" s="106" t="str">
        <f t="shared" si="3"/>
        <v>#DIV/0!</v>
      </c>
      <c r="S55" s="101"/>
      <c r="T55" s="108">
        <f t="shared" si="4"/>
        <v>0</v>
      </c>
      <c r="U55" s="108" t="str">
        <f t="shared" ref="U55:U61" si="12">K55/$K$56</f>
        <v>#DIV/0!</v>
      </c>
      <c r="V55" s="110"/>
      <c r="W55" s="110"/>
      <c r="X55" s="110"/>
      <c r="Y55" s="110"/>
      <c r="Z55" s="110"/>
      <c r="AA55" s="110"/>
      <c r="AB55" s="110"/>
      <c r="AC55" s="110"/>
      <c r="AD55" s="110"/>
      <c r="AE55" s="110"/>
      <c r="AF55" s="110"/>
    </row>
    <row r="56">
      <c r="A56" s="101"/>
      <c r="B56" s="101">
        <v>51.0</v>
      </c>
      <c r="C56" s="101">
        <v>1.5</v>
      </c>
      <c r="D56" s="101">
        <v>1.0</v>
      </c>
      <c r="E56" s="101">
        <v>0.0</v>
      </c>
      <c r="F56" s="101">
        <v>0.2</v>
      </c>
      <c r="G56" s="101">
        <v>0.0</v>
      </c>
      <c r="H56" s="101">
        <v>5.0</v>
      </c>
      <c r="I56" s="101">
        <v>0.0</v>
      </c>
      <c r="J56" s="101">
        <v>0.0</v>
      </c>
      <c r="K56" s="102"/>
      <c r="L56" s="103"/>
      <c r="M56" s="102">
        <f t="shared" si="1"/>
        <v>0</v>
      </c>
      <c r="N56" s="102"/>
      <c r="O56" s="102"/>
      <c r="P56" s="101"/>
      <c r="Q56" s="104" t="str">
        <f t="shared" si="2"/>
        <v>#DIV/0!</v>
      </c>
      <c r="R56" s="106" t="str">
        <f t="shared" si="3"/>
        <v>#DIV/0!</v>
      </c>
      <c r="S56" s="101"/>
      <c r="T56" s="108">
        <f t="shared" si="4"/>
        <v>0</v>
      </c>
      <c r="U56" s="108" t="str">
        <f t="shared" si="12"/>
        <v>#DIV/0!</v>
      </c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</row>
    <row r="57">
      <c r="A57" s="101"/>
      <c r="B57" s="101">
        <v>52.0</v>
      </c>
      <c r="C57" s="101">
        <v>1.5</v>
      </c>
      <c r="D57" s="101">
        <v>1.0</v>
      </c>
      <c r="E57" s="101">
        <v>0.0</v>
      </c>
      <c r="F57" s="101">
        <v>0.6</v>
      </c>
      <c r="G57" s="101">
        <v>0.0</v>
      </c>
      <c r="H57" s="101">
        <v>5.0</v>
      </c>
      <c r="I57" s="101">
        <v>0.0</v>
      </c>
      <c r="J57" s="101">
        <v>0.0</v>
      </c>
      <c r="K57" s="102"/>
      <c r="L57" s="103"/>
      <c r="M57" s="102">
        <f t="shared" si="1"/>
        <v>0</v>
      </c>
      <c r="N57" s="102"/>
      <c r="O57" s="102"/>
      <c r="P57" s="101"/>
      <c r="Q57" s="104" t="str">
        <f t="shared" si="2"/>
        <v>#DIV/0!</v>
      </c>
      <c r="R57" s="106" t="str">
        <f t="shared" si="3"/>
        <v>#DIV/0!</v>
      </c>
      <c r="S57" s="101"/>
      <c r="T57" s="108">
        <f t="shared" si="4"/>
        <v>0</v>
      </c>
      <c r="U57" s="108" t="str">
        <f t="shared" si="12"/>
        <v>#DIV/0!</v>
      </c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</row>
    <row r="58">
      <c r="A58" s="101"/>
      <c r="B58" s="101">
        <v>53.0</v>
      </c>
      <c r="C58" s="101">
        <v>1.5</v>
      </c>
      <c r="D58" s="101">
        <v>1.0</v>
      </c>
      <c r="E58" s="101">
        <v>0.0</v>
      </c>
      <c r="F58" s="101">
        <v>1.0</v>
      </c>
      <c r="G58" s="101">
        <v>0.0</v>
      </c>
      <c r="H58" s="101">
        <v>5.0</v>
      </c>
      <c r="I58" s="101">
        <v>0.0</v>
      </c>
      <c r="J58" s="101">
        <v>0.0</v>
      </c>
      <c r="K58" s="102"/>
      <c r="L58" s="103"/>
      <c r="M58" s="102">
        <f t="shared" si="1"/>
        <v>0</v>
      </c>
      <c r="N58" s="102"/>
      <c r="O58" s="102"/>
      <c r="P58" s="101"/>
      <c r="Q58" s="104" t="str">
        <f t="shared" si="2"/>
        <v>#DIV/0!</v>
      </c>
      <c r="R58" s="106" t="str">
        <f t="shared" si="3"/>
        <v>#DIV/0!</v>
      </c>
      <c r="S58" s="101"/>
      <c r="T58" s="108">
        <f t="shared" si="4"/>
        <v>0</v>
      </c>
      <c r="U58" s="108" t="str">
        <f t="shared" si="12"/>
        <v>#DIV/0!</v>
      </c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</row>
    <row r="59">
      <c r="A59" s="101"/>
      <c r="B59" s="101">
        <v>54.0</v>
      </c>
      <c r="C59" s="101">
        <v>1.5</v>
      </c>
      <c r="D59" s="101">
        <v>1.0</v>
      </c>
      <c r="E59" s="101">
        <v>0.0</v>
      </c>
      <c r="F59" s="101">
        <v>1.4</v>
      </c>
      <c r="G59" s="101">
        <v>0.0</v>
      </c>
      <c r="H59" s="101">
        <v>5.0</v>
      </c>
      <c r="I59" s="101">
        <v>0.0</v>
      </c>
      <c r="J59" s="101">
        <v>0.0</v>
      </c>
      <c r="K59" s="102"/>
      <c r="L59" s="103"/>
      <c r="M59" s="102">
        <f t="shared" si="1"/>
        <v>0</v>
      </c>
      <c r="N59" s="102"/>
      <c r="O59" s="102"/>
      <c r="P59" s="101"/>
      <c r="Q59" s="104" t="str">
        <f t="shared" si="2"/>
        <v>#DIV/0!</v>
      </c>
      <c r="R59" s="106" t="str">
        <f t="shared" si="3"/>
        <v>#DIV/0!</v>
      </c>
      <c r="S59" s="101"/>
      <c r="T59" s="108">
        <f t="shared" si="4"/>
        <v>0</v>
      </c>
      <c r="U59" s="108" t="str">
        <f t="shared" si="12"/>
        <v>#DIV/0!</v>
      </c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</row>
    <row r="60">
      <c r="A60" s="101"/>
      <c r="B60" s="101">
        <v>55.0</v>
      </c>
      <c r="C60" s="101">
        <v>1.5</v>
      </c>
      <c r="D60" s="101">
        <v>1.0</v>
      </c>
      <c r="E60" s="101">
        <v>0.0</v>
      </c>
      <c r="F60" s="101">
        <v>1.8</v>
      </c>
      <c r="G60" s="101">
        <v>0.0</v>
      </c>
      <c r="H60" s="101">
        <v>5.0</v>
      </c>
      <c r="I60" s="101">
        <v>0.0</v>
      </c>
      <c r="J60" s="101">
        <v>0.0</v>
      </c>
      <c r="K60" s="102"/>
      <c r="L60" s="103"/>
      <c r="M60" s="102">
        <f t="shared" si="1"/>
        <v>0</v>
      </c>
      <c r="N60" s="102"/>
      <c r="O60" s="102"/>
      <c r="P60" s="101"/>
      <c r="Q60" s="104" t="str">
        <f t="shared" si="2"/>
        <v>#DIV/0!</v>
      </c>
      <c r="R60" s="106" t="str">
        <f t="shared" si="3"/>
        <v>#DIV/0!</v>
      </c>
      <c r="S60" s="101"/>
      <c r="T60" s="108">
        <f t="shared" si="4"/>
        <v>0</v>
      </c>
      <c r="U60" s="108" t="str">
        <f t="shared" si="12"/>
        <v>#DIV/0!</v>
      </c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</row>
    <row r="61">
      <c r="A61" s="101"/>
      <c r="B61" s="101">
        <v>56.0</v>
      </c>
      <c r="C61" s="101">
        <v>1.5</v>
      </c>
      <c r="D61" s="101">
        <v>1.0</v>
      </c>
      <c r="E61" s="101">
        <v>0.0</v>
      </c>
      <c r="F61" s="101">
        <v>2.2</v>
      </c>
      <c r="G61" s="101">
        <v>0.0</v>
      </c>
      <c r="H61" s="101">
        <v>5.0</v>
      </c>
      <c r="I61" s="101">
        <v>0.0</v>
      </c>
      <c r="J61" s="101">
        <v>0.0</v>
      </c>
      <c r="K61" s="102"/>
      <c r="L61" s="103"/>
      <c r="M61" s="102">
        <f t="shared" si="1"/>
        <v>0</v>
      </c>
      <c r="N61" s="102"/>
      <c r="O61" s="102"/>
      <c r="P61" s="101"/>
      <c r="Q61" s="104" t="str">
        <f t="shared" si="2"/>
        <v>#DIV/0!</v>
      </c>
      <c r="R61" s="106" t="str">
        <f t="shared" si="3"/>
        <v>#DIV/0!</v>
      </c>
      <c r="S61" s="101"/>
      <c r="T61" s="108">
        <f t="shared" si="4"/>
        <v>0</v>
      </c>
      <c r="U61" s="108" t="str">
        <f t="shared" si="12"/>
        <v>#DIV/0!</v>
      </c>
      <c r="V61" s="110"/>
      <c r="W61" s="110"/>
      <c r="X61" s="110"/>
      <c r="Y61" s="110"/>
      <c r="Z61" s="110"/>
      <c r="AA61" s="110"/>
      <c r="AB61" s="110"/>
      <c r="AC61" s="110"/>
      <c r="AD61" s="110"/>
      <c r="AE61" s="110"/>
      <c r="AF61" s="110"/>
    </row>
    <row r="62">
      <c r="B62" s="4">
        <v>57.0</v>
      </c>
      <c r="C62" s="44">
        <v>1.5</v>
      </c>
      <c r="D62" s="44">
        <v>1.0</v>
      </c>
      <c r="E62" s="44">
        <v>0.0</v>
      </c>
      <c r="F62" s="44">
        <v>0.2</v>
      </c>
      <c r="G62" s="58">
        <v>1.0</v>
      </c>
      <c r="H62" s="44">
        <v>1.0</v>
      </c>
      <c r="I62" s="44">
        <v>0.0</v>
      </c>
      <c r="J62" s="44">
        <v>0.0</v>
      </c>
      <c r="K62" s="116"/>
      <c r="L62" s="117"/>
      <c r="M62" s="116">
        <f t="shared" si="1"/>
        <v>0</v>
      </c>
      <c r="N62" s="116"/>
      <c r="O62" s="116"/>
      <c r="Q62" s="118" t="str">
        <f t="shared" si="2"/>
        <v>#DIV/0!</v>
      </c>
      <c r="R62" s="119" t="str">
        <f t="shared" si="3"/>
        <v>#DIV/0!</v>
      </c>
      <c r="T62" s="120">
        <f t="shared" si="4"/>
        <v>0</v>
      </c>
    </row>
    <row r="63">
      <c r="B63" s="4">
        <v>58.0</v>
      </c>
      <c r="C63" s="44">
        <v>1.5</v>
      </c>
      <c r="D63" s="44">
        <v>1.0</v>
      </c>
      <c r="E63" s="44">
        <v>0.0</v>
      </c>
      <c r="F63" s="44">
        <v>0.2</v>
      </c>
      <c r="G63" s="58">
        <v>-1.0</v>
      </c>
      <c r="H63" s="44">
        <v>1.0</v>
      </c>
      <c r="I63" s="44">
        <v>0.0</v>
      </c>
      <c r="J63" s="44">
        <v>0.0</v>
      </c>
      <c r="K63" s="116"/>
      <c r="L63" s="117"/>
      <c r="M63" s="116">
        <f t="shared" si="1"/>
        <v>0</v>
      </c>
      <c r="N63" s="116"/>
      <c r="O63" s="116"/>
      <c r="Q63" s="118" t="str">
        <f t="shared" si="2"/>
        <v>#DIV/0!</v>
      </c>
      <c r="R63" s="119" t="str">
        <f t="shared" si="3"/>
        <v>#DIV/0!</v>
      </c>
      <c r="T63" s="120">
        <f t="shared" si="4"/>
        <v>0</v>
      </c>
    </row>
    <row r="64">
      <c r="A64" s="4"/>
      <c r="B64" s="4">
        <v>59.0</v>
      </c>
      <c r="C64" s="44">
        <v>1.5</v>
      </c>
      <c r="D64" s="58">
        <v>0.0</v>
      </c>
      <c r="E64" s="44">
        <v>0.0</v>
      </c>
      <c r="F64" s="58">
        <v>1.0</v>
      </c>
      <c r="G64" s="44">
        <v>0.0</v>
      </c>
      <c r="H64" s="44">
        <v>1.0</v>
      </c>
      <c r="I64" s="44">
        <v>0.0</v>
      </c>
      <c r="J64" s="44">
        <v>0.0</v>
      </c>
      <c r="K64" s="116"/>
      <c r="L64" s="117"/>
      <c r="M64" s="116">
        <f t="shared" si="1"/>
        <v>0</v>
      </c>
      <c r="N64" s="116"/>
      <c r="O64" s="116"/>
      <c r="Q64" s="118" t="str">
        <f t="shared" si="2"/>
        <v>#DIV/0!</v>
      </c>
      <c r="R64" s="119" t="str">
        <f t="shared" si="3"/>
        <v>#DIV/0!</v>
      </c>
      <c r="T64" s="120">
        <f t="shared" si="4"/>
        <v>0</v>
      </c>
    </row>
    <row r="65">
      <c r="A65" s="4"/>
      <c r="B65" s="4">
        <v>60.0</v>
      </c>
      <c r="C65" s="44">
        <v>1.5</v>
      </c>
      <c r="D65" s="44">
        <v>1.0</v>
      </c>
      <c r="E65" s="44">
        <v>0.0</v>
      </c>
      <c r="F65" s="44">
        <v>0.2</v>
      </c>
      <c r="G65" s="44">
        <v>0.0</v>
      </c>
      <c r="H65" s="44">
        <v>1.0</v>
      </c>
      <c r="I65" s="58">
        <v>1.0</v>
      </c>
      <c r="J65" s="44">
        <v>0.0</v>
      </c>
      <c r="K65" s="116"/>
      <c r="L65" s="117"/>
      <c r="M65" s="116">
        <f t="shared" si="1"/>
        <v>0</v>
      </c>
      <c r="N65" s="116"/>
      <c r="O65" s="116"/>
      <c r="Q65" s="118" t="str">
        <f t="shared" si="2"/>
        <v>#DIV/0!</v>
      </c>
      <c r="R65" s="119" t="str">
        <f t="shared" si="3"/>
        <v>#DIV/0!</v>
      </c>
      <c r="T65" s="120">
        <f t="shared" si="4"/>
        <v>0</v>
      </c>
    </row>
    <row r="66">
      <c r="A66" s="4"/>
      <c r="B66" s="4">
        <v>61.0</v>
      </c>
      <c r="C66" s="44">
        <v>1.5</v>
      </c>
      <c r="D66" s="44">
        <v>1.0</v>
      </c>
      <c r="E66" s="44">
        <v>0.0</v>
      </c>
      <c r="F66" s="44">
        <v>0.2</v>
      </c>
      <c r="G66" s="44">
        <v>0.0</v>
      </c>
      <c r="H66" s="44">
        <v>1.0</v>
      </c>
      <c r="I66" s="58">
        <v>1.0</v>
      </c>
      <c r="J66" s="58">
        <v>1.0</v>
      </c>
      <c r="K66" s="116"/>
      <c r="L66" s="117"/>
      <c r="M66" s="116">
        <f t="shared" si="1"/>
        <v>0</v>
      </c>
      <c r="N66" s="116"/>
      <c r="O66" s="116"/>
      <c r="Q66" s="118" t="str">
        <f t="shared" si="2"/>
        <v>#DIV/0!</v>
      </c>
      <c r="R66" s="119" t="str">
        <f t="shared" si="3"/>
        <v>#DIV/0!</v>
      </c>
      <c r="T66" s="120">
        <f t="shared" si="4"/>
        <v>0</v>
      </c>
    </row>
    <row r="67">
      <c r="K67" s="1"/>
      <c r="L67" s="2"/>
      <c r="M67" s="1"/>
      <c r="N67" s="1"/>
      <c r="O67" s="1"/>
    </row>
    <row r="68">
      <c r="K68" s="1"/>
      <c r="L68" s="2"/>
      <c r="M68" s="1"/>
      <c r="N68" s="1"/>
      <c r="O68" s="1"/>
    </row>
    <row r="69">
      <c r="K69" s="116"/>
      <c r="L69" s="2"/>
      <c r="M69" s="116"/>
      <c r="N69" s="1"/>
      <c r="O69" s="1"/>
    </row>
    <row r="70">
      <c r="K70" s="1"/>
      <c r="L70" s="2"/>
      <c r="M70" s="1"/>
      <c r="N70" s="1"/>
      <c r="O70" s="1"/>
    </row>
    <row r="71">
      <c r="K71" s="1"/>
      <c r="L71" s="2"/>
      <c r="M71" s="1"/>
      <c r="N71" s="1"/>
      <c r="O71" s="1"/>
    </row>
    <row r="72">
      <c r="K72" s="1"/>
      <c r="L72" s="2"/>
      <c r="M72" s="1"/>
      <c r="N72" s="1"/>
      <c r="O72" s="1"/>
    </row>
    <row r="73">
      <c r="K73" s="1"/>
      <c r="L73" s="2"/>
      <c r="M73" s="1"/>
      <c r="N73" s="1"/>
      <c r="O73" s="1"/>
    </row>
    <row r="74">
      <c r="K74" s="1"/>
      <c r="L74" s="2"/>
      <c r="M74" s="1"/>
      <c r="N74" s="1"/>
      <c r="O74" s="1"/>
    </row>
    <row r="75">
      <c r="K75" s="1"/>
      <c r="L75" s="2"/>
      <c r="M75" s="1"/>
      <c r="N75" s="1"/>
      <c r="O75" s="1"/>
    </row>
    <row r="76">
      <c r="K76" s="1"/>
      <c r="L76" s="2"/>
      <c r="M76" s="1"/>
      <c r="N76" s="1"/>
      <c r="O76" s="1"/>
    </row>
    <row r="77">
      <c r="K77" s="1"/>
      <c r="L77" s="2"/>
      <c r="M77" s="1"/>
      <c r="N77" s="1"/>
      <c r="O77" s="1"/>
    </row>
    <row r="78">
      <c r="K78" s="1"/>
      <c r="L78" s="2"/>
      <c r="M78" s="1"/>
      <c r="N78" s="1"/>
      <c r="O78" s="1"/>
    </row>
    <row r="79">
      <c r="K79" s="1"/>
      <c r="L79" s="2"/>
      <c r="M79" s="1"/>
      <c r="N79" s="1"/>
      <c r="O79" s="1"/>
    </row>
    <row r="80">
      <c r="K80" s="1"/>
      <c r="L80" s="2"/>
      <c r="M80" s="1"/>
      <c r="N80" s="1"/>
      <c r="O80" s="1"/>
    </row>
    <row r="81">
      <c r="K81" s="1"/>
      <c r="L81" s="2"/>
      <c r="M81" s="1"/>
      <c r="N81" s="1"/>
      <c r="O81" s="1"/>
    </row>
    <row r="82">
      <c r="K82" s="1"/>
      <c r="L82" s="2"/>
      <c r="M82" s="1"/>
      <c r="N82" s="1"/>
      <c r="O82" s="1"/>
    </row>
    <row r="83">
      <c r="K83" s="1"/>
      <c r="L83" s="2"/>
      <c r="M83" s="1"/>
      <c r="N83" s="1"/>
      <c r="O83" s="1"/>
    </row>
    <row r="84">
      <c r="K84" s="1"/>
      <c r="L84" s="2"/>
      <c r="M84" s="1"/>
      <c r="N84" s="1"/>
      <c r="O84" s="1"/>
    </row>
    <row r="85">
      <c r="K85" s="1"/>
      <c r="L85" s="2"/>
      <c r="M85" s="1"/>
      <c r="N85" s="1"/>
      <c r="O85" s="1"/>
    </row>
    <row r="86">
      <c r="K86" s="1"/>
      <c r="L86" s="2"/>
      <c r="M86" s="1"/>
      <c r="N86" s="1"/>
      <c r="O86" s="1"/>
    </row>
    <row r="87">
      <c r="K87" s="1"/>
      <c r="L87" s="2"/>
      <c r="M87" s="1"/>
      <c r="N87" s="1"/>
      <c r="O87" s="1"/>
    </row>
    <row r="88">
      <c r="K88" s="1"/>
      <c r="L88" s="2"/>
      <c r="M88" s="1"/>
      <c r="N88" s="1"/>
      <c r="O88" s="1"/>
    </row>
    <row r="89">
      <c r="K89" s="1"/>
      <c r="L89" s="2"/>
      <c r="M89" s="1"/>
      <c r="N89" s="1"/>
      <c r="O89" s="1"/>
    </row>
    <row r="90">
      <c r="K90" s="1"/>
      <c r="L90" s="2"/>
      <c r="M90" s="1"/>
      <c r="N90" s="1"/>
      <c r="O90" s="1"/>
    </row>
    <row r="91">
      <c r="K91" s="1"/>
      <c r="L91" s="2"/>
      <c r="M91" s="1"/>
      <c r="N91" s="1"/>
      <c r="O91" s="1"/>
    </row>
    <row r="92">
      <c r="K92" s="1"/>
      <c r="L92" s="2"/>
      <c r="M92" s="1"/>
      <c r="N92" s="1"/>
      <c r="O92" s="1"/>
    </row>
    <row r="93">
      <c r="K93" s="1"/>
      <c r="L93" s="2"/>
      <c r="M93" s="1"/>
      <c r="N93" s="1"/>
      <c r="O93" s="1"/>
    </row>
    <row r="94">
      <c r="K94" s="1"/>
      <c r="L94" s="2"/>
      <c r="M94" s="1"/>
      <c r="N94" s="1"/>
      <c r="O94" s="1"/>
    </row>
    <row r="95">
      <c r="K95" s="1"/>
      <c r="L95" s="2"/>
      <c r="M95" s="1"/>
      <c r="N95" s="1"/>
      <c r="O95" s="1"/>
    </row>
    <row r="96">
      <c r="K96" s="1"/>
      <c r="L96" s="2"/>
      <c r="M96" s="1"/>
      <c r="N96" s="1"/>
      <c r="O96" s="1"/>
    </row>
    <row r="97">
      <c r="K97" s="1"/>
      <c r="L97" s="2"/>
      <c r="M97" s="1"/>
      <c r="N97" s="1"/>
      <c r="O97" s="1"/>
    </row>
    <row r="98">
      <c r="K98" s="1"/>
      <c r="L98" s="2"/>
      <c r="M98" s="1"/>
      <c r="N98" s="1"/>
      <c r="O98" s="1"/>
    </row>
    <row r="99">
      <c r="K99" s="1"/>
      <c r="L99" s="2"/>
      <c r="M99" s="1"/>
      <c r="N99" s="1"/>
      <c r="O99" s="1"/>
    </row>
    <row r="100">
      <c r="K100" s="1"/>
      <c r="L100" s="2"/>
      <c r="M100" s="1"/>
      <c r="N100" s="1"/>
      <c r="O100" s="1"/>
    </row>
    <row r="101">
      <c r="K101" s="1"/>
      <c r="L101" s="2"/>
      <c r="M101" s="1"/>
      <c r="N101" s="1"/>
      <c r="O101" s="1"/>
    </row>
    <row r="102">
      <c r="K102" s="1"/>
      <c r="L102" s="2"/>
      <c r="M102" s="1"/>
      <c r="N102" s="1"/>
      <c r="O102" s="1"/>
    </row>
    <row r="103">
      <c r="K103" s="1"/>
      <c r="L103" s="2"/>
      <c r="M103" s="1"/>
      <c r="N103" s="1"/>
      <c r="O103" s="1"/>
    </row>
    <row r="104">
      <c r="K104" s="1"/>
      <c r="L104" s="2"/>
      <c r="M104" s="1"/>
      <c r="N104" s="1"/>
      <c r="O104" s="1"/>
    </row>
    <row r="105">
      <c r="K105" s="1"/>
      <c r="L105" s="2"/>
      <c r="M105" s="1"/>
      <c r="N105" s="1"/>
      <c r="O105" s="1"/>
    </row>
    <row r="106">
      <c r="K106" s="1"/>
      <c r="L106" s="2"/>
      <c r="M106" s="1"/>
      <c r="N106" s="1"/>
      <c r="O106" s="1"/>
    </row>
    <row r="107">
      <c r="K107" s="1"/>
      <c r="L107" s="2"/>
      <c r="M107" s="1"/>
      <c r="N107" s="1"/>
      <c r="O107" s="1"/>
    </row>
    <row r="108">
      <c r="K108" s="1"/>
      <c r="L108" s="2"/>
      <c r="M108" s="1"/>
      <c r="N108" s="1"/>
      <c r="O108" s="1"/>
    </row>
    <row r="109">
      <c r="K109" s="1"/>
      <c r="L109" s="2"/>
      <c r="M109" s="1"/>
      <c r="N109" s="1"/>
      <c r="O109" s="1"/>
    </row>
    <row r="110">
      <c r="K110" s="1"/>
      <c r="L110" s="2"/>
      <c r="M110" s="1"/>
      <c r="N110" s="1"/>
      <c r="O110" s="1"/>
    </row>
    <row r="111">
      <c r="K111" s="1"/>
      <c r="L111" s="2"/>
      <c r="M111" s="1"/>
      <c r="N111" s="1"/>
      <c r="O111" s="1"/>
    </row>
    <row r="112">
      <c r="K112" s="1"/>
      <c r="L112" s="2"/>
      <c r="M112" s="1"/>
      <c r="N112" s="1"/>
      <c r="O112" s="1"/>
    </row>
    <row r="113">
      <c r="K113" s="1"/>
      <c r="L113" s="2"/>
      <c r="M113" s="1"/>
      <c r="N113" s="1"/>
      <c r="O113" s="1"/>
    </row>
    <row r="114">
      <c r="K114" s="1"/>
      <c r="L114" s="2"/>
      <c r="M114" s="1"/>
      <c r="N114" s="1"/>
      <c r="O114" s="1"/>
    </row>
    <row r="115">
      <c r="K115" s="1"/>
      <c r="L115" s="2"/>
      <c r="M115" s="1"/>
      <c r="N115" s="1"/>
      <c r="O115" s="1"/>
    </row>
    <row r="116">
      <c r="K116" s="1"/>
      <c r="L116" s="2"/>
      <c r="M116" s="1"/>
      <c r="N116" s="1"/>
      <c r="O116" s="1"/>
    </row>
    <row r="117">
      <c r="K117" s="1"/>
      <c r="L117" s="2"/>
      <c r="M117" s="1"/>
      <c r="N117" s="1"/>
      <c r="O117" s="1"/>
    </row>
    <row r="118">
      <c r="K118" s="1"/>
      <c r="L118" s="2"/>
      <c r="M118" s="1"/>
      <c r="N118" s="1"/>
      <c r="O118" s="1"/>
    </row>
    <row r="119">
      <c r="K119" s="1"/>
      <c r="L119" s="2"/>
      <c r="M119" s="1"/>
      <c r="N119" s="1"/>
      <c r="O119" s="1"/>
    </row>
    <row r="120">
      <c r="K120" s="1"/>
      <c r="L120" s="2"/>
      <c r="M120" s="1"/>
      <c r="N120" s="1"/>
      <c r="O120" s="1"/>
    </row>
    <row r="121">
      <c r="K121" s="1"/>
      <c r="L121" s="2"/>
      <c r="M121" s="1"/>
      <c r="N121" s="1"/>
      <c r="O121" s="1"/>
    </row>
    <row r="122">
      <c r="K122" s="1"/>
      <c r="L122" s="2"/>
      <c r="M122" s="1"/>
      <c r="N122" s="1"/>
      <c r="O122" s="1"/>
    </row>
    <row r="123">
      <c r="K123" s="1"/>
      <c r="L123" s="2"/>
      <c r="M123" s="1"/>
      <c r="N123" s="1"/>
      <c r="O123" s="1"/>
    </row>
    <row r="124">
      <c r="K124" s="1"/>
      <c r="L124" s="2"/>
      <c r="M124" s="1"/>
      <c r="N124" s="1"/>
      <c r="O124" s="1"/>
    </row>
    <row r="125">
      <c r="K125" s="1"/>
      <c r="L125" s="2"/>
      <c r="M125" s="1"/>
      <c r="N125" s="1"/>
      <c r="O125" s="1"/>
    </row>
    <row r="126">
      <c r="K126" s="1"/>
      <c r="L126" s="2"/>
      <c r="M126" s="1"/>
      <c r="N126" s="1"/>
      <c r="O126" s="1"/>
    </row>
    <row r="127">
      <c r="K127" s="1"/>
      <c r="L127" s="2"/>
      <c r="M127" s="1"/>
      <c r="N127" s="1"/>
      <c r="O127" s="1"/>
    </row>
    <row r="128">
      <c r="K128" s="1"/>
      <c r="L128" s="2"/>
      <c r="M128" s="1"/>
      <c r="N128" s="1"/>
      <c r="O128" s="1"/>
    </row>
    <row r="129">
      <c r="K129" s="1"/>
      <c r="L129" s="2"/>
      <c r="M129" s="1"/>
      <c r="N129" s="1"/>
      <c r="O129" s="1"/>
    </row>
    <row r="130">
      <c r="K130" s="1"/>
      <c r="L130" s="2"/>
      <c r="M130" s="1"/>
      <c r="N130" s="1"/>
      <c r="O130" s="1"/>
    </row>
    <row r="131">
      <c r="K131" s="1"/>
      <c r="L131" s="2"/>
      <c r="M131" s="1"/>
      <c r="N131" s="1"/>
      <c r="O131" s="1"/>
    </row>
    <row r="132">
      <c r="K132" s="1"/>
      <c r="L132" s="2"/>
      <c r="M132" s="1"/>
      <c r="N132" s="1"/>
      <c r="O132" s="1"/>
    </row>
    <row r="133">
      <c r="K133" s="1"/>
      <c r="L133" s="2"/>
      <c r="M133" s="1"/>
      <c r="N133" s="1"/>
      <c r="O133" s="1"/>
    </row>
    <row r="134">
      <c r="K134" s="1"/>
      <c r="L134" s="2"/>
      <c r="M134" s="1"/>
      <c r="N134" s="1"/>
      <c r="O134" s="1"/>
    </row>
    <row r="135">
      <c r="K135" s="1"/>
      <c r="L135" s="2"/>
      <c r="M135" s="1"/>
      <c r="N135" s="1"/>
      <c r="O135" s="1"/>
    </row>
    <row r="136">
      <c r="K136" s="1"/>
      <c r="L136" s="2"/>
      <c r="M136" s="1"/>
      <c r="N136" s="1"/>
      <c r="O136" s="1"/>
    </row>
    <row r="137">
      <c r="K137" s="1"/>
      <c r="L137" s="2"/>
      <c r="M137" s="1"/>
      <c r="N137" s="1"/>
      <c r="O137" s="1"/>
    </row>
    <row r="138">
      <c r="K138" s="1"/>
      <c r="L138" s="2"/>
      <c r="M138" s="1"/>
      <c r="N138" s="1"/>
      <c r="O138" s="1"/>
    </row>
    <row r="139">
      <c r="K139" s="1"/>
      <c r="L139" s="2"/>
      <c r="M139" s="1"/>
      <c r="N139" s="1"/>
      <c r="O139" s="1"/>
    </row>
    <row r="140">
      <c r="K140" s="1"/>
      <c r="L140" s="2"/>
      <c r="M140" s="1"/>
      <c r="N140" s="1"/>
      <c r="O140" s="1"/>
    </row>
    <row r="141">
      <c r="K141" s="1"/>
      <c r="L141" s="2"/>
      <c r="M141" s="1"/>
      <c r="N141" s="1"/>
      <c r="O141" s="1"/>
    </row>
    <row r="142">
      <c r="K142" s="1"/>
      <c r="L142" s="2"/>
      <c r="M142" s="1"/>
      <c r="N142" s="1"/>
      <c r="O142" s="1"/>
    </row>
    <row r="143">
      <c r="K143" s="1"/>
      <c r="L143" s="2"/>
      <c r="M143" s="1"/>
      <c r="N143" s="1"/>
      <c r="O143" s="1"/>
    </row>
    <row r="144">
      <c r="K144" s="1"/>
      <c r="L144" s="2"/>
      <c r="M144" s="1"/>
      <c r="N144" s="1"/>
      <c r="O144" s="1"/>
    </row>
    <row r="145">
      <c r="K145" s="1"/>
      <c r="L145" s="2"/>
      <c r="M145" s="1"/>
      <c r="N145" s="1"/>
      <c r="O145" s="1"/>
    </row>
    <row r="146">
      <c r="K146" s="1"/>
      <c r="L146" s="2"/>
      <c r="M146" s="1"/>
      <c r="N146" s="1"/>
      <c r="O146" s="1"/>
    </row>
    <row r="147">
      <c r="K147" s="1"/>
      <c r="L147" s="2"/>
      <c r="M147" s="1"/>
      <c r="N147" s="1"/>
      <c r="O147" s="1"/>
    </row>
    <row r="148">
      <c r="K148" s="1"/>
      <c r="L148" s="2"/>
      <c r="M148" s="1"/>
      <c r="N148" s="1"/>
      <c r="O148" s="1"/>
    </row>
    <row r="149">
      <c r="K149" s="1"/>
      <c r="L149" s="2"/>
      <c r="M149" s="1"/>
      <c r="N149" s="1"/>
      <c r="O149" s="1"/>
    </row>
    <row r="150">
      <c r="K150" s="1"/>
      <c r="L150" s="2"/>
      <c r="M150" s="1"/>
      <c r="N150" s="1"/>
      <c r="O150" s="1"/>
    </row>
    <row r="151">
      <c r="K151" s="1"/>
      <c r="L151" s="2"/>
      <c r="M151" s="1"/>
      <c r="N151" s="1"/>
      <c r="O151" s="1"/>
    </row>
    <row r="152">
      <c r="K152" s="1"/>
      <c r="L152" s="2"/>
      <c r="M152" s="1"/>
      <c r="N152" s="1"/>
      <c r="O152" s="1"/>
    </row>
    <row r="153">
      <c r="K153" s="1"/>
      <c r="L153" s="2"/>
      <c r="M153" s="1"/>
      <c r="N153" s="1"/>
      <c r="O153" s="1"/>
    </row>
    <row r="154">
      <c r="K154" s="1"/>
      <c r="L154" s="2"/>
      <c r="M154" s="1"/>
      <c r="N154" s="1"/>
      <c r="O154" s="1"/>
    </row>
    <row r="155">
      <c r="K155" s="1"/>
      <c r="L155" s="2"/>
      <c r="M155" s="1"/>
      <c r="N155" s="1"/>
      <c r="O155" s="1"/>
    </row>
    <row r="156">
      <c r="K156" s="1"/>
      <c r="L156" s="2"/>
      <c r="M156" s="1"/>
      <c r="N156" s="1"/>
      <c r="O156" s="1"/>
    </row>
    <row r="157">
      <c r="K157" s="1"/>
      <c r="L157" s="2"/>
      <c r="M157" s="1"/>
      <c r="N157" s="1"/>
      <c r="O157" s="1"/>
    </row>
    <row r="158">
      <c r="K158" s="1"/>
      <c r="L158" s="2"/>
      <c r="M158" s="1"/>
      <c r="N158" s="1"/>
      <c r="O158" s="1"/>
    </row>
    <row r="159">
      <c r="K159" s="1"/>
      <c r="L159" s="2"/>
      <c r="M159" s="1"/>
      <c r="N159" s="1"/>
      <c r="O159" s="1"/>
    </row>
    <row r="160">
      <c r="K160" s="1"/>
      <c r="L160" s="2"/>
      <c r="M160" s="1"/>
      <c r="N160" s="1"/>
      <c r="O160" s="1"/>
    </row>
    <row r="161">
      <c r="K161" s="1"/>
      <c r="L161" s="2"/>
      <c r="M161" s="1"/>
      <c r="N161" s="1"/>
      <c r="O161" s="1"/>
    </row>
    <row r="162">
      <c r="K162" s="1"/>
      <c r="L162" s="2"/>
      <c r="M162" s="1"/>
      <c r="N162" s="1"/>
      <c r="O162" s="1"/>
    </row>
    <row r="163">
      <c r="K163" s="1"/>
      <c r="L163" s="2"/>
      <c r="M163" s="1"/>
      <c r="N163" s="1"/>
      <c r="O163" s="1"/>
    </row>
    <row r="164">
      <c r="K164" s="1"/>
      <c r="L164" s="2"/>
      <c r="M164" s="1"/>
      <c r="N164" s="1"/>
      <c r="O164" s="1"/>
    </row>
    <row r="165">
      <c r="K165" s="1"/>
      <c r="L165" s="2"/>
      <c r="M165" s="1"/>
      <c r="N165" s="1"/>
      <c r="O165" s="1"/>
    </row>
    <row r="166">
      <c r="K166" s="1"/>
      <c r="L166" s="2"/>
      <c r="M166" s="1"/>
      <c r="N166" s="1"/>
      <c r="O166" s="1"/>
    </row>
    <row r="167">
      <c r="K167" s="1"/>
      <c r="L167" s="2"/>
      <c r="M167" s="1"/>
      <c r="N167" s="1"/>
      <c r="O167" s="1"/>
    </row>
    <row r="168">
      <c r="K168" s="1"/>
      <c r="L168" s="2"/>
      <c r="M168" s="1"/>
      <c r="N168" s="1"/>
      <c r="O168" s="1"/>
    </row>
    <row r="169">
      <c r="K169" s="1"/>
      <c r="L169" s="2"/>
      <c r="M169" s="1"/>
      <c r="N169" s="1"/>
      <c r="O169" s="1"/>
    </row>
    <row r="170">
      <c r="K170" s="1"/>
      <c r="L170" s="2"/>
      <c r="M170" s="1"/>
      <c r="N170" s="1"/>
      <c r="O170" s="1"/>
    </row>
    <row r="171">
      <c r="K171" s="1"/>
      <c r="L171" s="2"/>
      <c r="M171" s="1"/>
      <c r="N171" s="1"/>
      <c r="O171" s="1"/>
    </row>
    <row r="172">
      <c r="K172" s="1"/>
      <c r="L172" s="2"/>
      <c r="M172" s="1"/>
      <c r="N172" s="1"/>
      <c r="O172" s="1"/>
    </row>
    <row r="173">
      <c r="K173" s="1"/>
      <c r="L173" s="2"/>
      <c r="M173" s="1"/>
      <c r="N173" s="1"/>
      <c r="O173" s="1"/>
    </row>
    <row r="174">
      <c r="K174" s="1"/>
      <c r="L174" s="2"/>
      <c r="M174" s="1"/>
      <c r="N174" s="1"/>
      <c r="O174" s="1"/>
    </row>
    <row r="175">
      <c r="K175" s="1"/>
      <c r="L175" s="2"/>
      <c r="M175" s="1"/>
      <c r="N175" s="1"/>
      <c r="O175" s="1"/>
    </row>
    <row r="176">
      <c r="K176" s="1"/>
      <c r="L176" s="2"/>
      <c r="M176" s="1"/>
      <c r="N176" s="1"/>
      <c r="O176" s="1"/>
    </row>
    <row r="177">
      <c r="K177" s="1"/>
      <c r="L177" s="2"/>
      <c r="M177" s="1"/>
      <c r="N177" s="1"/>
      <c r="O177" s="1"/>
    </row>
    <row r="178">
      <c r="K178" s="1"/>
      <c r="L178" s="2"/>
      <c r="M178" s="1"/>
      <c r="N178" s="1"/>
      <c r="O178" s="1"/>
    </row>
    <row r="179">
      <c r="K179" s="1"/>
      <c r="L179" s="2"/>
      <c r="M179" s="1"/>
      <c r="N179" s="1"/>
      <c r="O179" s="1"/>
    </row>
    <row r="180">
      <c r="K180" s="1"/>
      <c r="L180" s="2"/>
      <c r="M180" s="1"/>
      <c r="N180" s="1"/>
      <c r="O180" s="1"/>
    </row>
    <row r="181">
      <c r="K181" s="1"/>
      <c r="L181" s="2"/>
      <c r="M181" s="1"/>
      <c r="N181" s="1"/>
      <c r="O181" s="1"/>
    </row>
    <row r="182">
      <c r="K182" s="1"/>
      <c r="L182" s="2"/>
      <c r="M182" s="1"/>
      <c r="N182" s="1"/>
      <c r="O182" s="1"/>
    </row>
    <row r="183">
      <c r="K183" s="1"/>
      <c r="L183" s="2"/>
      <c r="M183" s="1"/>
      <c r="N183" s="1"/>
      <c r="O183" s="1"/>
    </row>
    <row r="184">
      <c r="K184" s="1"/>
      <c r="L184" s="2"/>
      <c r="M184" s="1"/>
      <c r="N184" s="1"/>
      <c r="O184" s="1"/>
    </row>
    <row r="185">
      <c r="K185" s="1"/>
      <c r="L185" s="2"/>
      <c r="M185" s="1"/>
      <c r="N185" s="1"/>
      <c r="O185" s="1"/>
    </row>
    <row r="186">
      <c r="K186" s="1"/>
      <c r="L186" s="2"/>
      <c r="M186" s="1"/>
      <c r="N186" s="1"/>
      <c r="O186" s="1"/>
    </row>
    <row r="187">
      <c r="K187" s="1"/>
      <c r="L187" s="2"/>
      <c r="M187" s="1"/>
      <c r="N187" s="1"/>
      <c r="O187" s="1"/>
    </row>
    <row r="188">
      <c r="K188" s="1"/>
      <c r="L188" s="2"/>
      <c r="M188" s="1"/>
      <c r="N188" s="1"/>
      <c r="O188" s="1"/>
    </row>
    <row r="189">
      <c r="K189" s="1"/>
      <c r="L189" s="2"/>
      <c r="M189" s="1"/>
      <c r="N189" s="1"/>
      <c r="O189" s="1"/>
    </row>
    <row r="190">
      <c r="K190" s="1"/>
      <c r="L190" s="2"/>
      <c r="M190" s="1"/>
      <c r="N190" s="1"/>
      <c r="O190" s="1"/>
    </row>
    <row r="191">
      <c r="K191" s="1"/>
      <c r="L191" s="2"/>
      <c r="M191" s="1"/>
      <c r="N191" s="1"/>
      <c r="O191" s="1"/>
    </row>
    <row r="192">
      <c r="K192" s="1"/>
      <c r="L192" s="2"/>
      <c r="M192" s="1"/>
      <c r="N192" s="1"/>
      <c r="O192" s="1"/>
    </row>
    <row r="193">
      <c r="K193" s="1"/>
      <c r="L193" s="2"/>
      <c r="M193" s="1"/>
      <c r="N193" s="1"/>
      <c r="O193" s="1"/>
    </row>
    <row r="194">
      <c r="K194" s="1"/>
      <c r="L194" s="2"/>
      <c r="M194" s="1"/>
      <c r="N194" s="1"/>
      <c r="O194" s="1"/>
    </row>
    <row r="195">
      <c r="K195" s="1"/>
      <c r="L195" s="2"/>
      <c r="M195" s="1"/>
      <c r="N195" s="1"/>
      <c r="O195" s="1"/>
    </row>
    <row r="196">
      <c r="K196" s="1"/>
      <c r="L196" s="2"/>
      <c r="M196" s="1"/>
      <c r="N196" s="1"/>
      <c r="O196" s="1"/>
    </row>
    <row r="197">
      <c r="K197" s="1"/>
      <c r="L197" s="2"/>
      <c r="M197" s="1"/>
      <c r="N197" s="1"/>
      <c r="O197" s="1"/>
    </row>
    <row r="198">
      <c r="K198" s="1"/>
      <c r="L198" s="2"/>
      <c r="M198" s="1"/>
      <c r="N198" s="1"/>
      <c r="O198" s="1"/>
    </row>
    <row r="199">
      <c r="K199" s="1"/>
      <c r="L199" s="2"/>
      <c r="M199" s="1"/>
      <c r="N199" s="1"/>
      <c r="O199" s="1"/>
    </row>
    <row r="200">
      <c r="K200" s="1"/>
      <c r="L200" s="2"/>
      <c r="M200" s="1"/>
      <c r="N200" s="1"/>
      <c r="O200" s="1"/>
    </row>
    <row r="201">
      <c r="K201" s="1"/>
      <c r="L201" s="2"/>
      <c r="M201" s="1"/>
      <c r="N201" s="1"/>
      <c r="O201" s="1"/>
    </row>
    <row r="202">
      <c r="K202" s="1"/>
      <c r="L202" s="2"/>
      <c r="M202" s="1"/>
      <c r="N202" s="1"/>
      <c r="O202" s="1"/>
    </row>
    <row r="203">
      <c r="K203" s="1"/>
      <c r="L203" s="2"/>
      <c r="M203" s="1"/>
      <c r="N203" s="1"/>
      <c r="O203" s="1"/>
    </row>
    <row r="204">
      <c r="K204" s="1"/>
      <c r="L204" s="2"/>
      <c r="M204" s="1"/>
      <c r="N204" s="1"/>
      <c r="O204" s="1"/>
    </row>
    <row r="205">
      <c r="K205" s="1"/>
      <c r="L205" s="2"/>
      <c r="M205" s="1"/>
      <c r="N205" s="1"/>
      <c r="O205" s="1"/>
    </row>
    <row r="206">
      <c r="K206" s="1"/>
      <c r="L206" s="2"/>
      <c r="M206" s="1"/>
      <c r="N206" s="1"/>
      <c r="O206" s="1"/>
    </row>
    <row r="207">
      <c r="K207" s="1"/>
      <c r="L207" s="2"/>
      <c r="M207" s="1"/>
      <c r="N207" s="1"/>
      <c r="O207" s="1"/>
    </row>
    <row r="208">
      <c r="K208" s="1"/>
      <c r="L208" s="2"/>
      <c r="M208" s="1"/>
      <c r="N208" s="1"/>
      <c r="O208" s="1"/>
    </row>
    <row r="209">
      <c r="K209" s="1"/>
      <c r="L209" s="2"/>
      <c r="M209" s="1"/>
      <c r="N209" s="1"/>
      <c r="O209" s="1"/>
    </row>
    <row r="210">
      <c r="K210" s="1"/>
      <c r="L210" s="2"/>
      <c r="M210" s="1"/>
      <c r="N210" s="1"/>
      <c r="O210" s="1"/>
    </row>
    <row r="211">
      <c r="K211" s="1"/>
      <c r="L211" s="2"/>
      <c r="M211" s="1"/>
      <c r="N211" s="1"/>
      <c r="O211" s="1"/>
    </row>
    <row r="212">
      <c r="K212" s="1"/>
      <c r="L212" s="2"/>
      <c r="M212" s="1"/>
      <c r="N212" s="1"/>
      <c r="O212" s="1"/>
    </row>
    <row r="213">
      <c r="K213" s="1"/>
      <c r="L213" s="2"/>
      <c r="M213" s="1"/>
      <c r="N213" s="1"/>
      <c r="O213" s="1"/>
    </row>
    <row r="214">
      <c r="K214" s="1"/>
      <c r="L214" s="2"/>
      <c r="M214" s="1"/>
      <c r="N214" s="1"/>
      <c r="O214" s="1"/>
    </row>
    <row r="215">
      <c r="K215" s="1"/>
      <c r="L215" s="2"/>
      <c r="M215" s="1"/>
      <c r="N215" s="1"/>
      <c r="O215" s="1"/>
    </row>
    <row r="216">
      <c r="K216" s="1"/>
      <c r="L216" s="2"/>
      <c r="M216" s="1"/>
      <c r="N216" s="1"/>
      <c r="O216" s="1"/>
    </row>
    <row r="217">
      <c r="K217" s="1"/>
      <c r="L217" s="2"/>
      <c r="M217" s="1"/>
      <c r="N217" s="1"/>
      <c r="O217" s="1"/>
    </row>
    <row r="218">
      <c r="K218" s="1"/>
      <c r="L218" s="2"/>
      <c r="M218" s="1"/>
      <c r="N218" s="1"/>
      <c r="O218" s="1"/>
    </row>
    <row r="219">
      <c r="K219" s="1"/>
      <c r="L219" s="2"/>
      <c r="M219" s="1"/>
      <c r="N219" s="1"/>
      <c r="O219" s="1"/>
    </row>
    <row r="220">
      <c r="K220" s="1"/>
      <c r="L220" s="2"/>
      <c r="M220" s="1"/>
      <c r="N220" s="1"/>
      <c r="O220" s="1"/>
    </row>
    <row r="221">
      <c r="K221" s="1"/>
      <c r="L221" s="2"/>
      <c r="M221" s="1"/>
      <c r="N221" s="1"/>
      <c r="O221" s="1"/>
    </row>
    <row r="222">
      <c r="K222" s="1"/>
      <c r="L222" s="2"/>
      <c r="M222" s="1"/>
      <c r="N222" s="1"/>
      <c r="O222" s="1"/>
    </row>
    <row r="223">
      <c r="K223" s="1"/>
      <c r="L223" s="2"/>
      <c r="M223" s="1"/>
      <c r="N223" s="1"/>
      <c r="O223" s="1"/>
    </row>
    <row r="224">
      <c r="K224" s="1"/>
      <c r="L224" s="2"/>
      <c r="M224" s="1"/>
      <c r="N224" s="1"/>
      <c r="O224" s="1"/>
    </row>
    <row r="225">
      <c r="K225" s="1"/>
      <c r="L225" s="2"/>
      <c r="M225" s="1"/>
      <c r="N225" s="1"/>
      <c r="O225" s="1"/>
    </row>
    <row r="226">
      <c r="K226" s="1"/>
      <c r="L226" s="2"/>
      <c r="M226" s="1"/>
      <c r="N226" s="1"/>
      <c r="O226" s="1"/>
    </row>
    <row r="227">
      <c r="K227" s="1"/>
      <c r="L227" s="2"/>
      <c r="M227" s="1"/>
      <c r="N227" s="1"/>
      <c r="O227" s="1"/>
    </row>
    <row r="228">
      <c r="K228" s="1"/>
      <c r="L228" s="2"/>
      <c r="M228" s="1"/>
      <c r="N228" s="1"/>
      <c r="O228" s="1"/>
    </row>
    <row r="229">
      <c r="K229" s="1"/>
      <c r="L229" s="2"/>
      <c r="M229" s="1"/>
      <c r="N229" s="1"/>
      <c r="O229" s="1"/>
    </row>
    <row r="230">
      <c r="K230" s="1"/>
      <c r="L230" s="2"/>
      <c r="M230" s="1"/>
      <c r="N230" s="1"/>
      <c r="O230" s="1"/>
    </row>
    <row r="231">
      <c r="K231" s="1"/>
      <c r="L231" s="2"/>
      <c r="M231" s="1"/>
      <c r="N231" s="1"/>
      <c r="O231" s="1"/>
    </row>
    <row r="232">
      <c r="K232" s="1"/>
      <c r="L232" s="2"/>
      <c r="M232" s="1"/>
      <c r="N232" s="1"/>
      <c r="O232" s="1"/>
    </row>
    <row r="233">
      <c r="K233" s="1"/>
      <c r="L233" s="2"/>
      <c r="M233" s="1"/>
      <c r="N233" s="1"/>
      <c r="O233" s="1"/>
    </row>
    <row r="234">
      <c r="K234" s="1"/>
      <c r="L234" s="2"/>
      <c r="M234" s="1"/>
      <c r="N234" s="1"/>
      <c r="O234" s="1"/>
    </row>
    <row r="235">
      <c r="K235" s="1"/>
      <c r="L235" s="2"/>
      <c r="M235" s="1"/>
      <c r="N235" s="1"/>
      <c r="O235" s="1"/>
    </row>
    <row r="236">
      <c r="K236" s="1"/>
      <c r="L236" s="2"/>
      <c r="M236" s="1"/>
      <c r="N236" s="1"/>
      <c r="O236" s="1"/>
    </row>
    <row r="237">
      <c r="K237" s="1"/>
      <c r="L237" s="2"/>
      <c r="M237" s="1"/>
      <c r="N237" s="1"/>
      <c r="O237" s="1"/>
    </row>
    <row r="238">
      <c r="K238" s="1"/>
      <c r="L238" s="2"/>
      <c r="M238" s="1"/>
      <c r="N238" s="1"/>
      <c r="O238" s="1"/>
    </row>
    <row r="239">
      <c r="K239" s="1"/>
      <c r="L239" s="2"/>
      <c r="M239" s="1"/>
      <c r="N239" s="1"/>
      <c r="O239" s="1"/>
    </row>
    <row r="240">
      <c r="K240" s="1"/>
      <c r="L240" s="2"/>
      <c r="M240" s="1"/>
      <c r="N240" s="1"/>
      <c r="O240" s="1"/>
    </row>
    <row r="241">
      <c r="K241" s="1"/>
      <c r="L241" s="2"/>
      <c r="M241" s="1"/>
      <c r="N241" s="1"/>
      <c r="O241" s="1"/>
    </row>
    <row r="242">
      <c r="K242" s="1"/>
      <c r="L242" s="2"/>
      <c r="M242" s="1"/>
      <c r="N242" s="1"/>
      <c r="O242" s="1"/>
    </row>
    <row r="243">
      <c r="K243" s="1"/>
      <c r="L243" s="2"/>
      <c r="M243" s="1"/>
      <c r="N243" s="1"/>
      <c r="O243" s="1"/>
    </row>
    <row r="244">
      <c r="K244" s="1"/>
      <c r="L244" s="2"/>
      <c r="M244" s="1"/>
      <c r="N244" s="1"/>
      <c r="O244" s="1"/>
    </row>
    <row r="245">
      <c r="K245" s="1"/>
      <c r="L245" s="2"/>
      <c r="M245" s="1"/>
      <c r="N245" s="1"/>
      <c r="O245" s="1"/>
    </row>
    <row r="246">
      <c r="K246" s="1"/>
      <c r="L246" s="2"/>
      <c r="M246" s="1"/>
      <c r="N246" s="1"/>
      <c r="O246" s="1"/>
    </row>
    <row r="247">
      <c r="K247" s="1"/>
      <c r="L247" s="2"/>
      <c r="M247" s="1"/>
      <c r="N247" s="1"/>
      <c r="O247" s="1"/>
    </row>
    <row r="248">
      <c r="K248" s="1"/>
      <c r="L248" s="2"/>
      <c r="M248" s="1"/>
      <c r="N248" s="1"/>
      <c r="O248" s="1"/>
    </row>
    <row r="249">
      <c r="K249" s="1"/>
      <c r="L249" s="2"/>
      <c r="M249" s="1"/>
      <c r="N249" s="1"/>
      <c r="O249" s="1"/>
    </row>
    <row r="250">
      <c r="K250" s="1"/>
      <c r="L250" s="2"/>
      <c r="M250" s="1"/>
      <c r="N250" s="1"/>
      <c r="O250" s="1"/>
    </row>
    <row r="251">
      <c r="K251" s="1"/>
      <c r="L251" s="2"/>
      <c r="M251" s="1"/>
      <c r="N251" s="1"/>
      <c r="O251" s="1"/>
    </row>
    <row r="252">
      <c r="K252" s="1"/>
      <c r="L252" s="2"/>
      <c r="M252" s="1"/>
      <c r="N252" s="1"/>
      <c r="O252" s="1"/>
    </row>
    <row r="253">
      <c r="K253" s="1"/>
      <c r="L253" s="2"/>
      <c r="M253" s="1"/>
      <c r="N253" s="1"/>
      <c r="O253" s="1"/>
    </row>
    <row r="254">
      <c r="K254" s="1"/>
      <c r="L254" s="2"/>
      <c r="M254" s="1"/>
      <c r="N254" s="1"/>
      <c r="O254" s="1"/>
    </row>
    <row r="255">
      <c r="K255" s="1"/>
      <c r="L255" s="2"/>
      <c r="M255" s="1"/>
      <c r="N255" s="1"/>
      <c r="O255" s="1"/>
    </row>
    <row r="256">
      <c r="K256" s="1"/>
      <c r="L256" s="2"/>
      <c r="M256" s="1"/>
      <c r="N256" s="1"/>
      <c r="O256" s="1"/>
    </row>
    <row r="257">
      <c r="K257" s="1"/>
      <c r="L257" s="2"/>
      <c r="M257" s="1"/>
      <c r="N257" s="1"/>
      <c r="O257" s="1"/>
    </row>
    <row r="258">
      <c r="K258" s="1"/>
      <c r="L258" s="2"/>
      <c r="M258" s="1"/>
      <c r="N258" s="1"/>
      <c r="O258" s="1"/>
    </row>
    <row r="259">
      <c r="K259" s="1"/>
      <c r="L259" s="2"/>
      <c r="M259" s="1"/>
      <c r="N259" s="1"/>
      <c r="O259" s="1"/>
    </row>
    <row r="260">
      <c r="K260" s="1"/>
      <c r="L260" s="2"/>
      <c r="M260" s="1"/>
      <c r="N260" s="1"/>
      <c r="O260" s="1"/>
    </row>
    <row r="261">
      <c r="K261" s="1"/>
      <c r="L261" s="2"/>
      <c r="M261" s="1"/>
      <c r="N261" s="1"/>
      <c r="O261" s="1"/>
    </row>
    <row r="262">
      <c r="K262" s="1"/>
      <c r="L262" s="2"/>
      <c r="M262" s="1"/>
      <c r="N262" s="1"/>
      <c r="O262" s="1"/>
    </row>
    <row r="263">
      <c r="K263" s="1"/>
      <c r="L263" s="2"/>
      <c r="M263" s="1"/>
      <c r="N263" s="1"/>
      <c r="O263" s="1"/>
    </row>
    <row r="264">
      <c r="K264" s="1"/>
      <c r="L264" s="2"/>
      <c r="M264" s="1"/>
      <c r="N264" s="1"/>
      <c r="O264" s="1"/>
    </row>
    <row r="265">
      <c r="K265" s="1"/>
      <c r="L265" s="2"/>
      <c r="M265" s="1"/>
      <c r="N265" s="1"/>
      <c r="O265" s="1"/>
    </row>
    <row r="266">
      <c r="K266" s="1"/>
      <c r="L266" s="2"/>
      <c r="M266" s="1"/>
      <c r="N266" s="1"/>
      <c r="O266" s="1"/>
    </row>
    <row r="267">
      <c r="K267" s="1"/>
      <c r="L267" s="2"/>
      <c r="M267" s="1"/>
      <c r="N267" s="1"/>
      <c r="O267" s="1"/>
    </row>
    <row r="268">
      <c r="K268" s="1"/>
      <c r="L268" s="2"/>
      <c r="M268" s="1"/>
      <c r="N268" s="1"/>
      <c r="O268" s="1"/>
    </row>
    <row r="269">
      <c r="K269" s="1"/>
      <c r="L269" s="2"/>
      <c r="M269" s="1"/>
      <c r="N269" s="1"/>
      <c r="O269" s="1"/>
    </row>
    <row r="270">
      <c r="K270" s="1"/>
      <c r="L270" s="2"/>
      <c r="M270" s="1"/>
      <c r="N270" s="1"/>
      <c r="O270" s="1"/>
    </row>
    <row r="271">
      <c r="K271" s="1"/>
      <c r="L271" s="2"/>
      <c r="M271" s="1"/>
      <c r="N271" s="1"/>
      <c r="O271" s="1"/>
    </row>
    <row r="272">
      <c r="K272" s="1"/>
      <c r="L272" s="2"/>
      <c r="M272" s="1"/>
      <c r="N272" s="1"/>
      <c r="O272" s="1"/>
    </row>
    <row r="273">
      <c r="K273" s="1"/>
      <c r="L273" s="2"/>
      <c r="M273" s="1"/>
      <c r="N273" s="1"/>
      <c r="O273" s="1"/>
    </row>
    <row r="274">
      <c r="K274" s="1"/>
      <c r="L274" s="2"/>
      <c r="M274" s="1"/>
      <c r="N274" s="1"/>
      <c r="O274" s="1"/>
    </row>
    <row r="275">
      <c r="K275" s="1"/>
      <c r="L275" s="2"/>
      <c r="M275" s="1"/>
      <c r="N275" s="1"/>
      <c r="O275" s="1"/>
    </row>
    <row r="276">
      <c r="K276" s="1"/>
      <c r="L276" s="2"/>
      <c r="M276" s="1"/>
      <c r="N276" s="1"/>
      <c r="O276" s="1"/>
    </row>
    <row r="277">
      <c r="K277" s="1"/>
      <c r="L277" s="2"/>
      <c r="M277" s="1"/>
      <c r="N277" s="1"/>
      <c r="O277" s="1"/>
    </row>
    <row r="278">
      <c r="K278" s="1"/>
      <c r="L278" s="2"/>
      <c r="M278" s="1"/>
      <c r="N278" s="1"/>
      <c r="O278" s="1"/>
    </row>
    <row r="279">
      <c r="K279" s="1"/>
      <c r="L279" s="2"/>
      <c r="M279" s="1"/>
      <c r="N279" s="1"/>
      <c r="O279" s="1"/>
    </row>
    <row r="280">
      <c r="K280" s="1"/>
      <c r="L280" s="2"/>
      <c r="M280" s="1"/>
      <c r="N280" s="1"/>
      <c r="O280" s="1"/>
    </row>
    <row r="281">
      <c r="K281" s="1"/>
      <c r="L281" s="2"/>
      <c r="M281" s="1"/>
      <c r="N281" s="1"/>
      <c r="O281" s="1"/>
    </row>
    <row r="282">
      <c r="K282" s="1"/>
      <c r="L282" s="2"/>
      <c r="M282" s="1"/>
      <c r="N282" s="1"/>
      <c r="O282" s="1"/>
    </row>
    <row r="283">
      <c r="K283" s="1"/>
      <c r="L283" s="2"/>
      <c r="M283" s="1"/>
      <c r="N283" s="1"/>
      <c r="O283" s="1"/>
    </row>
    <row r="284">
      <c r="K284" s="1"/>
      <c r="L284" s="2"/>
      <c r="M284" s="1"/>
      <c r="N284" s="1"/>
      <c r="O284" s="1"/>
    </row>
    <row r="285">
      <c r="K285" s="1"/>
      <c r="L285" s="2"/>
      <c r="M285" s="1"/>
      <c r="N285" s="1"/>
      <c r="O285" s="1"/>
    </row>
    <row r="286">
      <c r="K286" s="1"/>
      <c r="L286" s="2"/>
      <c r="M286" s="1"/>
      <c r="N286" s="1"/>
      <c r="O286" s="1"/>
    </row>
    <row r="287">
      <c r="K287" s="1"/>
      <c r="L287" s="2"/>
      <c r="M287" s="1"/>
      <c r="N287" s="1"/>
      <c r="O287" s="1"/>
    </row>
    <row r="288">
      <c r="K288" s="1"/>
      <c r="L288" s="2"/>
      <c r="M288" s="1"/>
      <c r="N288" s="1"/>
      <c r="O288" s="1"/>
    </row>
    <row r="289">
      <c r="K289" s="1"/>
      <c r="L289" s="2"/>
      <c r="M289" s="1"/>
      <c r="N289" s="1"/>
      <c r="O289" s="1"/>
    </row>
    <row r="290">
      <c r="K290" s="1"/>
      <c r="L290" s="2"/>
      <c r="M290" s="1"/>
      <c r="N290" s="1"/>
      <c r="O290" s="1"/>
    </row>
    <row r="291">
      <c r="K291" s="1"/>
      <c r="L291" s="2"/>
      <c r="M291" s="1"/>
      <c r="N291" s="1"/>
      <c r="O291" s="1"/>
    </row>
    <row r="292">
      <c r="K292" s="1"/>
      <c r="L292" s="2"/>
      <c r="M292" s="1"/>
      <c r="N292" s="1"/>
      <c r="O292" s="1"/>
    </row>
    <row r="293">
      <c r="K293" s="1"/>
      <c r="L293" s="2"/>
      <c r="M293" s="1"/>
      <c r="N293" s="1"/>
      <c r="O293" s="1"/>
    </row>
    <row r="294">
      <c r="K294" s="1"/>
      <c r="L294" s="2"/>
      <c r="M294" s="1"/>
      <c r="N294" s="1"/>
      <c r="O294" s="1"/>
    </row>
    <row r="295">
      <c r="K295" s="1"/>
      <c r="L295" s="2"/>
      <c r="M295" s="1"/>
      <c r="N295" s="1"/>
      <c r="O295" s="1"/>
    </row>
    <row r="296">
      <c r="K296" s="1"/>
      <c r="L296" s="2"/>
      <c r="M296" s="1"/>
      <c r="N296" s="1"/>
      <c r="O296" s="1"/>
    </row>
    <row r="297">
      <c r="K297" s="1"/>
      <c r="L297" s="2"/>
      <c r="M297" s="1"/>
      <c r="N297" s="1"/>
      <c r="O297" s="1"/>
    </row>
    <row r="298">
      <c r="K298" s="1"/>
      <c r="L298" s="2"/>
      <c r="M298" s="1"/>
      <c r="N298" s="1"/>
      <c r="O298" s="1"/>
    </row>
    <row r="299">
      <c r="K299" s="1"/>
      <c r="L299" s="2"/>
      <c r="M299" s="1"/>
      <c r="N299" s="1"/>
      <c r="O299" s="1"/>
    </row>
    <row r="300">
      <c r="K300" s="1"/>
      <c r="L300" s="2"/>
      <c r="M300" s="1"/>
      <c r="N300" s="1"/>
      <c r="O300" s="1"/>
    </row>
    <row r="301">
      <c r="K301" s="1"/>
      <c r="L301" s="2"/>
      <c r="M301" s="1"/>
      <c r="N301" s="1"/>
      <c r="O301" s="1"/>
    </row>
    <row r="302">
      <c r="K302" s="1"/>
      <c r="L302" s="2"/>
      <c r="M302" s="1"/>
      <c r="N302" s="1"/>
      <c r="O302" s="1"/>
    </row>
    <row r="303">
      <c r="K303" s="1"/>
      <c r="L303" s="2"/>
      <c r="M303" s="1"/>
      <c r="N303" s="1"/>
      <c r="O303" s="1"/>
    </row>
    <row r="304">
      <c r="K304" s="1"/>
      <c r="L304" s="2"/>
      <c r="M304" s="1"/>
      <c r="N304" s="1"/>
      <c r="O304" s="1"/>
    </row>
    <row r="305">
      <c r="K305" s="1"/>
      <c r="L305" s="2"/>
      <c r="M305" s="1"/>
      <c r="N305" s="1"/>
      <c r="O305" s="1"/>
    </row>
    <row r="306">
      <c r="K306" s="1"/>
      <c r="L306" s="2"/>
      <c r="M306" s="1"/>
      <c r="N306" s="1"/>
      <c r="O306" s="1"/>
    </row>
    <row r="307">
      <c r="K307" s="1"/>
      <c r="L307" s="2"/>
      <c r="M307" s="1"/>
      <c r="N307" s="1"/>
      <c r="O307" s="1"/>
    </row>
    <row r="308">
      <c r="K308" s="1"/>
      <c r="L308" s="2"/>
      <c r="M308" s="1"/>
      <c r="N308" s="1"/>
      <c r="O308" s="1"/>
    </row>
    <row r="309">
      <c r="K309" s="1"/>
      <c r="L309" s="2"/>
      <c r="M309" s="1"/>
      <c r="N309" s="1"/>
      <c r="O309" s="1"/>
    </row>
    <row r="310">
      <c r="K310" s="1"/>
      <c r="L310" s="2"/>
      <c r="M310" s="1"/>
      <c r="N310" s="1"/>
      <c r="O310" s="1"/>
    </row>
    <row r="311">
      <c r="K311" s="1"/>
      <c r="L311" s="2"/>
      <c r="M311" s="1"/>
      <c r="N311" s="1"/>
      <c r="O311" s="1"/>
    </row>
    <row r="312">
      <c r="K312" s="1"/>
      <c r="L312" s="2"/>
      <c r="M312" s="1"/>
      <c r="N312" s="1"/>
      <c r="O312" s="1"/>
    </row>
    <row r="313">
      <c r="K313" s="1"/>
      <c r="L313" s="2"/>
      <c r="M313" s="1"/>
      <c r="N313" s="1"/>
      <c r="O313" s="1"/>
    </row>
    <row r="314">
      <c r="K314" s="1"/>
      <c r="L314" s="2"/>
      <c r="M314" s="1"/>
      <c r="N314" s="1"/>
      <c r="O314" s="1"/>
    </row>
    <row r="315">
      <c r="K315" s="1"/>
      <c r="L315" s="2"/>
      <c r="M315" s="1"/>
      <c r="N315" s="1"/>
      <c r="O315" s="1"/>
    </row>
    <row r="316">
      <c r="K316" s="1"/>
      <c r="L316" s="2"/>
      <c r="M316" s="1"/>
      <c r="N316" s="1"/>
      <c r="O316" s="1"/>
    </row>
    <row r="317">
      <c r="K317" s="1"/>
      <c r="L317" s="2"/>
      <c r="M317" s="1"/>
      <c r="N317" s="1"/>
      <c r="O317" s="1"/>
    </row>
    <row r="318">
      <c r="K318" s="1"/>
      <c r="L318" s="2"/>
      <c r="M318" s="1"/>
      <c r="N318" s="1"/>
      <c r="O318" s="1"/>
    </row>
    <row r="319">
      <c r="K319" s="1"/>
      <c r="L319" s="2"/>
      <c r="M319" s="1"/>
      <c r="N319" s="1"/>
      <c r="O319" s="1"/>
    </row>
    <row r="320">
      <c r="K320" s="1"/>
      <c r="L320" s="2"/>
      <c r="M320" s="1"/>
      <c r="N320" s="1"/>
      <c r="O320" s="1"/>
    </row>
    <row r="321">
      <c r="K321" s="1"/>
      <c r="L321" s="2"/>
      <c r="M321" s="1"/>
      <c r="N321" s="1"/>
      <c r="O321" s="1"/>
    </row>
    <row r="322">
      <c r="K322" s="1"/>
      <c r="L322" s="2"/>
      <c r="M322" s="1"/>
      <c r="N322" s="1"/>
      <c r="O322" s="1"/>
    </row>
    <row r="323">
      <c r="K323" s="1"/>
      <c r="L323" s="2"/>
      <c r="M323" s="1"/>
      <c r="N323" s="1"/>
      <c r="O323" s="1"/>
    </row>
    <row r="324">
      <c r="K324" s="1"/>
      <c r="L324" s="2"/>
      <c r="M324" s="1"/>
      <c r="N324" s="1"/>
      <c r="O324" s="1"/>
    </row>
    <row r="325">
      <c r="K325" s="1"/>
      <c r="L325" s="2"/>
      <c r="M325" s="1"/>
      <c r="N325" s="1"/>
      <c r="O325" s="1"/>
    </row>
    <row r="326">
      <c r="K326" s="1"/>
      <c r="L326" s="2"/>
      <c r="M326" s="1"/>
      <c r="N326" s="1"/>
      <c r="O326" s="1"/>
    </row>
    <row r="327">
      <c r="K327" s="1"/>
      <c r="L327" s="2"/>
      <c r="M327" s="1"/>
      <c r="N327" s="1"/>
      <c r="O327" s="1"/>
    </row>
    <row r="328">
      <c r="K328" s="1"/>
      <c r="L328" s="2"/>
      <c r="M328" s="1"/>
      <c r="N328" s="1"/>
      <c r="O328" s="1"/>
    </row>
    <row r="329">
      <c r="K329" s="1"/>
      <c r="L329" s="2"/>
      <c r="M329" s="1"/>
      <c r="N329" s="1"/>
      <c r="O329" s="1"/>
    </row>
    <row r="330">
      <c r="K330" s="1"/>
      <c r="L330" s="2"/>
      <c r="M330" s="1"/>
      <c r="N330" s="1"/>
      <c r="O330" s="1"/>
    </row>
    <row r="331">
      <c r="K331" s="1"/>
      <c r="L331" s="2"/>
      <c r="M331" s="1"/>
      <c r="N331" s="1"/>
      <c r="O331" s="1"/>
    </row>
    <row r="332">
      <c r="K332" s="1"/>
      <c r="L332" s="2"/>
      <c r="M332" s="1"/>
      <c r="N332" s="1"/>
      <c r="O332" s="1"/>
    </row>
    <row r="333">
      <c r="K333" s="1"/>
      <c r="L333" s="2"/>
      <c r="M333" s="1"/>
      <c r="N333" s="1"/>
      <c r="O333" s="1"/>
    </row>
    <row r="334">
      <c r="K334" s="1"/>
      <c r="L334" s="2"/>
      <c r="M334" s="1"/>
      <c r="N334" s="1"/>
      <c r="O334" s="1"/>
    </row>
    <row r="335">
      <c r="K335" s="1"/>
      <c r="L335" s="2"/>
      <c r="M335" s="1"/>
      <c r="N335" s="1"/>
      <c r="O335" s="1"/>
    </row>
    <row r="336">
      <c r="K336" s="1"/>
      <c r="L336" s="2"/>
      <c r="M336" s="1"/>
      <c r="N336" s="1"/>
      <c r="O336" s="1"/>
    </row>
    <row r="337">
      <c r="K337" s="1"/>
      <c r="L337" s="2"/>
      <c r="M337" s="1"/>
      <c r="N337" s="1"/>
      <c r="O337" s="1"/>
    </row>
    <row r="338">
      <c r="K338" s="1"/>
      <c r="L338" s="2"/>
      <c r="M338" s="1"/>
      <c r="N338" s="1"/>
      <c r="O338" s="1"/>
    </row>
    <row r="339">
      <c r="K339" s="1"/>
      <c r="L339" s="2"/>
      <c r="M339" s="1"/>
      <c r="N339" s="1"/>
      <c r="O339" s="1"/>
    </row>
    <row r="340">
      <c r="K340" s="1"/>
      <c r="L340" s="2"/>
      <c r="M340" s="1"/>
      <c r="N340" s="1"/>
      <c r="O340" s="1"/>
    </row>
    <row r="341">
      <c r="K341" s="1"/>
      <c r="L341" s="2"/>
      <c r="M341" s="1"/>
      <c r="N341" s="1"/>
      <c r="O341" s="1"/>
    </row>
    <row r="342">
      <c r="K342" s="1"/>
      <c r="L342" s="2"/>
      <c r="M342" s="1"/>
      <c r="N342" s="1"/>
      <c r="O342" s="1"/>
    </row>
    <row r="343">
      <c r="K343" s="1"/>
      <c r="L343" s="2"/>
      <c r="M343" s="1"/>
      <c r="N343" s="1"/>
      <c r="O343" s="1"/>
    </row>
    <row r="344">
      <c r="K344" s="1"/>
      <c r="L344" s="2"/>
      <c r="M344" s="1"/>
      <c r="N344" s="1"/>
      <c r="O344" s="1"/>
    </row>
    <row r="345">
      <c r="K345" s="1"/>
      <c r="L345" s="2"/>
      <c r="M345" s="1"/>
      <c r="N345" s="1"/>
      <c r="O345" s="1"/>
    </row>
    <row r="346">
      <c r="K346" s="1"/>
      <c r="L346" s="2"/>
      <c r="M346" s="1"/>
      <c r="N346" s="1"/>
      <c r="O346" s="1"/>
    </row>
    <row r="347">
      <c r="K347" s="1"/>
      <c r="L347" s="2"/>
      <c r="M347" s="1"/>
      <c r="N347" s="1"/>
      <c r="O347" s="1"/>
    </row>
    <row r="348">
      <c r="K348" s="1"/>
      <c r="L348" s="2"/>
      <c r="M348" s="1"/>
      <c r="N348" s="1"/>
      <c r="O348" s="1"/>
    </row>
    <row r="349">
      <c r="K349" s="1"/>
      <c r="L349" s="2"/>
      <c r="M349" s="1"/>
      <c r="N349" s="1"/>
      <c r="O349" s="1"/>
    </row>
    <row r="350">
      <c r="K350" s="1"/>
      <c r="L350" s="2"/>
      <c r="M350" s="1"/>
      <c r="N350" s="1"/>
      <c r="O350" s="1"/>
    </row>
    <row r="351">
      <c r="K351" s="1"/>
      <c r="L351" s="2"/>
      <c r="M351" s="1"/>
      <c r="N351" s="1"/>
      <c r="O351" s="1"/>
    </row>
    <row r="352">
      <c r="K352" s="1"/>
      <c r="L352" s="2"/>
      <c r="M352" s="1"/>
      <c r="N352" s="1"/>
      <c r="O352" s="1"/>
    </row>
    <row r="353">
      <c r="K353" s="1"/>
      <c r="L353" s="2"/>
      <c r="M353" s="1"/>
      <c r="N353" s="1"/>
      <c r="O353" s="1"/>
    </row>
    <row r="354">
      <c r="K354" s="1"/>
      <c r="L354" s="2"/>
      <c r="M354" s="1"/>
      <c r="N354" s="1"/>
      <c r="O354" s="1"/>
    </row>
    <row r="355">
      <c r="K355" s="1"/>
      <c r="L355" s="2"/>
      <c r="M355" s="1"/>
      <c r="N355" s="1"/>
      <c r="O355" s="1"/>
    </row>
    <row r="356">
      <c r="K356" s="1"/>
      <c r="L356" s="2"/>
      <c r="M356" s="1"/>
      <c r="N356" s="1"/>
      <c r="O356" s="1"/>
    </row>
    <row r="357">
      <c r="K357" s="1"/>
      <c r="L357" s="2"/>
      <c r="M357" s="1"/>
      <c r="N357" s="1"/>
      <c r="O357" s="1"/>
    </row>
    <row r="358">
      <c r="K358" s="1"/>
      <c r="L358" s="2"/>
      <c r="M358" s="1"/>
      <c r="N358" s="1"/>
      <c r="O358" s="1"/>
    </row>
    <row r="359">
      <c r="K359" s="1"/>
      <c r="L359" s="2"/>
      <c r="M359" s="1"/>
      <c r="N359" s="1"/>
      <c r="O359" s="1"/>
    </row>
    <row r="360">
      <c r="K360" s="1"/>
      <c r="L360" s="2"/>
      <c r="M360" s="1"/>
      <c r="N360" s="1"/>
      <c r="O360" s="1"/>
    </row>
    <row r="361">
      <c r="K361" s="1"/>
      <c r="L361" s="2"/>
      <c r="M361" s="1"/>
      <c r="N361" s="1"/>
      <c r="O361" s="1"/>
    </row>
    <row r="362">
      <c r="K362" s="1"/>
      <c r="L362" s="2"/>
      <c r="M362" s="1"/>
      <c r="N362" s="1"/>
      <c r="O362" s="1"/>
    </row>
    <row r="363">
      <c r="K363" s="1"/>
      <c r="L363" s="2"/>
      <c r="M363" s="1"/>
      <c r="N363" s="1"/>
      <c r="O363" s="1"/>
    </row>
    <row r="364">
      <c r="K364" s="1"/>
      <c r="L364" s="2"/>
      <c r="M364" s="1"/>
      <c r="N364" s="1"/>
      <c r="O364" s="1"/>
    </row>
    <row r="365">
      <c r="K365" s="1"/>
      <c r="L365" s="2"/>
      <c r="M365" s="1"/>
      <c r="N365" s="1"/>
      <c r="O365" s="1"/>
    </row>
    <row r="366">
      <c r="K366" s="1"/>
      <c r="L366" s="2"/>
      <c r="M366" s="1"/>
      <c r="N366" s="1"/>
      <c r="O366" s="1"/>
    </row>
    <row r="367">
      <c r="K367" s="1"/>
      <c r="L367" s="2"/>
      <c r="M367" s="1"/>
      <c r="N367" s="1"/>
      <c r="O367" s="1"/>
    </row>
    <row r="368">
      <c r="K368" s="1"/>
      <c r="L368" s="2"/>
      <c r="M368" s="1"/>
      <c r="N368" s="1"/>
      <c r="O368" s="1"/>
    </row>
    <row r="369">
      <c r="K369" s="1"/>
      <c r="L369" s="2"/>
      <c r="M369" s="1"/>
      <c r="N369" s="1"/>
      <c r="O369" s="1"/>
    </row>
    <row r="370">
      <c r="K370" s="1"/>
      <c r="L370" s="2"/>
      <c r="M370" s="1"/>
      <c r="N370" s="1"/>
      <c r="O370" s="1"/>
    </row>
    <row r="371">
      <c r="K371" s="1"/>
      <c r="L371" s="2"/>
      <c r="M371" s="1"/>
      <c r="N371" s="1"/>
      <c r="O371" s="1"/>
    </row>
    <row r="372">
      <c r="K372" s="1"/>
      <c r="L372" s="2"/>
      <c r="M372" s="1"/>
      <c r="N372" s="1"/>
      <c r="O372" s="1"/>
    </row>
    <row r="373">
      <c r="K373" s="1"/>
      <c r="L373" s="2"/>
      <c r="M373" s="1"/>
      <c r="N373" s="1"/>
      <c r="O373" s="1"/>
    </row>
    <row r="374">
      <c r="K374" s="1"/>
      <c r="L374" s="2"/>
      <c r="M374" s="1"/>
      <c r="N374" s="1"/>
      <c r="O374" s="1"/>
    </row>
    <row r="375">
      <c r="K375" s="1"/>
      <c r="L375" s="2"/>
      <c r="M375" s="1"/>
      <c r="N375" s="1"/>
      <c r="O375" s="1"/>
    </row>
    <row r="376">
      <c r="K376" s="1"/>
      <c r="L376" s="2"/>
      <c r="M376" s="1"/>
      <c r="N376" s="1"/>
      <c r="O376" s="1"/>
    </row>
    <row r="377">
      <c r="K377" s="1"/>
      <c r="L377" s="2"/>
      <c r="M377" s="1"/>
      <c r="N377" s="1"/>
      <c r="O377" s="1"/>
    </row>
    <row r="378">
      <c r="K378" s="1"/>
      <c r="L378" s="2"/>
      <c r="M378" s="1"/>
      <c r="N378" s="1"/>
      <c r="O378" s="1"/>
    </row>
    <row r="379">
      <c r="K379" s="1"/>
      <c r="L379" s="2"/>
      <c r="M379" s="1"/>
      <c r="N379" s="1"/>
      <c r="O379" s="1"/>
    </row>
    <row r="380">
      <c r="K380" s="1"/>
      <c r="L380" s="2"/>
      <c r="M380" s="1"/>
      <c r="N380" s="1"/>
      <c r="O380" s="1"/>
    </row>
    <row r="381">
      <c r="K381" s="1"/>
      <c r="L381" s="2"/>
      <c r="M381" s="1"/>
      <c r="N381" s="1"/>
      <c r="O381" s="1"/>
    </row>
    <row r="382">
      <c r="K382" s="1"/>
      <c r="L382" s="2"/>
      <c r="M382" s="1"/>
      <c r="N382" s="1"/>
      <c r="O382" s="1"/>
    </row>
    <row r="383">
      <c r="K383" s="1"/>
      <c r="L383" s="2"/>
      <c r="M383" s="1"/>
      <c r="N383" s="1"/>
      <c r="O383" s="1"/>
    </row>
    <row r="384">
      <c r="K384" s="1"/>
      <c r="L384" s="2"/>
      <c r="M384" s="1"/>
      <c r="N384" s="1"/>
      <c r="O384" s="1"/>
    </row>
    <row r="385">
      <c r="K385" s="1"/>
      <c r="L385" s="2"/>
      <c r="M385" s="1"/>
      <c r="N385" s="1"/>
      <c r="O385" s="1"/>
    </row>
    <row r="386">
      <c r="K386" s="1"/>
      <c r="L386" s="2"/>
      <c r="M386" s="1"/>
      <c r="N386" s="1"/>
      <c r="O386" s="1"/>
    </row>
    <row r="387">
      <c r="K387" s="1"/>
      <c r="L387" s="2"/>
      <c r="M387" s="1"/>
      <c r="N387" s="1"/>
      <c r="O387" s="1"/>
    </row>
    <row r="388">
      <c r="K388" s="1"/>
      <c r="L388" s="2"/>
      <c r="M388" s="1"/>
      <c r="N388" s="1"/>
      <c r="O388" s="1"/>
    </row>
    <row r="389">
      <c r="K389" s="1"/>
      <c r="L389" s="2"/>
      <c r="M389" s="1"/>
      <c r="N389" s="1"/>
      <c r="O389" s="1"/>
    </row>
    <row r="390">
      <c r="K390" s="1"/>
      <c r="L390" s="2"/>
      <c r="M390" s="1"/>
      <c r="N390" s="1"/>
      <c r="O390" s="1"/>
    </row>
    <row r="391">
      <c r="K391" s="1"/>
      <c r="L391" s="2"/>
      <c r="M391" s="1"/>
      <c r="N391" s="1"/>
      <c r="O391" s="1"/>
    </row>
    <row r="392">
      <c r="K392" s="1"/>
      <c r="L392" s="2"/>
      <c r="M392" s="1"/>
      <c r="N392" s="1"/>
      <c r="O392" s="1"/>
    </row>
    <row r="393">
      <c r="K393" s="1"/>
      <c r="L393" s="2"/>
      <c r="M393" s="1"/>
      <c r="N393" s="1"/>
      <c r="O393" s="1"/>
    </row>
    <row r="394">
      <c r="K394" s="1"/>
      <c r="L394" s="2"/>
      <c r="M394" s="1"/>
      <c r="N394" s="1"/>
      <c r="O394" s="1"/>
    </row>
    <row r="395">
      <c r="K395" s="1"/>
      <c r="L395" s="2"/>
      <c r="M395" s="1"/>
      <c r="N395" s="1"/>
      <c r="O395" s="1"/>
    </row>
    <row r="396">
      <c r="K396" s="1"/>
      <c r="L396" s="2"/>
      <c r="M396" s="1"/>
      <c r="N396" s="1"/>
      <c r="O396" s="1"/>
    </row>
    <row r="397">
      <c r="K397" s="1"/>
      <c r="L397" s="2"/>
      <c r="M397" s="1"/>
      <c r="N397" s="1"/>
      <c r="O397" s="1"/>
    </row>
    <row r="398">
      <c r="K398" s="1"/>
      <c r="L398" s="2"/>
      <c r="M398" s="1"/>
      <c r="N398" s="1"/>
      <c r="O398" s="1"/>
    </row>
    <row r="399">
      <c r="K399" s="1"/>
      <c r="L399" s="2"/>
      <c r="M399" s="1"/>
      <c r="N399" s="1"/>
      <c r="O399" s="1"/>
    </row>
    <row r="400">
      <c r="K400" s="1"/>
      <c r="L400" s="2"/>
      <c r="M400" s="1"/>
      <c r="N400" s="1"/>
      <c r="O400" s="1"/>
    </row>
    <row r="401">
      <c r="K401" s="1"/>
      <c r="L401" s="2"/>
      <c r="M401" s="1"/>
      <c r="N401" s="1"/>
      <c r="O401" s="1"/>
    </row>
    <row r="402">
      <c r="K402" s="1"/>
      <c r="L402" s="2"/>
      <c r="M402" s="1"/>
      <c r="N402" s="1"/>
      <c r="O402" s="1"/>
    </row>
    <row r="403">
      <c r="K403" s="1"/>
      <c r="L403" s="2"/>
      <c r="M403" s="1"/>
      <c r="N403" s="1"/>
      <c r="O403" s="1"/>
    </row>
    <row r="404">
      <c r="K404" s="1"/>
      <c r="L404" s="2"/>
      <c r="M404" s="1"/>
      <c r="N404" s="1"/>
      <c r="O404" s="1"/>
    </row>
    <row r="405">
      <c r="K405" s="1"/>
      <c r="L405" s="2"/>
      <c r="M405" s="1"/>
      <c r="N405" s="1"/>
      <c r="O405" s="1"/>
    </row>
    <row r="406">
      <c r="K406" s="1"/>
      <c r="L406" s="2"/>
      <c r="M406" s="1"/>
      <c r="N406" s="1"/>
      <c r="O406" s="1"/>
    </row>
    <row r="407">
      <c r="K407" s="1"/>
      <c r="L407" s="2"/>
      <c r="M407" s="1"/>
      <c r="N407" s="1"/>
      <c r="O407" s="1"/>
    </row>
    <row r="408">
      <c r="K408" s="1"/>
      <c r="L408" s="2"/>
      <c r="M408" s="1"/>
      <c r="N408" s="1"/>
      <c r="O408" s="1"/>
    </row>
    <row r="409">
      <c r="K409" s="1"/>
      <c r="L409" s="2"/>
      <c r="M409" s="1"/>
      <c r="N409" s="1"/>
      <c r="O409" s="1"/>
    </row>
    <row r="410">
      <c r="K410" s="1"/>
      <c r="L410" s="2"/>
      <c r="M410" s="1"/>
      <c r="N410" s="1"/>
      <c r="O410" s="1"/>
    </row>
    <row r="411">
      <c r="K411" s="1"/>
      <c r="L411" s="2"/>
      <c r="M411" s="1"/>
      <c r="N411" s="1"/>
      <c r="O411" s="1"/>
    </row>
    <row r="412">
      <c r="K412" s="1"/>
      <c r="L412" s="2"/>
      <c r="M412" s="1"/>
      <c r="N412" s="1"/>
      <c r="O412" s="1"/>
    </row>
    <row r="413">
      <c r="K413" s="1"/>
      <c r="L413" s="2"/>
      <c r="M413" s="1"/>
      <c r="N413" s="1"/>
      <c r="O413" s="1"/>
    </row>
    <row r="414">
      <c r="K414" s="1"/>
      <c r="L414" s="2"/>
      <c r="M414" s="1"/>
      <c r="N414" s="1"/>
      <c r="O414" s="1"/>
    </row>
    <row r="415">
      <c r="K415" s="1"/>
      <c r="L415" s="2"/>
      <c r="M415" s="1"/>
      <c r="N415" s="1"/>
      <c r="O415" s="1"/>
    </row>
    <row r="416">
      <c r="K416" s="1"/>
      <c r="L416" s="2"/>
      <c r="M416" s="1"/>
      <c r="N416" s="1"/>
      <c r="O416" s="1"/>
    </row>
    <row r="417">
      <c r="K417" s="1"/>
      <c r="L417" s="2"/>
      <c r="M417" s="1"/>
      <c r="N417" s="1"/>
      <c r="O417" s="1"/>
    </row>
    <row r="418">
      <c r="K418" s="1"/>
      <c r="L418" s="2"/>
      <c r="M418" s="1"/>
      <c r="N418" s="1"/>
      <c r="O418" s="1"/>
    </row>
    <row r="419">
      <c r="K419" s="1"/>
      <c r="L419" s="2"/>
      <c r="M419" s="1"/>
      <c r="N419" s="1"/>
      <c r="O419" s="1"/>
    </row>
    <row r="420">
      <c r="K420" s="1"/>
      <c r="L420" s="2"/>
      <c r="M420" s="1"/>
      <c r="N420" s="1"/>
      <c r="O420" s="1"/>
    </row>
    <row r="421">
      <c r="K421" s="1"/>
      <c r="L421" s="2"/>
      <c r="M421" s="1"/>
      <c r="N421" s="1"/>
      <c r="O421" s="1"/>
    </row>
    <row r="422">
      <c r="K422" s="1"/>
      <c r="L422" s="2"/>
      <c r="M422" s="1"/>
      <c r="N422" s="1"/>
      <c r="O422" s="1"/>
    </row>
    <row r="423">
      <c r="K423" s="1"/>
      <c r="L423" s="2"/>
      <c r="M423" s="1"/>
      <c r="N423" s="1"/>
      <c r="O423" s="1"/>
    </row>
    <row r="424">
      <c r="K424" s="1"/>
      <c r="L424" s="2"/>
      <c r="M424" s="1"/>
      <c r="N424" s="1"/>
      <c r="O424" s="1"/>
    </row>
    <row r="425">
      <c r="K425" s="1"/>
      <c r="L425" s="2"/>
      <c r="M425" s="1"/>
      <c r="N425" s="1"/>
      <c r="O425" s="1"/>
    </row>
    <row r="426">
      <c r="K426" s="1"/>
      <c r="L426" s="2"/>
      <c r="M426" s="1"/>
      <c r="N426" s="1"/>
      <c r="O426" s="1"/>
    </row>
    <row r="427">
      <c r="K427" s="1"/>
      <c r="L427" s="2"/>
      <c r="M427" s="1"/>
      <c r="N427" s="1"/>
      <c r="O427" s="1"/>
    </row>
    <row r="428">
      <c r="K428" s="1"/>
      <c r="L428" s="2"/>
      <c r="M428" s="1"/>
      <c r="N428" s="1"/>
      <c r="O428" s="1"/>
    </row>
    <row r="429">
      <c r="K429" s="1"/>
      <c r="L429" s="2"/>
      <c r="M429" s="1"/>
      <c r="N429" s="1"/>
      <c r="O429" s="1"/>
    </row>
    <row r="430">
      <c r="K430" s="1"/>
      <c r="L430" s="2"/>
      <c r="M430" s="1"/>
      <c r="N430" s="1"/>
      <c r="O430" s="1"/>
    </row>
    <row r="431">
      <c r="K431" s="1"/>
      <c r="L431" s="2"/>
      <c r="M431" s="1"/>
      <c r="N431" s="1"/>
      <c r="O431" s="1"/>
    </row>
    <row r="432">
      <c r="K432" s="1"/>
      <c r="L432" s="2"/>
      <c r="M432" s="1"/>
      <c r="N432" s="1"/>
      <c r="O432" s="1"/>
    </row>
    <row r="433">
      <c r="K433" s="1"/>
      <c r="L433" s="2"/>
      <c r="M433" s="1"/>
      <c r="N433" s="1"/>
      <c r="O433" s="1"/>
    </row>
    <row r="434">
      <c r="K434" s="1"/>
      <c r="L434" s="2"/>
      <c r="M434" s="1"/>
      <c r="N434" s="1"/>
      <c r="O434" s="1"/>
    </row>
    <row r="435">
      <c r="K435" s="1"/>
      <c r="L435" s="2"/>
      <c r="M435" s="1"/>
      <c r="N435" s="1"/>
      <c r="O435" s="1"/>
    </row>
    <row r="436">
      <c r="K436" s="1"/>
      <c r="L436" s="2"/>
      <c r="M436" s="1"/>
      <c r="N436" s="1"/>
      <c r="O436" s="1"/>
    </row>
    <row r="437">
      <c r="K437" s="1"/>
      <c r="L437" s="2"/>
      <c r="M437" s="1"/>
      <c r="N437" s="1"/>
      <c r="O437" s="1"/>
    </row>
    <row r="438">
      <c r="K438" s="1"/>
      <c r="L438" s="2"/>
      <c r="M438" s="1"/>
      <c r="N438" s="1"/>
      <c r="O438" s="1"/>
    </row>
    <row r="439">
      <c r="K439" s="1"/>
      <c r="L439" s="2"/>
      <c r="M439" s="1"/>
      <c r="N439" s="1"/>
      <c r="O439" s="1"/>
    </row>
    <row r="440">
      <c r="K440" s="1"/>
      <c r="L440" s="2"/>
      <c r="M440" s="1"/>
      <c r="N440" s="1"/>
      <c r="O440" s="1"/>
    </row>
    <row r="441">
      <c r="K441" s="1"/>
      <c r="L441" s="2"/>
      <c r="M441" s="1"/>
      <c r="N441" s="1"/>
      <c r="O441" s="1"/>
    </row>
    <row r="442">
      <c r="K442" s="1"/>
      <c r="L442" s="2"/>
      <c r="M442" s="1"/>
      <c r="N442" s="1"/>
      <c r="O442" s="1"/>
    </row>
    <row r="443">
      <c r="K443" s="1"/>
      <c r="L443" s="2"/>
      <c r="M443" s="1"/>
      <c r="N443" s="1"/>
      <c r="O443" s="1"/>
    </row>
    <row r="444">
      <c r="K444" s="1"/>
      <c r="L444" s="2"/>
      <c r="M444" s="1"/>
      <c r="N444" s="1"/>
      <c r="O444" s="1"/>
    </row>
    <row r="445">
      <c r="K445" s="1"/>
      <c r="L445" s="2"/>
      <c r="M445" s="1"/>
      <c r="N445" s="1"/>
      <c r="O445" s="1"/>
    </row>
    <row r="446">
      <c r="K446" s="1"/>
      <c r="L446" s="2"/>
      <c r="M446" s="1"/>
      <c r="N446" s="1"/>
      <c r="O446" s="1"/>
    </row>
    <row r="447">
      <c r="K447" s="1"/>
      <c r="L447" s="2"/>
      <c r="M447" s="1"/>
      <c r="N447" s="1"/>
      <c r="O447" s="1"/>
    </row>
    <row r="448">
      <c r="K448" s="1"/>
      <c r="L448" s="2"/>
      <c r="M448" s="1"/>
      <c r="N448" s="1"/>
      <c r="O448" s="1"/>
    </row>
    <row r="449">
      <c r="K449" s="1"/>
      <c r="L449" s="2"/>
      <c r="M449" s="1"/>
      <c r="N449" s="1"/>
      <c r="O449" s="1"/>
    </row>
    <row r="450">
      <c r="K450" s="1"/>
      <c r="L450" s="2"/>
      <c r="M450" s="1"/>
      <c r="N450" s="1"/>
      <c r="O450" s="1"/>
    </row>
    <row r="451">
      <c r="K451" s="1"/>
      <c r="L451" s="2"/>
      <c r="M451" s="1"/>
      <c r="N451" s="1"/>
      <c r="O451" s="1"/>
    </row>
    <row r="452">
      <c r="K452" s="1"/>
      <c r="L452" s="2"/>
      <c r="M452" s="1"/>
      <c r="N452" s="1"/>
      <c r="O452" s="1"/>
    </row>
    <row r="453">
      <c r="K453" s="1"/>
      <c r="L453" s="2"/>
      <c r="M453" s="1"/>
      <c r="N453" s="1"/>
      <c r="O453" s="1"/>
    </row>
    <row r="454">
      <c r="K454" s="1"/>
      <c r="L454" s="2"/>
      <c r="M454" s="1"/>
      <c r="N454" s="1"/>
      <c r="O454" s="1"/>
    </row>
    <row r="455">
      <c r="K455" s="1"/>
      <c r="L455" s="2"/>
      <c r="M455" s="1"/>
      <c r="N455" s="1"/>
      <c r="O455" s="1"/>
    </row>
    <row r="456">
      <c r="K456" s="1"/>
      <c r="L456" s="2"/>
      <c r="M456" s="1"/>
      <c r="N456" s="1"/>
      <c r="O456" s="1"/>
    </row>
    <row r="457">
      <c r="K457" s="1"/>
      <c r="L457" s="2"/>
      <c r="M457" s="1"/>
      <c r="N457" s="1"/>
      <c r="O457" s="1"/>
    </row>
    <row r="458">
      <c r="K458" s="1"/>
      <c r="L458" s="2"/>
      <c r="M458" s="1"/>
      <c r="N458" s="1"/>
      <c r="O458" s="1"/>
    </row>
    <row r="459">
      <c r="K459" s="1"/>
      <c r="L459" s="2"/>
      <c r="M459" s="1"/>
      <c r="N459" s="1"/>
      <c r="O459" s="1"/>
    </row>
    <row r="460">
      <c r="K460" s="1"/>
      <c r="L460" s="2"/>
      <c r="M460" s="1"/>
      <c r="N460" s="1"/>
      <c r="O460" s="1"/>
    </row>
    <row r="461">
      <c r="K461" s="1"/>
      <c r="L461" s="2"/>
      <c r="M461" s="1"/>
      <c r="N461" s="1"/>
      <c r="O461" s="1"/>
    </row>
    <row r="462">
      <c r="K462" s="1"/>
      <c r="L462" s="2"/>
      <c r="M462" s="1"/>
      <c r="N462" s="1"/>
      <c r="O462" s="1"/>
    </row>
    <row r="463">
      <c r="K463" s="1"/>
      <c r="L463" s="2"/>
      <c r="M463" s="1"/>
      <c r="N463" s="1"/>
      <c r="O463" s="1"/>
    </row>
    <row r="464">
      <c r="K464" s="1"/>
      <c r="L464" s="2"/>
      <c r="M464" s="1"/>
      <c r="N464" s="1"/>
      <c r="O464" s="1"/>
    </row>
    <row r="465">
      <c r="K465" s="1"/>
      <c r="L465" s="2"/>
      <c r="M465" s="1"/>
      <c r="N465" s="1"/>
      <c r="O465" s="1"/>
    </row>
    <row r="466">
      <c r="K466" s="1"/>
      <c r="L466" s="2"/>
      <c r="M466" s="1"/>
      <c r="N466" s="1"/>
      <c r="O466" s="1"/>
    </row>
    <row r="467">
      <c r="K467" s="1"/>
      <c r="L467" s="2"/>
      <c r="M467" s="1"/>
      <c r="N467" s="1"/>
      <c r="O467" s="1"/>
    </row>
    <row r="468">
      <c r="K468" s="1"/>
      <c r="L468" s="2"/>
      <c r="M468" s="1"/>
      <c r="N468" s="1"/>
      <c r="O468" s="1"/>
    </row>
    <row r="469">
      <c r="K469" s="1"/>
      <c r="L469" s="2"/>
      <c r="M469" s="1"/>
      <c r="N469" s="1"/>
      <c r="O469" s="1"/>
    </row>
    <row r="470">
      <c r="K470" s="1"/>
      <c r="L470" s="2"/>
      <c r="M470" s="1"/>
      <c r="N470" s="1"/>
      <c r="O470" s="1"/>
    </row>
    <row r="471">
      <c r="K471" s="1"/>
      <c r="L471" s="2"/>
      <c r="M471" s="1"/>
      <c r="N471" s="1"/>
      <c r="O471" s="1"/>
    </row>
    <row r="472">
      <c r="K472" s="1"/>
      <c r="L472" s="2"/>
      <c r="M472" s="1"/>
      <c r="N472" s="1"/>
      <c r="O472" s="1"/>
    </row>
    <row r="473">
      <c r="K473" s="1"/>
      <c r="L473" s="2"/>
      <c r="M473" s="1"/>
      <c r="N473" s="1"/>
      <c r="O473" s="1"/>
    </row>
    <row r="474">
      <c r="K474" s="1"/>
      <c r="L474" s="2"/>
      <c r="M474" s="1"/>
      <c r="N474" s="1"/>
      <c r="O474" s="1"/>
    </row>
    <row r="475">
      <c r="K475" s="1"/>
      <c r="L475" s="2"/>
      <c r="M475" s="1"/>
      <c r="N475" s="1"/>
      <c r="O475" s="1"/>
    </row>
    <row r="476">
      <c r="K476" s="1"/>
      <c r="L476" s="2"/>
      <c r="M476" s="1"/>
      <c r="N476" s="1"/>
      <c r="O476" s="1"/>
    </row>
    <row r="477">
      <c r="K477" s="1"/>
      <c r="L477" s="2"/>
      <c r="M477" s="1"/>
      <c r="N477" s="1"/>
      <c r="O477" s="1"/>
    </row>
    <row r="478">
      <c r="K478" s="1"/>
      <c r="L478" s="2"/>
      <c r="M478" s="1"/>
      <c r="N478" s="1"/>
      <c r="O478" s="1"/>
    </row>
    <row r="479">
      <c r="K479" s="1"/>
      <c r="L479" s="2"/>
      <c r="M479" s="1"/>
      <c r="N479" s="1"/>
      <c r="O479" s="1"/>
    </row>
    <row r="480">
      <c r="K480" s="1"/>
      <c r="L480" s="2"/>
      <c r="M480" s="1"/>
      <c r="N480" s="1"/>
      <c r="O480" s="1"/>
    </row>
    <row r="481">
      <c r="K481" s="1"/>
      <c r="L481" s="2"/>
      <c r="M481" s="1"/>
      <c r="N481" s="1"/>
      <c r="O481" s="1"/>
    </row>
    <row r="482">
      <c r="K482" s="1"/>
      <c r="L482" s="2"/>
      <c r="M482" s="1"/>
      <c r="N482" s="1"/>
      <c r="O482" s="1"/>
    </row>
    <row r="483">
      <c r="K483" s="1"/>
      <c r="L483" s="2"/>
      <c r="M483" s="1"/>
      <c r="N483" s="1"/>
      <c r="O483" s="1"/>
    </row>
    <row r="484">
      <c r="K484" s="1"/>
      <c r="L484" s="2"/>
      <c r="M484" s="1"/>
      <c r="N484" s="1"/>
      <c r="O484" s="1"/>
    </row>
    <row r="485">
      <c r="K485" s="1"/>
      <c r="L485" s="2"/>
      <c r="M485" s="1"/>
      <c r="N485" s="1"/>
      <c r="O485" s="1"/>
    </row>
    <row r="486">
      <c r="K486" s="1"/>
      <c r="L486" s="2"/>
      <c r="M486" s="1"/>
      <c r="N486" s="1"/>
      <c r="O486" s="1"/>
    </row>
    <row r="487">
      <c r="K487" s="1"/>
      <c r="L487" s="2"/>
      <c r="M487" s="1"/>
      <c r="N487" s="1"/>
      <c r="O487" s="1"/>
    </row>
    <row r="488">
      <c r="K488" s="1"/>
      <c r="L488" s="2"/>
      <c r="M488" s="1"/>
      <c r="N488" s="1"/>
      <c r="O488" s="1"/>
    </row>
    <row r="489">
      <c r="K489" s="1"/>
      <c r="L489" s="2"/>
      <c r="M489" s="1"/>
      <c r="N489" s="1"/>
      <c r="O489" s="1"/>
    </row>
    <row r="490">
      <c r="K490" s="1"/>
      <c r="L490" s="2"/>
      <c r="M490" s="1"/>
      <c r="N490" s="1"/>
      <c r="O490" s="1"/>
    </row>
    <row r="491">
      <c r="K491" s="1"/>
      <c r="L491" s="2"/>
      <c r="M491" s="1"/>
      <c r="N491" s="1"/>
      <c r="O491" s="1"/>
    </row>
    <row r="492">
      <c r="K492" s="1"/>
      <c r="L492" s="2"/>
      <c r="M492" s="1"/>
      <c r="N492" s="1"/>
      <c r="O492" s="1"/>
    </row>
    <row r="493">
      <c r="K493" s="1"/>
      <c r="L493" s="2"/>
      <c r="M493" s="1"/>
      <c r="N493" s="1"/>
      <c r="O493" s="1"/>
    </row>
    <row r="494">
      <c r="K494" s="1"/>
      <c r="L494" s="2"/>
      <c r="M494" s="1"/>
      <c r="N494" s="1"/>
      <c r="O494" s="1"/>
    </row>
    <row r="495">
      <c r="K495" s="1"/>
      <c r="L495" s="2"/>
      <c r="M495" s="1"/>
      <c r="N495" s="1"/>
      <c r="O495" s="1"/>
    </row>
    <row r="496">
      <c r="K496" s="1"/>
      <c r="L496" s="2"/>
      <c r="M496" s="1"/>
      <c r="N496" s="1"/>
      <c r="O496" s="1"/>
    </row>
    <row r="497">
      <c r="K497" s="1"/>
      <c r="L497" s="2"/>
      <c r="M497" s="1"/>
      <c r="N497" s="1"/>
      <c r="O497" s="1"/>
    </row>
    <row r="498">
      <c r="K498" s="1"/>
      <c r="L498" s="2"/>
      <c r="M498" s="1"/>
      <c r="N498" s="1"/>
      <c r="O498" s="1"/>
    </row>
    <row r="499">
      <c r="K499" s="1"/>
      <c r="L499" s="2"/>
      <c r="M499" s="1"/>
      <c r="N499" s="1"/>
      <c r="O499" s="1"/>
    </row>
    <row r="500">
      <c r="K500" s="1"/>
      <c r="L500" s="2"/>
      <c r="M500" s="1"/>
      <c r="N500" s="1"/>
      <c r="O500" s="1"/>
    </row>
    <row r="501">
      <c r="K501" s="1"/>
      <c r="L501" s="2"/>
      <c r="M501" s="1"/>
      <c r="N501" s="1"/>
      <c r="O501" s="1"/>
    </row>
    <row r="502">
      <c r="K502" s="1"/>
      <c r="L502" s="2"/>
      <c r="M502" s="1"/>
      <c r="N502" s="1"/>
      <c r="O502" s="1"/>
    </row>
    <row r="503">
      <c r="K503" s="1"/>
      <c r="L503" s="2"/>
      <c r="M503" s="1"/>
      <c r="N503" s="1"/>
      <c r="O503" s="1"/>
    </row>
    <row r="504">
      <c r="K504" s="1"/>
      <c r="L504" s="2"/>
      <c r="M504" s="1"/>
      <c r="N504" s="1"/>
      <c r="O504" s="1"/>
    </row>
    <row r="505">
      <c r="K505" s="1"/>
      <c r="L505" s="2"/>
      <c r="M505" s="1"/>
      <c r="N505" s="1"/>
      <c r="O505" s="1"/>
    </row>
    <row r="506">
      <c r="K506" s="1"/>
      <c r="L506" s="2"/>
      <c r="M506" s="1"/>
      <c r="N506" s="1"/>
      <c r="O506" s="1"/>
    </row>
    <row r="507">
      <c r="K507" s="1"/>
      <c r="L507" s="2"/>
      <c r="M507" s="1"/>
      <c r="N507" s="1"/>
      <c r="O507" s="1"/>
    </row>
    <row r="508">
      <c r="K508" s="1"/>
      <c r="L508" s="2"/>
      <c r="M508" s="1"/>
      <c r="N508" s="1"/>
      <c r="O508" s="1"/>
    </row>
    <row r="509">
      <c r="K509" s="1"/>
      <c r="L509" s="2"/>
      <c r="M509" s="1"/>
      <c r="N509" s="1"/>
      <c r="O509" s="1"/>
    </row>
    <row r="510">
      <c r="K510" s="1"/>
      <c r="L510" s="2"/>
      <c r="M510" s="1"/>
      <c r="N510" s="1"/>
      <c r="O510" s="1"/>
    </row>
    <row r="511">
      <c r="K511" s="1"/>
      <c r="L511" s="2"/>
      <c r="M511" s="1"/>
      <c r="N511" s="1"/>
      <c r="O511" s="1"/>
    </row>
    <row r="512">
      <c r="K512" s="1"/>
      <c r="L512" s="2"/>
      <c r="M512" s="1"/>
      <c r="N512" s="1"/>
      <c r="O512" s="1"/>
    </row>
    <row r="513">
      <c r="K513" s="1"/>
      <c r="L513" s="2"/>
      <c r="M513" s="1"/>
      <c r="N513" s="1"/>
      <c r="O513" s="1"/>
    </row>
    <row r="514">
      <c r="K514" s="1"/>
      <c r="L514" s="2"/>
      <c r="M514" s="1"/>
      <c r="N514" s="1"/>
      <c r="O514" s="1"/>
    </row>
    <row r="515">
      <c r="K515" s="1"/>
      <c r="L515" s="2"/>
      <c r="M515" s="1"/>
      <c r="N515" s="1"/>
      <c r="O515" s="1"/>
    </row>
    <row r="516">
      <c r="K516" s="1"/>
      <c r="L516" s="2"/>
      <c r="M516" s="1"/>
      <c r="N516" s="1"/>
      <c r="O516" s="1"/>
    </row>
    <row r="517">
      <c r="K517" s="1"/>
      <c r="L517" s="2"/>
      <c r="M517" s="1"/>
      <c r="N517" s="1"/>
      <c r="O517" s="1"/>
    </row>
    <row r="518">
      <c r="K518" s="1"/>
      <c r="L518" s="2"/>
      <c r="M518" s="1"/>
      <c r="N518" s="1"/>
      <c r="O518" s="1"/>
    </row>
    <row r="519">
      <c r="K519" s="1"/>
      <c r="L519" s="2"/>
      <c r="M519" s="1"/>
      <c r="N519" s="1"/>
      <c r="O519" s="1"/>
    </row>
    <row r="520">
      <c r="K520" s="1"/>
      <c r="L520" s="2"/>
      <c r="M520" s="1"/>
      <c r="N520" s="1"/>
      <c r="O520" s="1"/>
    </row>
    <row r="521">
      <c r="K521" s="1"/>
      <c r="L521" s="2"/>
      <c r="M521" s="1"/>
      <c r="N521" s="1"/>
      <c r="O521" s="1"/>
    </row>
    <row r="522">
      <c r="K522" s="1"/>
      <c r="L522" s="2"/>
      <c r="M522" s="1"/>
      <c r="N522" s="1"/>
      <c r="O522" s="1"/>
    </row>
    <row r="523">
      <c r="K523" s="1"/>
      <c r="L523" s="2"/>
      <c r="M523" s="1"/>
      <c r="N523" s="1"/>
      <c r="O523" s="1"/>
    </row>
    <row r="524">
      <c r="K524" s="1"/>
      <c r="L524" s="2"/>
      <c r="M524" s="1"/>
      <c r="N524" s="1"/>
      <c r="O524" s="1"/>
    </row>
    <row r="525">
      <c r="K525" s="1"/>
      <c r="L525" s="2"/>
      <c r="M525" s="1"/>
      <c r="N525" s="1"/>
      <c r="O525" s="1"/>
    </row>
    <row r="526">
      <c r="K526" s="1"/>
      <c r="L526" s="2"/>
      <c r="M526" s="1"/>
      <c r="N526" s="1"/>
      <c r="O526" s="1"/>
    </row>
    <row r="527">
      <c r="K527" s="1"/>
      <c r="L527" s="2"/>
      <c r="M527" s="1"/>
      <c r="N527" s="1"/>
      <c r="O527" s="1"/>
    </row>
    <row r="528">
      <c r="K528" s="1"/>
      <c r="L528" s="2"/>
      <c r="M528" s="1"/>
      <c r="N528" s="1"/>
      <c r="O528" s="1"/>
    </row>
    <row r="529">
      <c r="K529" s="1"/>
      <c r="L529" s="2"/>
      <c r="M529" s="1"/>
      <c r="N529" s="1"/>
      <c r="O529" s="1"/>
    </row>
    <row r="530">
      <c r="K530" s="1"/>
      <c r="L530" s="2"/>
      <c r="M530" s="1"/>
      <c r="N530" s="1"/>
      <c r="O530" s="1"/>
    </row>
    <row r="531">
      <c r="K531" s="1"/>
      <c r="L531" s="2"/>
      <c r="M531" s="1"/>
      <c r="N531" s="1"/>
      <c r="O531" s="1"/>
    </row>
    <row r="532">
      <c r="K532" s="1"/>
      <c r="L532" s="2"/>
      <c r="M532" s="1"/>
      <c r="N532" s="1"/>
      <c r="O532" s="1"/>
    </row>
    <row r="533">
      <c r="K533" s="1"/>
      <c r="L533" s="2"/>
      <c r="M533" s="1"/>
      <c r="N533" s="1"/>
      <c r="O533" s="1"/>
    </row>
    <row r="534">
      <c r="K534" s="1"/>
      <c r="L534" s="2"/>
      <c r="M534" s="1"/>
      <c r="N534" s="1"/>
      <c r="O534" s="1"/>
    </row>
    <row r="535">
      <c r="K535" s="1"/>
      <c r="L535" s="2"/>
      <c r="M535" s="1"/>
      <c r="N535" s="1"/>
      <c r="O535" s="1"/>
    </row>
    <row r="536">
      <c r="K536" s="1"/>
      <c r="L536" s="2"/>
      <c r="M536" s="1"/>
      <c r="N536" s="1"/>
      <c r="O536" s="1"/>
    </row>
    <row r="537">
      <c r="K537" s="1"/>
      <c r="L537" s="2"/>
      <c r="M537" s="1"/>
      <c r="N537" s="1"/>
      <c r="O537" s="1"/>
    </row>
    <row r="538">
      <c r="K538" s="1"/>
      <c r="L538" s="2"/>
      <c r="M538" s="1"/>
      <c r="N538" s="1"/>
      <c r="O538" s="1"/>
    </row>
    <row r="539">
      <c r="K539" s="1"/>
      <c r="L539" s="2"/>
      <c r="M539" s="1"/>
      <c r="N539" s="1"/>
      <c r="O539" s="1"/>
    </row>
    <row r="540">
      <c r="K540" s="1"/>
      <c r="L540" s="2"/>
      <c r="M540" s="1"/>
      <c r="N540" s="1"/>
      <c r="O540" s="1"/>
    </row>
    <row r="541">
      <c r="K541" s="1"/>
      <c r="L541" s="2"/>
      <c r="M541" s="1"/>
      <c r="N541" s="1"/>
      <c r="O541" s="1"/>
    </row>
    <row r="542">
      <c r="K542" s="1"/>
      <c r="L542" s="2"/>
      <c r="M542" s="1"/>
      <c r="N542" s="1"/>
      <c r="O542" s="1"/>
    </row>
    <row r="543">
      <c r="K543" s="1"/>
      <c r="L543" s="2"/>
      <c r="M543" s="1"/>
      <c r="N543" s="1"/>
      <c r="O543" s="1"/>
    </row>
    <row r="544">
      <c r="K544" s="1"/>
      <c r="L544" s="2"/>
      <c r="M544" s="1"/>
      <c r="N544" s="1"/>
      <c r="O544" s="1"/>
    </row>
    <row r="545">
      <c r="K545" s="1"/>
      <c r="L545" s="2"/>
      <c r="M545" s="1"/>
      <c r="N545" s="1"/>
      <c r="O545" s="1"/>
    </row>
    <row r="546">
      <c r="K546" s="1"/>
      <c r="L546" s="2"/>
      <c r="M546" s="1"/>
      <c r="N546" s="1"/>
      <c r="O546" s="1"/>
    </row>
    <row r="547">
      <c r="K547" s="1"/>
      <c r="L547" s="2"/>
      <c r="M547" s="1"/>
      <c r="N547" s="1"/>
      <c r="O547" s="1"/>
    </row>
    <row r="548">
      <c r="K548" s="1"/>
      <c r="L548" s="2"/>
      <c r="M548" s="1"/>
      <c r="N548" s="1"/>
      <c r="O548" s="1"/>
    </row>
    <row r="549">
      <c r="K549" s="1"/>
      <c r="L549" s="2"/>
      <c r="M549" s="1"/>
      <c r="N549" s="1"/>
      <c r="O549" s="1"/>
    </row>
    <row r="550">
      <c r="K550" s="1"/>
      <c r="L550" s="2"/>
      <c r="M550" s="1"/>
      <c r="N550" s="1"/>
      <c r="O550" s="1"/>
    </row>
    <row r="551">
      <c r="K551" s="1"/>
      <c r="L551" s="2"/>
      <c r="M551" s="1"/>
      <c r="N551" s="1"/>
      <c r="O551" s="1"/>
    </row>
    <row r="552">
      <c r="K552" s="1"/>
      <c r="L552" s="2"/>
      <c r="M552" s="1"/>
      <c r="N552" s="1"/>
      <c r="O552" s="1"/>
    </row>
    <row r="553">
      <c r="K553" s="1"/>
      <c r="L553" s="2"/>
      <c r="M553" s="1"/>
      <c r="N553" s="1"/>
      <c r="O553" s="1"/>
    </row>
    <row r="554">
      <c r="K554" s="1"/>
      <c r="L554" s="2"/>
      <c r="M554" s="1"/>
      <c r="N554" s="1"/>
      <c r="O554" s="1"/>
    </row>
    <row r="555">
      <c r="K555" s="1"/>
      <c r="L555" s="2"/>
      <c r="M555" s="1"/>
      <c r="N555" s="1"/>
      <c r="O555" s="1"/>
    </row>
    <row r="556">
      <c r="K556" s="1"/>
      <c r="L556" s="2"/>
      <c r="M556" s="1"/>
      <c r="N556" s="1"/>
      <c r="O556" s="1"/>
    </row>
    <row r="557">
      <c r="K557" s="1"/>
      <c r="L557" s="2"/>
      <c r="M557" s="1"/>
      <c r="N557" s="1"/>
      <c r="O557" s="1"/>
    </row>
    <row r="558">
      <c r="K558" s="1"/>
      <c r="L558" s="2"/>
      <c r="M558" s="1"/>
      <c r="N558" s="1"/>
      <c r="O558" s="1"/>
    </row>
    <row r="559">
      <c r="K559" s="1"/>
      <c r="L559" s="2"/>
      <c r="M559" s="1"/>
      <c r="N559" s="1"/>
      <c r="O559" s="1"/>
    </row>
    <row r="560">
      <c r="K560" s="1"/>
      <c r="L560" s="2"/>
      <c r="M560" s="1"/>
      <c r="N560" s="1"/>
      <c r="O560" s="1"/>
    </row>
    <row r="561">
      <c r="K561" s="1"/>
      <c r="L561" s="2"/>
      <c r="M561" s="1"/>
      <c r="N561" s="1"/>
      <c r="O561" s="1"/>
    </row>
    <row r="562">
      <c r="K562" s="1"/>
      <c r="L562" s="2"/>
      <c r="M562" s="1"/>
      <c r="N562" s="1"/>
      <c r="O562" s="1"/>
    </row>
    <row r="563">
      <c r="K563" s="1"/>
      <c r="L563" s="2"/>
      <c r="M563" s="1"/>
      <c r="N563" s="1"/>
      <c r="O563" s="1"/>
    </row>
    <row r="564">
      <c r="K564" s="1"/>
      <c r="L564" s="2"/>
      <c r="M564" s="1"/>
      <c r="N564" s="1"/>
      <c r="O564" s="1"/>
    </row>
    <row r="565">
      <c r="K565" s="1"/>
      <c r="L565" s="2"/>
      <c r="M565" s="1"/>
      <c r="N565" s="1"/>
      <c r="O565" s="1"/>
    </row>
    <row r="566">
      <c r="K566" s="1"/>
      <c r="L566" s="2"/>
      <c r="M566" s="1"/>
      <c r="N566" s="1"/>
      <c r="O566" s="1"/>
    </row>
    <row r="567">
      <c r="K567" s="1"/>
      <c r="L567" s="2"/>
      <c r="M567" s="1"/>
      <c r="N567" s="1"/>
      <c r="O567" s="1"/>
    </row>
    <row r="568">
      <c r="K568" s="1"/>
      <c r="L568" s="2"/>
      <c r="M568" s="1"/>
      <c r="N568" s="1"/>
      <c r="O568" s="1"/>
    </row>
    <row r="569">
      <c r="K569" s="1"/>
      <c r="L569" s="2"/>
      <c r="M569" s="1"/>
      <c r="N569" s="1"/>
      <c r="O569" s="1"/>
    </row>
    <row r="570">
      <c r="K570" s="1"/>
      <c r="L570" s="2"/>
      <c r="M570" s="1"/>
      <c r="N570" s="1"/>
      <c r="O570" s="1"/>
    </row>
    <row r="571">
      <c r="K571" s="1"/>
      <c r="L571" s="2"/>
      <c r="M571" s="1"/>
      <c r="N571" s="1"/>
      <c r="O571" s="1"/>
    </row>
    <row r="572">
      <c r="K572" s="1"/>
      <c r="L572" s="2"/>
      <c r="M572" s="1"/>
      <c r="N572" s="1"/>
      <c r="O572" s="1"/>
    </row>
    <row r="573">
      <c r="K573" s="1"/>
      <c r="L573" s="2"/>
      <c r="M573" s="1"/>
      <c r="N573" s="1"/>
      <c r="O573" s="1"/>
    </row>
    <row r="574">
      <c r="K574" s="1"/>
      <c r="L574" s="2"/>
      <c r="M574" s="1"/>
      <c r="N574" s="1"/>
      <c r="O574" s="1"/>
    </row>
    <row r="575">
      <c r="K575" s="1"/>
      <c r="L575" s="2"/>
      <c r="M575" s="1"/>
      <c r="N575" s="1"/>
      <c r="O575" s="1"/>
    </row>
    <row r="576">
      <c r="K576" s="1"/>
      <c r="L576" s="2"/>
      <c r="M576" s="1"/>
      <c r="N576" s="1"/>
      <c r="O576" s="1"/>
    </row>
    <row r="577">
      <c r="K577" s="1"/>
      <c r="L577" s="2"/>
      <c r="M577" s="1"/>
      <c r="N577" s="1"/>
      <c r="O577" s="1"/>
    </row>
    <row r="578">
      <c r="K578" s="1"/>
      <c r="L578" s="2"/>
      <c r="M578" s="1"/>
      <c r="N578" s="1"/>
      <c r="O578" s="1"/>
    </row>
    <row r="579">
      <c r="K579" s="1"/>
      <c r="L579" s="2"/>
      <c r="M579" s="1"/>
      <c r="N579" s="1"/>
      <c r="O579" s="1"/>
    </row>
    <row r="580">
      <c r="K580" s="1"/>
      <c r="L580" s="2"/>
      <c r="M580" s="1"/>
      <c r="N580" s="1"/>
      <c r="O580" s="1"/>
    </row>
    <row r="581">
      <c r="K581" s="1"/>
      <c r="L581" s="2"/>
      <c r="M581" s="1"/>
      <c r="N581" s="1"/>
      <c r="O581" s="1"/>
    </row>
    <row r="582">
      <c r="K582" s="1"/>
      <c r="L582" s="2"/>
      <c r="M582" s="1"/>
      <c r="N582" s="1"/>
      <c r="O582" s="1"/>
    </row>
    <row r="583">
      <c r="K583" s="1"/>
      <c r="L583" s="2"/>
      <c r="M583" s="1"/>
      <c r="N583" s="1"/>
      <c r="O583" s="1"/>
    </row>
    <row r="584">
      <c r="K584" s="1"/>
      <c r="L584" s="2"/>
      <c r="M584" s="1"/>
      <c r="N584" s="1"/>
      <c r="O584" s="1"/>
    </row>
    <row r="585">
      <c r="K585" s="1"/>
      <c r="L585" s="2"/>
      <c r="M585" s="1"/>
      <c r="N585" s="1"/>
      <c r="O585" s="1"/>
    </row>
    <row r="586">
      <c r="K586" s="1"/>
      <c r="L586" s="2"/>
      <c r="M586" s="1"/>
      <c r="N586" s="1"/>
      <c r="O586" s="1"/>
    </row>
    <row r="587">
      <c r="K587" s="1"/>
      <c r="L587" s="2"/>
      <c r="M587" s="1"/>
      <c r="N587" s="1"/>
      <c r="O587" s="1"/>
    </row>
    <row r="588">
      <c r="K588" s="1"/>
      <c r="L588" s="2"/>
      <c r="M588" s="1"/>
      <c r="N588" s="1"/>
      <c r="O588" s="1"/>
    </row>
    <row r="589">
      <c r="K589" s="1"/>
      <c r="L589" s="2"/>
      <c r="M589" s="1"/>
      <c r="N589" s="1"/>
      <c r="O589" s="1"/>
    </row>
    <row r="590">
      <c r="K590" s="1"/>
      <c r="L590" s="2"/>
      <c r="M590" s="1"/>
      <c r="N590" s="1"/>
      <c r="O590" s="1"/>
    </row>
    <row r="591">
      <c r="K591" s="1"/>
      <c r="L591" s="2"/>
      <c r="M591" s="1"/>
      <c r="N591" s="1"/>
      <c r="O591" s="1"/>
    </row>
    <row r="592">
      <c r="K592" s="1"/>
      <c r="L592" s="2"/>
      <c r="M592" s="1"/>
      <c r="N592" s="1"/>
      <c r="O592" s="1"/>
    </row>
    <row r="593">
      <c r="K593" s="1"/>
      <c r="L593" s="2"/>
      <c r="M593" s="1"/>
      <c r="N593" s="1"/>
      <c r="O593" s="1"/>
    </row>
    <row r="594">
      <c r="K594" s="1"/>
      <c r="L594" s="2"/>
      <c r="M594" s="1"/>
      <c r="N594" s="1"/>
      <c r="O594" s="1"/>
    </row>
    <row r="595">
      <c r="K595" s="1"/>
      <c r="L595" s="2"/>
      <c r="M595" s="1"/>
      <c r="N595" s="1"/>
      <c r="O595" s="1"/>
    </row>
    <row r="596">
      <c r="K596" s="1"/>
      <c r="L596" s="2"/>
      <c r="M596" s="1"/>
      <c r="N596" s="1"/>
      <c r="O596" s="1"/>
    </row>
    <row r="597">
      <c r="K597" s="1"/>
      <c r="L597" s="2"/>
      <c r="M597" s="1"/>
      <c r="N597" s="1"/>
      <c r="O597" s="1"/>
    </row>
    <row r="598">
      <c r="K598" s="1"/>
      <c r="L598" s="2"/>
      <c r="M598" s="1"/>
      <c r="N598" s="1"/>
      <c r="O598" s="1"/>
    </row>
    <row r="599">
      <c r="K599" s="1"/>
      <c r="L599" s="2"/>
      <c r="M599" s="1"/>
      <c r="N599" s="1"/>
      <c r="O599" s="1"/>
    </row>
    <row r="600">
      <c r="K600" s="1"/>
      <c r="L600" s="2"/>
      <c r="M600" s="1"/>
      <c r="N600" s="1"/>
      <c r="O600" s="1"/>
    </row>
    <row r="601">
      <c r="K601" s="1"/>
      <c r="L601" s="2"/>
      <c r="M601" s="1"/>
      <c r="N601" s="1"/>
      <c r="O601" s="1"/>
    </row>
    <row r="602">
      <c r="K602" s="1"/>
      <c r="L602" s="2"/>
      <c r="M602" s="1"/>
      <c r="N602" s="1"/>
      <c r="O602" s="1"/>
    </row>
    <row r="603">
      <c r="K603" s="1"/>
      <c r="L603" s="2"/>
      <c r="M603" s="1"/>
      <c r="N603" s="1"/>
      <c r="O603" s="1"/>
    </row>
    <row r="604">
      <c r="K604" s="1"/>
      <c r="L604" s="2"/>
      <c r="M604" s="1"/>
      <c r="N604" s="1"/>
      <c r="O604" s="1"/>
    </row>
    <row r="605">
      <c r="K605" s="1"/>
      <c r="L605" s="2"/>
      <c r="M605" s="1"/>
      <c r="N605" s="1"/>
      <c r="O605" s="1"/>
    </row>
    <row r="606">
      <c r="K606" s="1"/>
      <c r="L606" s="2"/>
      <c r="M606" s="1"/>
      <c r="N606" s="1"/>
      <c r="O606" s="1"/>
    </row>
    <row r="607">
      <c r="K607" s="1"/>
      <c r="L607" s="2"/>
      <c r="M607" s="1"/>
      <c r="N607" s="1"/>
      <c r="O607" s="1"/>
    </row>
    <row r="608">
      <c r="K608" s="1"/>
      <c r="L608" s="2"/>
      <c r="M608" s="1"/>
      <c r="N608" s="1"/>
      <c r="O608" s="1"/>
    </row>
    <row r="609">
      <c r="K609" s="1"/>
      <c r="L609" s="2"/>
      <c r="M609" s="1"/>
      <c r="N609" s="1"/>
      <c r="O609" s="1"/>
    </row>
    <row r="610">
      <c r="K610" s="1"/>
      <c r="L610" s="2"/>
      <c r="M610" s="1"/>
      <c r="N610" s="1"/>
      <c r="O610" s="1"/>
    </row>
    <row r="611">
      <c r="K611" s="1"/>
      <c r="L611" s="2"/>
      <c r="M611" s="1"/>
      <c r="N611" s="1"/>
      <c r="O611" s="1"/>
    </row>
    <row r="612">
      <c r="K612" s="1"/>
      <c r="L612" s="2"/>
      <c r="M612" s="1"/>
      <c r="N612" s="1"/>
      <c r="O612" s="1"/>
    </row>
    <row r="613">
      <c r="K613" s="1"/>
      <c r="L613" s="2"/>
      <c r="M613" s="1"/>
      <c r="N613" s="1"/>
      <c r="O613" s="1"/>
    </row>
    <row r="614">
      <c r="K614" s="1"/>
      <c r="L614" s="2"/>
      <c r="M614" s="1"/>
      <c r="N614" s="1"/>
      <c r="O614" s="1"/>
    </row>
    <row r="615">
      <c r="K615" s="1"/>
      <c r="L615" s="2"/>
      <c r="M615" s="1"/>
      <c r="N615" s="1"/>
      <c r="O615" s="1"/>
    </row>
    <row r="616">
      <c r="K616" s="1"/>
      <c r="L616" s="2"/>
      <c r="M616" s="1"/>
      <c r="N616" s="1"/>
      <c r="O616" s="1"/>
    </row>
    <row r="617">
      <c r="K617" s="1"/>
      <c r="L617" s="2"/>
      <c r="M617" s="1"/>
      <c r="N617" s="1"/>
      <c r="O617" s="1"/>
    </row>
    <row r="618">
      <c r="K618" s="1"/>
      <c r="L618" s="2"/>
      <c r="M618" s="1"/>
      <c r="N618" s="1"/>
      <c r="O618" s="1"/>
    </row>
    <row r="619">
      <c r="K619" s="1"/>
      <c r="L619" s="2"/>
      <c r="M619" s="1"/>
      <c r="N619" s="1"/>
      <c r="O619" s="1"/>
    </row>
    <row r="620">
      <c r="K620" s="1"/>
      <c r="L620" s="2"/>
      <c r="M620" s="1"/>
      <c r="N620" s="1"/>
      <c r="O620" s="1"/>
    </row>
    <row r="621">
      <c r="K621" s="1"/>
      <c r="L621" s="2"/>
      <c r="M621" s="1"/>
      <c r="N621" s="1"/>
      <c r="O621" s="1"/>
    </row>
    <row r="622">
      <c r="K622" s="1"/>
      <c r="L622" s="2"/>
      <c r="M622" s="1"/>
      <c r="N622" s="1"/>
      <c r="O622" s="1"/>
    </row>
    <row r="623">
      <c r="K623" s="1"/>
      <c r="L623" s="2"/>
      <c r="M623" s="1"/>
      <c r="N623" s="1"/>
      <c r="O623" s="1"/>
    </row>
    <row r="624">
      <c r="K624" s="1"/>
      <c r="L624" s="2"/>
      <c r="M624" s="1"/>
      <c r="N624" s="1"/>
      <c r="O624" s="1"/>
    </row>
    <row r="625">
      <c r="K625" s="1"/>
      <c r="L625" s="2"/>
      <c r="M625" s="1"/>
      <c r="N625" s="1"/>
      <c r="O625" s="1"/>
    </row>
    <row r="626">
      <c r="K626" s="1"/>
      <c r="L626" s="2"/>
      <c r="M626" s="1"/>
      <c r="N626" s="1"/>
      <c r="O626" s="1"/>
    </row>
    <row r="627">
      <c r="K627" s="1"/>
      <c r="L627" s="2"/>
      <c r="M627" s="1"/>
      <c r="N627" s="1"/>
      <c r="O627" s="1"/>
    </row>
    <row r="628">
      <c r="K628" s="1"/>
      <c r="L628" s="2"/>
      <c r="M628" s="1"/>
      <c r="N628" s="1"/>
      <c r="O628" s="1"/>
    </row>
    <row r="629">
      <c r="K629" s="1"/>
      <c r="L629" s="2"/>
      <c r="M629" s="1"/>
      <c r="N629" s="1"/>
      <c r="O629" s="1"/>
    </row>
    <row r="630">
      <c r="K630" s="1"/>
      <c r="L630" s="2"/>
      <c r="M630" s="1"/>
      <c r="N630" s="1"/>
      <c r="O630" s="1"/>
    </row>
    <row r="631">
      <c r="K631" s="1"/>
      <c r="L631" s="2"/>
      <c r="M631" s="1"/>
      <c r="N631" s="1"/>
      <c r="O631" s="1"/>
    </row>
    <row r="632">
      <c r="K632" s="1"/>
      <c r="L632" s="2"/>
      <c r="M632" s="1"/>
      <c r="N632" s="1"/>
      <c r="O632" s="1"/>
    </row>
    <row r="633">
      <c r="K633" s="1"/>
      <c r="L633" s="2"/>
      <c r="M633" s="1"/>
      <c r="N633" s="1"/>
      <c r="O633" s="1"/>
    </row>
    <row r="634">
      <c r="K634" s="1"/>
      <c r="L634" s="2"/>
      <c r="M634" s="1"/>
      <c r="N634" s="1"/>
      <c r="O634" s="1"/>
    </row>
    <row r="635">
      <c r="K635" s="1"/>
      <c r="L635" s="2"/>
      <c r="M635" s="1"/>
      <c r="N635" s="1"/>
      <c r="O635" s="1"/>
    </row>
    <row r="636">
      <c r="K636" s="1"/>
      <c r="L636" s="2"/>
      <c r="M636" s="1"/>
      <c r="N636" s="1"/>
      <c r="O636" s="1"/>
    </row>
    <row r="637">
      <c r="K637" s="1"/>
      <c r="L637" s="2"/>
      <c r="M637" s="1"/>
      <c r="N637" s="1"/>
      <c r="O637" s="1"/>
    </row>
    <row r="638">
      <c r="K638" s="1"/>
      <c r="L638" s="2"/>
      <c r="M638" s="1"/>
      <c r="N638" s="1"/>
      <c r="O638" s="1"/>
    </row>
    <row r="639">
      <c r="K639" s="1"/>
      <c r="L639" s="2"/>
      <c r="M639" s="1"/>
      <c r="N639" s="1"/>
      <c r="O639" s="1"/>
    </row>
    <row r="640">
      <c r="K640" s="1"/>
      <c r="L640" s="2"/>
      <c r="M640" s="1"/>
      <c r="N640" s="1"/>
      <c r="O640" s="1"/>
    </row>
    <row r="641">
      <c r="K641" s="1"/>
      <c r="L641" s="2"/>
      <c r="M641" s="1"/>
      <c r="N641" s="1"/>
      <c r="O641" s="1"/>
    </row>
    <row r="642">
      <c r="K642" s="1"/>
      <c r="L642" s="2"/>
      <c r="M642" s="1"/>
      <c r="N642" s="1"/>
      <c r="O642" s="1"/>
    </row>
    <row r="643">
      <c r="K643" s="1"/>
      <c r="L643" s="2"/>
      <c r="M643" s="1"/>
      <c r="N643" s="1"/>
      <c r="O643" s="1"/>
    </row>
    <row r="644">
      <c r="K644" s="1"/>
      <c r="L644" s="2"/>
      <c r="M644" s="1"/>
      <c r="N644" s="1"/>
      <c r="O644" s="1"/>
    </row>
    <row r="645">
      <c r="K645" s="1"/>
      <c r="L645" s="2"/>
      <c r="M645" s="1"/>
      <c r="N645" s="1"/>
      <c r="O645" s="1"/>
    </row>
    <row r="646">
      <c r="K646" s="1"/>
      <c r="L646" s="2"/>
      <c r="M646" s="1"/>
      <c r="N646" s="1"/>
      <c r="O646" s="1"/>
    </row>
    <row r="647">
      <c r="K647" s="1"/>
      <c r="L647" s="2"/>
      <c r="M647" s="1"/>
      <c r="N647" s="1"/>
      <c r="O647" s="1"/>
    </row>
    <row r="648">
      <c r="K648" s="1"/>
      <c r="L648" s="2"/>
      <c r="M648" s="1"/>
      <c r="N648" s="1"/>
      <c r="O648" s="1"/>
    </row>
    <row r="649">
      <c r="K649" s="1"/>
      <c r="L649" s="2"/>
      <c r="M649" s="1"/>
      <c r="N649" s="1"/>
      <c r="O649" s="1"/>
    </row>
    <row r="650">
      <c r="K650" s="1"/>
      <c r="L650" s="2"/>
      <c r="M650" s="1"/>
      <c r="N650" s="1"/>
      <c r="O650" s="1"/>
    </row>
    <row r="651">
      <c r="K651" s="1"/>
      <c r="L651" s="2"/>
      <c r="M651" s="1"/>
      <c r="N651" s="1"/>
      <c r="O651" s="1"/>
    </row>
    <row r="652">
      <c r="K652" s="1"/>
      <c r="L652" s="2"/>
      <c r="M652" s="1"/>
      <c r="N652" s="1"/>
      <c r="O652" s="1"/>
    </row>
    <row r="653">
      <c r="K653" s="1"/>
      <c r="L653" s="2"/>
      <c r="M653" s="1"/>
      <c r="N653" s="1"/>
      <c r="O653" s="1"/>
    </row>
    <row r="654">
      <c r="K654" s="1"/>
      <c r="L654" s="2"/>
      <c r="M654" s="1"/>
      <c r="N654" s="1"/>
      <c r="O654" s="1"/>
    </row>
    <row r="655">
      <c r="K655" s="1"/>
      <c r="L655" s="2"/>
      <c r="M655" s="1"/>
      <c r="N655" s="1"/>
      <c r="O655" s="1"/>
    </row>
    <row r="656">
      <c r="K656" s="1"/>
      <c r="L656" s="2"/>
      <c r="M656" s="1"/>
      <c r="N656" s="1"/>
      <c r="O656" s="1"/>
    </row>
    <row r="657">
      <c r="K657" s="1"/>
      <c r="L657" s="2"/>
      <c r="M657" s="1"/>
      <c r="N657" s="1"/>
      <c r="O657" s="1"/>
    </row>
    <row r="658">
      <c r="K658" s="1"/>
      <c r="L658" s="2"/>
      <c r="M658" s="1"/>
      <c r="N658" s="1"/>
      <c r="O658" s="1"/>
    </row>
    <row r="659">
      <c r="K659" s="1"/>
      <c r="L659" s="2"/>
      <c r="M659" s="1"/>
      <c r="N659" s="1"/>
      <c r="O659" s="1"/>
    </row>
    <row r="660">
      <c r="K660" s="1"/>
      <c r="L660" s="2"/>
      <c r="M660" s="1"/>
      <c r="N660" s="1"/>
      <c r="O660" s="1"/>
    </row>
    <row r="661">
      <c r="K661" s="1"/>
      <c r="L661" s="2"/>
      <c r="M661" s="1"/>
      <c r="N661" s="1"/>
      <c r="O661" s="1"/>
    </row>
    <row r="662">
      <c r="K662" s="1"/>
      <c r="L662" s="2"/>
      <c r="M662" s="1"/>
      <c r="N662" s="1"/>
      <c r="O662" s="1"/>
    </row>
    <row r="663">
      <c r="K663" s="1"/>
      <c r="L663" s="2"/>
      <c r="M663" s="1"/>
      <c r="N663" s="1"/>
      <c r="O663" s="1"/>
    </row>
    <row r="664">
      <c r="K664" s="1"/>
      <c r="L664" s="2"/>
      <c r="M664" s="1"/>
      <c r="N664" s="1"/>
      <c r="O664" s="1"/>
    </row>
    <row r="665">
      <c r="K665" s="1"/>
      <c r="L665" s="2"/>
      <c r="M665" s="1"/>
      <c r="N665" s="1"/>
      <c r="O665" s="1"/>
    </row>
    <row r="666">
      <c r="K666" s="1"/>
      <c r="L666" s="2"/>
      <c r="M666" s="1"/>
      <c r="N666" s="1"/>
      <c r="O666" s="1"/>
    </row>
    <row r="667">
      <c r="K667" s="1"/>
      <c r="L667" s="2"/>
      <c r="M667" s="1"/>
      <c r="N667" s="1"/>
      <c r="O667" s="1"/>
    </row>
    <row r="668">
      <c r="K668" s="1"/>
      <c r="L668" s="2"/>
      <c r="M668" s="1"/>
      <c r="N668" s="1"/>
      <c r="O668" s="1"/>
    </row>
    <row r="669">
      <c r="K669" s="1"/>
      <c r="L669" s="2"/>
      <c r="M669" s="1"/>
      <c r="N669" s="1"/>
      <c r="O669" s="1"/>
    </row>
    <row r="670">
      <c r="K670" s="1"/>
      <c r="L670" s="2"/>
      <c r="M670" s="1"/>
      <c r="N670" s="1"/>
      <c r="O670" s="1"/>
    </row>
    <row r="671">
      <c r="K671" s="1"/>
      <c r="L671" s="2"/>
      <c r="M671" s="1"/>
      <c r="N671" s="1"/>
      <c r="O671" s="1"/>
    </row>
    <row r="672">
      <c r="K672" s="1"/>
      <c r="L672" s="2"/>
      <c r="M672" s="1"/>
      <c r="N672" s="1"/>
      <c r="O672" s="1"/>
    </row>
    <row r="673">
      <c r="K673" s="1"/>
      <c r="L673" s="2"/>
      <c r="M673" s="1"/>
      <c r="N673" s="1"/>
      <c r="O673" s="1"/>
    </row>
    <row r="674">
      <c r="K674" s="1"/>
      <c r="L674" s="2"/>
      <c r="M674" s="1"/>
      <c r="N674" s="1"/>
      <c r="O674" s="1"/>
    </row>
    <row r="675">
      <c r="K675" s="1"/>
      <c r="L675" s="2"/>
      <c r="M675" s="1"/>
      <c r="N675" s="1"/>
      <c r="O675" s="1"/>
    </row>
    <row r="676">
      <c r="K676" s="1"/>
      <c r="L676" s="2"/>
      <c r="M676" s="1"/>
      <c r="N676" s="1"/>
      <c r="O676" s="1"/>
    </row>
    <row r="677">
      <c r="K677" s="1"/>
      <c r="L677" s="2"/>
      <c r="M677" s="1"/>
      <c r="N677" s="1"/>
      <c r="O677" s="1"/>
    </row>
    <row r="678">
      <c r="K678" s="1"/>
      <c r="L678" s="2"/>
      <c r="M678" s="1"/>
      <c r="N678" s="1"/>
      <c r="O678" s="1"/>
    </row>
    <row r="679">
      <c r="K679" s="1"/>
      <c r="L679" s="2"/>
      <c r="M679" s="1"/>
      <c r="N679" s="1"/>
      <c r="O679" s="1"/>
    </row>
    <row r="680">
      <c r="K680" s="1"/>
      <c r="L680" s="2"/>
      <c r="M680" s="1"/>
      <c r="N680" s="1"/>
      <c r="O680" s="1"/>
    </row>
    <row r="681">
      <c r="K681" s="1"/>
      <c r="L681" s="2"/>
      <c r="M681" s="1"/>
      <c r="N681" s="1"/>
      <c r="O681" s="1"/>
    </row>
    <row r="682">
      <c r="K682" s="1"/>
      <c r="L682" s="2"/>
      <c r="M682" s="1"/>
      <c r="N682" s="1"/>
      <c r="O682" s="1"/>
    </row>
    <row r="683">
      <c r="K683" s="1"/>
      <c r="L683" s="2"/>
      <c r="M683" s="1"/>
      <c r="N683" s="1"/>
      <c r="O683" s="1"/>
    </row>
    <row r="684">
      <c r="K684" s="1"/>
      <c r="L684" s="2"/>
      <c r="M684" s="1"/>
      <c r="N684" s="1"/>
      <c r="O684" s="1"/>
    </row>
    <row r="685">
      <c r="K685" s="1"/>
      <c r="L685" s="2"/>
      <c r="M685" s="1"/>
      <c r="N685" s="1"/>
      <c r="O685" s="1"/>
    </row>
    <row r="686">
      <c r="K686" s="1"/>
      <c r="L686" s="2"/>
      <c r="M686" s="1"/>
      <c r="N686" s="1"/>
      <c r="O686" s="1"/>
    </row>
    <row r="687">
      <c r="K687" s="1"/>
      <c r="L687" s="2"/>
      <c r="M687" s="1"/>
      <c r="N687" s="1"/>
      <c r="O687" s="1"/>
    </row>
    <row r="688">
      <c r="K688" s="1"/>
      <c r="L688" s="2"/>
      <c r="M688" s="1"/>
      <c r="N688" s="1"/>
      <c r="O688" s="1"/>
    </row>
    <row r="689">
      <c r="K689" s="1"/>
      <c r="L689" s="2"/>
      <c r="M689" s="1"/>
      <c r="N689" s="1"/>
      <c r="O689" s="1"/>
    </row>
    <row r="690">
      <c r="K690" s="1"/>
      <c r="L690" s="2"/>
      <c r="M690" s="1"/>
      <c r="N690" s="1"/>
      <c r="O690" s="1"/>
    </row>
    <row r="691">
      <c r="K691" s="1"/>
      <c r="L691" s="2"/>
      <c r="M691" s="1"/>
      <c r="N691" s="1"/>
      <c r="O691" s="1"/>
    </row>
    <row r="692">
      <c r="K692" s="1"/>
      <c r="L692" s="2"/>
      <c r="M692" s="1"/>
      <c r="N692" s="1"/>
      <c r="O692" s="1"/>
    </row>
    <row r="693">
      <c r="K693" s="1"/>
      <c r="L693" s="2"/>
      <c r="M693" s="1"/>
      <c r="N693" s="1"/>
      <c r="O693" s="1"/>
    </row>
    <row r="694">
      <c r="K694" s="1"/>
      <c r="L694" s="2"/>
      <c r="M694" s="1"/>
      <c r="N694" s="1"/>
      <c r="O694" s="1"/>
    </row>
    <row r="695">
      <c r="K695" s="1"/>
      <c r="L695" s="2"/>
      <c r="M695" s="1"/>
      <c r="N695" s="1"/>
      <c r="O695" s="1"/>
    </row>
    <row r="696">
      <c r="K696" s="1"/>
      <c r="L696" s="2"/>
      <c r="M696" s="1"/>
      <c r="N696" s="1"/>
      <c r="O696" s="1"/>
    </row>
    <row r="697">
      <c r="K697" s="1"/>
      <c r="L697" s="2"/>
      <c r="M697" s="1"/>
      <c r="N697" s="1"/>
      <c r="O697" s="1"/>
    </row>
    <row r="698">
      <c r="K698" s="1"/>
      <c r="L698" s="2"/>
      <c r="M698" s="1"/>
      <c r="N698" s="1"/>
      <c r="O698" s="1"/>
    </row>
    <row r="699">
      <c r="K699" s="1"/>
      <c r="L699" s="2"/>
      <c r="M699" s="1"/>
      <c r="N699" s="1"/>
      <c r="O699" s="1"/>
    </row>
    <row r="700">
      <c r="K700" s="1"/>
      <c r="L700" s="2"/>
      <c r="M700" s="1"/>
      <c r="N700" s="1"/>
      <c r="O700" s="1"/>
    </row>
    <row r="701">
      <c r="K701" s="1"/>
      <c r="L701" s="2"/>
      <c r="M701" s="1"/>
      <c r="N701" s="1"/>
      <c r="O701" s="1"/>
    </row>
    <row r="702">
      <c r="K702" s="1"/>
      <c r="L702" s="2"/>
      <c r="M702" s="1"/>
      <c r="N702" s="1"/>
      <c r="O702" s="1"/>
    </row>
    <row r="703">
      <c r="K703" s="1"/>
      <c r="L703" s="2"/>
      <c r="M703" s="1"/>
      <c r="N703" s="1"/>
      <c r="O703" s="1"/>
    </row>
    <row r="704">
      <c r="K704" s="1"/>
      <c r="L704" s="2"/>
      <c r="M704" s="1"/>
      <c r="N704" s="1"/>
      <c r="O704" s="1"/>
    </row>
    <row r="705">
      <c r="K705" s="1"/>
      <c r="L705" s="2"/>
      <c r="M705" s="1"/>
      <c r="N705" s="1"/>
      <c r="O705" s="1"/>
    </row>
    <row r="706">
      <c r="K706" s="1"/>
      <c r="L706" s="2"/>
      <c r="M706" s="1"/>
      <c r="N706" s="1"/>
      <c r="O706" s="1"/>
    </row>
    <row r="707">
      <c r="K707" s="1"/>
      <c r="L707" s="2"/>
      <c r="M707" s="1"/>
      <c r="N707" s="1"/>
      <c r="O707" s="1"/>
    </row>
    <row r="708">
      <c r="K708" s="1"/>
      <c r="L708" s="2"/>
      <c r="M708" s="1"/>
      <c r="N708" s="1"/>
      <c r="O708" s="1"/>
    </row>
    <row r="709">
      <c r="K709" s="1"/>
      <c r="L709" s="2"/>
      <c r="M709" s="1"/>
      <c r="N709" s="1"/>
      <c r="O709" s="1"/>
    </row>
    <row r="710">
      <c r="K710" s="1"/>
      <c r="L710" s="2"/>
      <c r="M710" s="1"/>
      <c r="N710" s="1"/>
      <c r="O710" s="1"/>
    </row>
    <row r="711">
      <c r="K711" s="1"/>
      <c r="L711" s="2"/>
      <c r="M711" s="1"/>
      <c r="N711" s="1"/>
      <c r="O711" s="1"/>
    </row>
    <row r="712">
      <c r="K712" s="1"/>
      <c r="L712" s="2"/>
      <c r="M712" s="1"/>
      <c r="N712" s="1"/>
      <c r="O712" s="1"/>
    </row>
    <row r="713">
      <c r="K713" s="1"/>
      <c r="L713" s="2"/>
      <c r="M713" s="1"/>
      <c r="N713" s="1"/>
      <c r="O713" s="1"/>
    </row>
    <row r="714">
      <c r="K714" s="1"/>
      <c r="L714" s="2"/>
      <c r="M714" s="1"/>
      <c r="N714" s="1"/>
      <c r="O714" s="1"/>
    </row>
    <row r="715">
      <c r="K715" s="1"/>
      <c r="L715" s="2"/>
      <c r="M715" s="1"/>
      <c r="N715" s="1"/>
      <c r="O715" s="1"/>
    </row>
    <row r="716">
      <c r="K716" s="1"/>
      <c r="L716" s="2"/>
      <c r="M716" s="1"/>
      <c r="N716" s="1"/>
      <c r="O716" s="1"/>
    </row>
    <row r="717">
      <c r="K717" s="1"/>
      <c r="L717" s="2"/>
      <c r="M717" s="1"/>
      <c r="N717" s="1"/>
      <c r="O717" s="1"/>
    </row>
    <row r="718">
      <c r="K718" s="1"/>
      <c r="L718" s="2"/>
      <c r="M718" s="1"/>
      <c r="N718" s="1"/>
      <c r="O718" s="1"/>
    </row>
    <row r="719">
      <c r="K719" s="1"/>
      <c r="L719" s="2"/>
      <c r="M719" s="1"/>
      <c r="N719" s="1"/>
      <c r="O719" s="1"/>
    </row>
    <row r="720">
      <c r="K720" s="1"/>
      <c r="L720" s="2"/>
      <c r="M720" s="1"/>
      <c r="N720" s="1"/>
      <c r="O720" s="1"/>
    </row>
    <row r="721">
      <c r="K721" s="1"/>
      <c r="L721" s="2"/>
      <c r="M721" s="1"/>
      <c r="N721" s="1"/>
      <c r="O721" s="1"/>
    </row>
    <row r="722">
      <c r="K722" s="1"/>
      <c r="L722" s="2"/>
      <c r="M722" s="1"/>
      <c r="N722" s="1"/>
      <c r="O722" s="1"/>
    </row>
    <row r="723">
      <c r="K723" s="1"/>
      <c r="L723" s="2"/>
      <c r="M723" s="1"/>
      <c r="N723" s="1"/>
      <c r="O723" s="1"/>
    </row>
    <row r="724">
      <c r="K724" s="1"/>
      <c r="L724" s="2"/>
      <c r="M724" s="1"/>
      <c r="N724" s="1"/>
      <c r="O724" s="1"/>
    </row>
    <row r="725">
      <c r="K725" s="1"/>
      <c r="L725" s="2"/>
      <c r="M725" s="1"/>
      <c r="N725" s="1"/>
      <c r="O725" s="1"/>
    </row>
    <row r="726">
      <c r="K726" s="1"/>
      <c r="L726" s="2"/>
      <c r="M726" s="1"/>
      <c r="N726" s="1"/>
      <c r="O726" s="1"/>
    </row>
    <row r="727">
      <c r="K727" s="1"/>
      <c r="L727" s="2"/>
      <c r="M727" s="1"/>
      <c r="N727" s="1"/>
      <c r="O727" s="1"/>
    </row>
    <row r="728">
      <c r="K728" s="1"/>
      <c r="L728" s="2"/>
      <c r="M728" s="1"/>
      <c r="N728" s="1"/>
      <c r="O728" s="1"/>
    </row>
    <row r="729">
      <c r="K729" s="1"/>
      <c r="L729" s="2"/>
      <c r="M729" s="1"/>
      <c r="N729" s="1"/>
      <c r="O729" s="1"/>
    </row>
    <row r="730">
      <c r="K730" s="1"/>
      <c r="L730" s="2"/>
      <c r="M730" s="1"/>
      <c r="N730" s="1"/>
      <c r="O730" s="1"/>
    </row>
    <row r="731">
      <c r="K731" s="1"/>
      <c r="L731" s="2"/>
      <c r="M731" s="1"/>
      <c r="N731" s="1"/>
      <c r="O731" s="1"/>
    </row>
    <row r="732">
      <c r="K732" s="1"/>
      <c r="L732" s="2"/>
      <c r="M732" s="1"/>
      <c r="N732" s="1"/>
      <c r="O732" s="1"/>
    </row>
    <row r="733">
      <c r="K733" s="1"/>
      <c r="L733" s="2"/>
      <c r="M733" s="1"/>
      <c r="N733" s="1"/>
      <c r="O733" s="1"/>
    </row>
    <row r="734">
      <c r="K734" s="1"/>
      <c r="L734" s="2"/>
      <c r="M734" s="1"/>
      <c r="N734" s="1"/>
      <c r="O734" s="1"/>
    </row>
    <row r="735">
      <c r="K735" s="1"/>
      <c r="L735" s="2"/>
      <c r="M735" s="1"/>
      <c r="N735" s="1"/>
      <c r="O735" s="1"/>
    </row>
    <row r="736">
      <c r="K736" s="1"/>
      <c r="L736" s="2"/>
      <c r="M736" s="1"/>
      <c r="N736" s="1"/>
      <c r="O736" s="1"/>
    </row>
    <row r="737">
      <c r="K737" s="1"/>
      <c r="L737" s="2"/>
      <c r="M737" s="1"/>
      <c r="N737" s="1"/>
      <c r="O737" s="1"/>
    </row>
    <row r="738">
      <c r="K738" s="1"/>
      <c r="L738" s="2"/>
      <c r="M738" s="1"/>
      <c r="N738" s="1"/>
      <c r="O738" s="1"/>
    </row>
    <row r="739">
      <c r="K739" s="1"/>
      <c r="L739" s="2"/>
      <c r="M739" s="1"/>
      <c r="N739" s="1"/>
      <c r="O739" s="1"/>
    </row>
    <row r="740">
      <c r="K740" s="1"/>
      <c r="L740" s="2"/>
      <c r="M740" s="1"/>
      <c r="N740" s="1"/>
      <c r="O740" s="1"/>
    </row>
    <row r="741">
      <c r="K741" s="1"/>
      <c r="L741" s="2"/>
      <c r="M741" s="1"/>
      <c r="N741" s="1"/>
      <c r="O741" s="1"/>
    </row>
    <row r="742">
      <c r="K742" s="1"/>
      <c r="L742" s="2"/>
      <c r="M742" s="1"/>
      <c r="N742" s="1"/>
      <c r="O742" s="1"/>
    </row>
    <row r="743">
      <c r="K743" s="1"/>
      <c r="L743" s="2"/>
      <c r="M743" s="1"/>
      <c r="N743" s="1"/>
      <c r="O743" s="1"/>
    </row>
    <row r="744">
      <c r="K744" s="1"/>
      <c r="L744" s="2"/>
      <c r="M744" s="1"/>
      <c r="N744" s="1"/>
      <c r="O744" s="1"/>
    </row>
    <row r="745">
      <c r="K745" s="1"/>
      <c r="L745" s="2"/>
      <c r="M745" s="1"/>
      <c r="N745" s="1"/>
      <c r="O745" s="1"/>
    </row>
    <row r="746">
      <c r="K746" s="1"/>
      <c r="L746" s="2"/>
      <c r="M746" s="1"/>
      <c r="N746" s="1"/>
      <c r="O746" s="1"/>
    </row>
    <row r="747">
      <c r="K747" s="1"/>
      <c r="L747" s="2"/>
      <c r="M747" s="1"/>
      <c r="N747" s="1"/>
      <c r="O747" s="1"/>
    </row>
    <row r="748">
      <c r="K748" s="1"/>
      <c r="L748" s="2"/>
      <c r="M748" s="1"/>
      <c r="N748" s="1"/>
      <c r="O748" s="1"/>
    </row>
    <row r="749">
      <c r="K749" s="1"/>
      <c r="L749" s="2"/>
      <c r="M749" s="1"/>
      <c r="N749" s="1"/>
      <c r="O749" s="1"/>
    </row>
    <row r="750">
      <c r="K750" s="1"/>
      <c r="L750" s="2"/>
      <c r="M750" s="1"/>
      <c r="N750" s="1"/>
      <c r="O750" s="1"/>
    </row>
    <row r="751">
      <c r="K751" s="1"/>
      <c r="L751" s="2"/>
      <c r="M751" s="1"/>
      <c r="N751" s="1"/>
      <c r="O751" s="1"/>
    </row>
    <row r="752">
      <c r="K752" s="1"/>
      <c r="L752" s="2"/>
      <c r="M752" s="1"/>
      <c r="N752" s="1"/>
      <c r="O752" s="1"/>
    </row>
    <row r="753">
      <c r="K753" s="1"/>
      <c r="L753" s="2"/>
      <c r="M753" s="1"/>
      <c r="N753" s="1"/>
      <c r="O753" s="1"/>
    </row>
    <row r="754">
      <c r="K754" s="1"/>
      <c r="L754" s="2"/>
      <c r="M754" s="1"/>
      <c r="N754" s="1"/>
      <c r="O754" s="1"/>
    </row>
    <row r="755">
      <c r="K755" s="1"/>
      <c r="L755" s="2"/>
      <c r="M755" s="1"/>
      <c r="N755" s="1"/>
      <c r="O755" s="1"/>
    </row>
    <row r="756">
      <c r="K756" s="1"/>
      <c r="L756" s="2"/>
      <c r="M756" s="1"/>
      <c r="N756" s="1"/>
      <c r="O756" s="1"/>
    </row>
    <row r="757">
      <c r="K757" s="1"/>
      <c r="L757" s="2"/>
      <c r="M757" s="1"/>
      <c r="N757" s="1"/>
      <c r="O757" s="1"/>
    </row>
    <row r="758">
      <c r="K758" s="1"/>
      <c r="L758" s="2"/>
      <c r="M758" s="1"/>
      <c r="N758" s="1"/>
      <c r="O758" s="1"/>
    </row>
    <row r="759">
      <c r="K759" s="1"/>
      <c r="L759" s="2"/>
      <c r="M759" s="1"/>
      <c r="N759" s="1"/>
      <c r="O759" s="1"/>
    </row>
    <row r="760">
      <c r="K760" s="1"/>
      <c r="L760" s="2"/>
      <c r="M760" s="1"/>
      <c r="N760" s="1"/>
      <c r="O760" s="1"/>
    </row>
    <row r="761">
      <c r="K761" s="1"/>
      <c r="L761" s="2"/>
      <c r="M761" s="1"/>
      <c r="N761" s="1"/>
      <c r="O761" s="1"/>
    </row>
    <row r="762">
      <c r="K762" s="1"/>
      <c r="L762" s="2"/>
      <c r="M762" s="1"/>
      <c r="N762" s="1"/>
      <c r="O762" s="1"/>
    </row>
    <row r="763">
      <c r="K763" s="1"/>
      <c r="L763" s="2"/>
      <c r="M763" s="1"/>
      <c r="N763" s="1"/>
      <c r="O763" s="1"/>
    </row>
    <row r="764">
      <c r="K764" s="1"/>
      <c r="L764" s="2"/>
      <c r="M764" s="1"/>
      <c r="N764" s="1"/>
      <c r="O764" s="1"/>
    </row>
    <row r="765">
      <c r="K765" s="1"/>
      <c r="L765" s="2"/>
      <c r="M765" s="1"/>
      <c r="N765" s="1"/>
      <c r="O765" s="1"/>
    </row>
    <row r="766">
      <c r="K766" s="1"/>
      <c r="L766" s="2"/>
      <c r="M766" s="1"/>
      <c r="N766" s="1"/>
      <c r="O766" s="1"/>
    </row>
    <row r="767">
      <c r="K767" s="1"/>
      <c r="L767" s="2"/>
      <c r="M767" s="1"/>
      <c r="N767" s="1"/>
      <c r="O767" s="1"/>
    </row>
    <row r="768">
      <c r="K768" s="1"/>
      <c r="L768" s="2"/>
      <c r="M768" s="1"/>
      <c r="N768" s="1"/>
      <c r="O768" s="1"/>
    </row>
    <row r="769">
      <c r="K769" s="1"/>
      <c r="L769" s="2"/>
      <c r="M769" s="1"/>
      <c r="N769" s="1"/>
      <c r="O769" s="1"/>
    </row>
    <row r="770">
      <c r="K770" s="1"/>
      <c r="L770" s="2"/>
      <c r="M770" s="1"/>
      <c r="N770" s="1"/>
      <c r="O770" s="1"/>
    </row>
    <row r="771">
      <c r="K771" s="1"/>
      <c r="L771" s="2"/>
      <c r="M771" s="1"/>
      <c r="N771" s="1"/>
      <c r="O771" s="1"/>
    </row>
    <row r="772">
      <c r="K772" s="1"/>
      <c r="L772" s="2"/>
      <c r="M772" s="1"/>
      <c r="N772" s="1"/>
      <c r="O772" s="1"/>
    </row>
    <row r="773">
      <c r="K773" s="1"/>
      <c r="L773" s="2"/>
      <c r="M773" s="1"/>
      <c r="N773" s="1"/>
      <c r="O773" s="1"/>
    </row>
    <row r="774">
      <c r="K774" s="1"/>
      <c r="L774" s="2"/>
      <c r="M774" s="1"/>
      <c r="N774" s="1"/>
      <c r="O774" s="1"/>
    </row>
    <row r="775">
      <c r="K775" s="1"/>
      <c r="L775" s="2"/>
      <c r="M775" s="1"/>
      <c r="N775" s="1"/>
      <c r="O775" s="1"/>
    </row>
    <row r="776">
      <c r="K776" s="1"/>
      <c r="L776" s="2"/>
      <c r="M776" s="1"/>
      <c r="N776" s="1"/>
      <c r="O776" s="1"/>
    </row>
    <row r="777">
      <c r="K777" s="1"/>
      <c r="L777" s="2"/>
      <c r="M777" s="1"/>
      <c r="N777" s="1"/>
      <c r="O777" s="1"/>
    </row>
    <row r="778">
      <c r="K778" s="1"/>
      <c r="L778" s="2"/>
      <c r="M778" s="1"/>
      <c r="N778" s="1"/>
      <c r="O778" s="1"/>
    </row>
    <row r="779">
      <c r="K779" s="1"/>
      <c r="L779" s="2"/>
      <c r="M779" s="1"/>
      <c r="N779" s="1"/>
      <c r="O779" s="1"/>
    </row>
    <row r="780">
      <c r="K780" s="1"/>
      <c r="L780" s="2"/>
      <c r="M780" s="1"/>
      <c r="N780" s="1"/>
      <c r="O780" s="1"/>
    </row>
    <row r="781">
      <c r="K781" s="1"/>
      <c r="L781" s="2"/>
      <c r="M781" s="1"/>
      <c r="N781" s="1"/>
      <c r="O781" s="1"/>
    </row>
    <row r="782">
      <c r="K782" s="1"/>
      <c r="L782" s="2"/>
      <c r="M782" s="1"/>
      <c r="N782" s="1"/>
      <c r="O782" s="1"/>
    </row>
    <row r="783">
      <c r="K783" s="1"/>
      <c r="L783" s="2"/>
      <c r="M783" s="1"/>
      <c r="N783" s="1"/>
      <c r="O783" s="1"/>
    </row>
    <row r="784">
      <c r="K784" s="1"/>
      <c r="L784" s="2"/>
      <c r="M784" s="1"/>
      <c r="N784" s="1"/>
      <c r="O784" s="1"/>
    </row>
    <row r="785">
      <c r="K785" s="1"/>
      <c r="L785" s="2"/>
      <c r="M785" s="1"/>
      <c r="N785" s="1"/>
      <c r="O785" s="1"/>
    </row>
    <row r="786">
      <c r="K786" s="1"/>
      <c r="L786" s="2"/>
      <c r="M786" s="1"/>
      <c r="N786" s="1"/>
      <c r="O786" s="1"/>
    </row>
    <row r="787">
      <c r="K787" s="1"/>
      <c r="L787" s="2"/>
      <c r="M787" s="1"/>
      <c r="N787" s="1"/>
      <c r="O787" s="1"/>
    </row>
    <row r="788">
      <c r="K788" s="1"/>
      <c r="L788" s="2"/>
      <c r="M788" s="1"/>
      <c r="N788" s="1"/>
      <c r="O788" s="1"/>
    </row>
    <row r="789">
      <c r="K789" s="1"/>
      <c r="L789" s="2"/>
      <c r="M789" s="1"/>
      <c r="N789" s="1"/>
      <c r="O789" s="1"/>
    </row>
    <row r="790">
      <c r="K790" s="1"/>
      <c r="L790" s="2"/>
      <c r="M790" s="1"/>
      <c r="N790" s="1"/>
      <c r="O790" s="1"/>
    </row>
    <row r="791">
      <c r="K791" s="1"/>
      <c r="L791" s="2"/>
      <c r="M791" s="1"/>
      <c r="N791" s="1"/>
      <c r="O791" s="1"/>
    </row>
    <row r="792">
      <c r="K792" s="1"/>
      <c r="L792" s="2"/>
      <c r="M792" s="1"/>
      <c r="N792" s="1"/>
      <c r="O792" s="1"/>
    </row>
    <row r="793">
      <c r="K793" s="1"/>
      <c r="L793" s="2"/>
      <c r="M793" s="1"/>
      <c r="N793" s="1"/>
      <c r="O793" s="1"/>
    </row>
    <row r="794">
      <c r="K794" s="1"/>
      <c r="L794" s="2"/>
      <c r="M794" s="1"/>
      <c r="N794" s="1"/>
      <c r="O794" s="1"/>
    </row>
    <row r="795">
      <c r="K795" s="1"/>
      <c r="L795" s="2"/>
      <c r="M795" s="1"/>
      <c r="N795" s="1"/>
      <c r="O795" s="1"/>
    </row>
    <row r="796">
      <c r="K796" s="1"/>
      <c r="L796" s="2"/>
      <c r="M796" s="1"/>
      <c r="N796" s="1"/>
      <c r="O796" s="1"/>
    </row>
    <row r="797">
      <c r="K797" s="1"/>
      <c r="L797" s="2"/>
      <c r="M797" s="1"/>
      <c r="N797" s="1"/>
      <c r="O797" s="1"/>
    </row>
    <row r="798">
      <c r="K798" s="1"/>
      <c r="L798" s="2"/>
      <c r="M798" s="1"/>
      <c r="N798" s="1"/>
      <c r="O798" s="1"/>
    </row>
    <row r="799">
      <c r="K799" s="1"/>
      <c r="L799" s="2"/>
      <c r="M799" s="1"/>
      <c r="N799" s="1"/>
      <c r="O799" s="1"/>
    </row>
    <row r="800">
      <c r="K800" s="1"/>
      <c r="L800" s="2"/>
      <c r="M800" s="1"/>
      <c r="N800" s="1"/>
      <c r="O800" s="1"/>
    </row>
    <row r="801">
      <c r="K801" s="1"/>
      <c r="L801" s="2"/>
      <c r="M801" s="1"/>
      <c r="N801" s="1"/>
      <c r="O801" s="1"/>
    </row>
    <row r="802">
      <c r="K802" s="1"/>
      <c r="L802" s="2"/>
      <c r="M802" s="1"/>
      <c r="N802" s="1"/>
      <c r="O802" s="1"/>
    </row>
    <row r="803">
      <c r="K803" s="1"/>
      <c r="L803" s="2"/>
      <c r="M803" s="1"/>
      <c r="N803" s="1"/>
      <c r="O803" s="1"/>
    </row>
    <row r="804">
      <c r="K804" s="1"/>
      <c r="L804" s="2"/>
      <c r="M804" s="1"/>
      <c r="N804" s="1"/>
      <c r="O804" s="1"/>
    </row>
    <row r="805">
      <c r="K805" s="1"/>
      <c r="L805" s="2"/>
      <c r="M805" s="1"/>
      <c r="N805" s="1"/>
      <c r="O805" s="1"/>
    </row>
    <row r="806">
      <c r="K806" s="1"/>
      <c r="L806" s="2"/>
      <c r="M806" s="1"/>
      <c r="N806" s="1"/>
      <c r="O806" s="1"/>
    </row>
    <row r="807">
      <c r="K807" s="1"/>
      <c r="L807" s="2"/>
      <c r="M807" s="1"/>
      <c r="N807" s="1"/>
      <c r="O807" s="1"/>
    </row>
    <row r="808">
      <c r="K808" s="1"/>
      <c r="L808" s="2"/>
      <c r="M808" s="1"/>
      <c r="N808" s="1"/>
      <c r="O808" s="1"/>
    </row>
    <row r="809">
      <c r="K809" s="1"/>
      <c r="L809" s="2"/>
      <c r="M809" s="1"/>
      <c r="N809" s="1"/>
      <c r="O809" s="1"/>
    </row>
    <row r="810">
      <c r="K810" s="1"/>
      <c r="L810" s="2"/>
      <c r="M810" s="1"/>
      <c r="N810" s="1"/>
      <c r="O810" s="1"/>
    </row>
    <row r="811">
      <c r="K811" s="1"/>
      <c r="L811" s="2"/>
      <c r="M811" s="1"/>
      <c r="N811" s="1"/>
      <c r="O811" s="1"/>
    </row>
    <row r="812">
      <c r="K812" s="1"/>
      <c r="L812" s="2"/>
      <c r="M812" s="1"/>
      <c r="N812" s="1"/>
      <c r="O812" s="1"/>
    </row>
    <row r="813">
      <c r="K813" s="1"/>
      <c r="L813" s="2"/>
      <c r="M813" s="1"/>
      <c r="N813" s="1"/>
      <c r="O813" s="1"/>
    </row>
    <row r="814">
      <c r="K814" s="1"/>
      <c r="L814" s="2"/>
      <c r="M814" s="1"/>
      <c r="N814" s="1"/>
      <c r="O814" s="1"/>
    </row>
    <row r="815">
      <c r="K815" s="1"/>
      <c r="L815" s="2"/>
      <c r="M815" s="1"/>
      <c r="N815" s="1"/>
      <c r="O815" s="1"/>
    </row>
    <row r="816">
      <c r="K816" s="1"/>
      <c r="L816" s="2"/>
      <c r="M816" s="1"/>
      <c r="N816" s="1"/>
      <c r="O816" s="1"/>
    </row>
    <row r="817">
      <c r="K817" s="1"/>
      <c r="L817" s="2"/>
      <c r="M817" s="1"/>
      <c r="N817" s="1"/>
      <c r="O817" s="1"/>
    </row>
    <row r="818">
      <c r="K818" s="1"/>
      <c r="L818" s="2"/>
      <c r="M818" s="1"/>
      <c r="N818" s="1"/>
      <c r="O818" s="1"/>
    </row>
    <row r="819">
      <c r="K819" s="1"/>
      <c r="L819" s="2"/>
      <c r="M819" s="1"/>
      <c r="N819" s="1"/>
      <c r="O819" s="1"/>
    </row>
    <row r="820">
      <c r="K820" s="1"/>
      <c r="L820" s="2"/>
      <c r="M820" s="1"/>
      <c r="N820" s="1"/>
      <c r="O820" s="1"/>
    </row>
    <row r="821">
      <c r="K821" s="1"/>
      <c r="L821" s="2"/>
      <c r="M821" s="1"/>
      <c r="N821" s="1"/>
      <c r="O821" s="1"/>
    </row>
    <row r="822">
      <c r="K822" s="1"/>
      <c r="L822" s="2"/>
      <c r="M822" s="1"/>
      <c r="N822" s="1"/>
      <c r="O822" s="1"/>
    </row>
    <row r="823">
      <c r="K823" s="1"/>
      <c r="L823" s="2"/>
      <c r="M823" s="1"/>
      <c r="N823" s="1"/>
      <c r="O823" s="1"/>
    </row>
    <row r="824">
      <c r="K824" s="1"/>
      <c r="L824" s="2"/>
      <c r="M824" s="1"/>
      <c r="N824" s="1"/>
      <c r="O824" s="1"/>
    </row>
    <row r="825">
      <c r="K825" s="1"/>
      <c r="L825" s="2"/>
      <c r="M825" s="1"/>
      <c r="N825" s="1"/>
      <c r="O825" s="1"/>
    </row>
    <row r="826">
      <c r="K826" s="1"/>
      <c r="L826" s="2"/>
      <c r="M826" s="1"/>
      <c r="N826" s="1"/>
      <c r="O826" s="1"/>
    </row>
    <row r="827">
      <c r="K827" s="1"/>
      <c r="L827" s="2"/>
      <c r="M827" s="1"/>
      <c r="N827" s="1"/>
      <c r="O827" s="1"/>
    </row>
    <row r="828">
      <c r="K828" s="1"/>
      <c r="L828" s="2"/>
      <c r="M828" s="1"/>
      <c r="N828" s="1"/>
      <c r="O828" s="1"/>
    </row>
    <row r="829">
      <c r="K829" s="1"/>
      <c r="L829" s="2"/>
      <c r="M829" s="1"/>
      <c r="N829" s="1"/>
      <c r="O829" s="1"/>
    </row>
    <row r="830">
      <c r="K830" s="1"/>
      <c r="L830" s="2"/>
      <c r="M830" s="1"/>
      <c r="N830" s="1"/>
      <c r="O830" s="1"/>
    </row>
    <row r="831">
      <c r="K831" s="1"/>
      <c r="L831" s="2"/>
      <c r="M831" s="1"/>
      <c r="N831" s="1"/>
      <c r="O831" s="1"/>
    </row>
    <row r="832">
      <c r="K832" s="1"/>
      <c r="L832" s="2"/>
      <c r="M832" s="1"/>
      <c r="N832" s="1"/>
      <c r="O832" s="1"/>
    </row>
    <row r="833">
      <c r="K833" s="1"/>
      <c r="L833" s="2"/>
      <c r="M833" s="1"/>
      <c r="N833" s="1"/>
      <c r="O833" s="1"/>
    </row>
    <row r="834">
      <c r="K834" s="1"/>
      <c r="L834" s="2"/>
      <c r="M834" s="1"/>
      <c r="N834" s="1"/>
      <c r="O834" s="1"/>
    </row>
    <row r="835">
      <c r="K835" s="1"/>
      <c r="L835" s="2"/>
      <c r="M835" s="1"/>
      <c r="N835" s="1"/>
      <c r="O835" s="1"/>
    </row>
    <row r="836">
      <c r="K836" s="1"/>
      <c r="L836" s="2"/>
      <c r="M836" s="1"/>
      <c r="N836" s="1"/>
      <c r="O836" s="1"/>
    </row>
    <row r="837">
      <c r="K837" s="1"/>
      <c r="L837" s="2"/>
      <c r="M837" s="1"/>
      <c r="N837" s="1"/>
      <c r="O837" s="1"/>
    </row>
    <row r="838">
      <c r="K838" s="1"/>
      <c r="L838" s="2"/>
      <c r="M838" s="1"/>
      <c r="N838" s="1"/>
      <c r="O838" s="1"/>
    </row>
    <row r="839">
      <c r="K839" s="1"/>
      <c r="L839" s="2"/>
      <c r="M839" s="1"/>
      <c r="N839" s="1"/>
      <c r="O839" s="1"/>
    </row>
    <row r="840">
      <c r="K840" s="1"/>
      <c r="L840" s="2"/>
      <c r="M840" s="1"/>
      <c r="N840" s="1"/>
      <c r="O840" s="1"/>
    </row>
    <row r="841">
      <c r="K841" s="1"/>
      <c r="L841" s="2"/>
      <c r="M841" s="1"/>
      <c r="N841" s="1"/>
      <c r="O841" s="1"/>
    </row>
    <row r="842">
      <c r="K842" s="1"/>
      <c r="L842" s="2"/>
      <c r="M842" s="1"/>
      <c r="N842" s="1"/>
      <c r="O842" s="1"/>
    </row>
    <row r="843">
      <c r="K843" s="1"/>
      <c r="L843" s="2"/>
      <c r="M843" s="1"/>
      <c r="N843" s="1"/>
      <c r="O843" s="1"/>
    </row>
    <row r="844">
      <c r="K844" s="1"/>
      <c r="L844" s="2"/>
      <c r="M844" s="1"/>
      <c r="N844" s="1"/>
      <c r="O844" s="1"/>
    </row>
    <row r="845">
      <c r="K845" s="1"/>
      <c r="L845" s="2"/>
      <c r="M845" s="1"/>
      <c r="N845" s="1"/>
      <c r="O845" s="1"/>
    </row>
    <row r="846">
      <c r="K846" s="1"/>
      <c r="L846" s="2"/>
      <c r="M846" s="1"/>
      <c r="N846" s="1"/>
      <c r="O846" s="1"/>
    </row>
    <row r="847">
      <c r="K847" s="1"/>
      <c r="L847" s="2"/>
      <c r="M847" s="1"/>
      <c r="N847" s="1"/>
      <c r="O847" s="1"/>
    </row>
    <row r="848">
      <c r="K848" s="1"/>
      <c r="L848" s="2"/>
      <c r="M848" s="1"/>
      <c r="N848" s="1"/>
      <c r="O848" s="1"/>
    </row>
    <row r="849">
      <c r="K849" s="1"/>
      <c r="L849" s="2"/>
      <c r="M849" s="1"/>
      <c r="N849" s="1"/>
      <c r="O849" s="1"/>
    </row>
    <row r="850">
      <c r="K850" s="1"/>
      <c r="L850" s="2"/>
      <c r="M850" s="1"/>
      <c r="N850" s="1"/>
      <c r="O850" s="1"/>
    </row>
    <row r="851">
      <c r="K851" s="1"/>
      <c r="L851" s="2"/>
      <c r="M851" s="1"/>
      <c r="N851" s="1"/>
      <c r="O851" s="1"/>
    </row>
    <row r="852">
      <c r="K852" s="1"/>
      <c r="L852" s="2"/>
      <c r="M852" s="1"/>
      <c r="N852" s="1"/>
      <c r="O852" s="1"/>
    </row>
    <row r="853">
      <c r="K853" s="1"/>
      <c r="L853" s="2"/>
      <c r="M853" s="1"/>
      <c r="N853" s="1"/>
      <c r="O853" s="1"/>
    </row>
    <row r="854">
      <c r="K854" s="1"/>
      <c r="L854" s="2"/>
      <c r="M854" s="1"/>
      <c r="N854" s="1"/>
      <c r="O854" s="1"/>
    </row>
    <row r="855">
      <c r="K855" s="1"/>
      <c r="L855" s="2"/>
      <c r="M855" s="1"/>
      <c r="N855" s="1"/>
      <c r="O855" s="1"/>
    </row>
    <row r="856">
      <c r="K856" s="1"/>
      <c r="L856" s="2"/>
      <c r="M856" s="1"/>
      <c r="N856" s="1"/>
      <c r="O856" s="1"/>
    </row>
    <row r="857">
      <c r="K857" s="1"/>
      <c r="L857" s="2"/>
      <c r="M857" s="1"/>
      <c r="N857" s="1"/>
      <c r="O857" s="1"/>
    </row>
    <row r="858">
      <c r="K858" s="1"/>
      <c r="L858" s="2"/>
      <c r="M858" s="1"/>
      <c r="N858" s="1"/>
      <c r="O858" s="1"/>
    </row>
    <row r="859">
      <c r="K859" s="1"/>
      <c r="L859" s="2"/>
      <c r="M859" s="1"/>
      <c r="N859" s="1"/>
      <c r="O859" s="1"/>
    </row>
    <row r="860">
      <c r="K860" s="1"/>
      <c r="L860" s="2"/>
      <c r="M860" s="1"/>
      <c r="N860" s="1"/>
      <c r="O860" s="1"/>
    </row>
    <row r="861">
      <c r="K861" s="1"/>
      <c r="L861" s="2"/>
      <c r="M861" s="1"/>
      <c r="N861" s="1"/>
      <c r="O861" s="1"/>
    </row>
    <row r="862">
      <c r="K862" s="1"/>
      <c r="L862" s="2"/>
      <c r="M862" s="1"/>
      <c r="N862" s="1"/>
      <c r="O862" s="1"/>
    </row>
    <row r="863">
      <c r="K863" s="1"/>
      <c r="L863" s="2"/>
      <c r="M863" s="1"/>
      <c r="N863" s="1"/>
      <c r="O863" s="1"/>
    </row>
    <row r="864">
      <c r="K864" s="1"/>
      <c r="L864" s="2"/>
      <c r="M864" s="1"/>
      <c r="N864" s="1"/>
      <c r="O864" s="1"/>
    </row>
    <row r="865">
      <c r="K865" s="1"/>
      <c r="L865" s="2"/>
      <c r="M865" s="1"/>
      <c r="N865" s="1"/>
      <c r="O865" s="1"/>
    </row>
    <row r="866">
      <c r="K866" s="1"/>
      <c r="L866" s="2"/>
      <c r="M866" s="1"/>
      <c r="N866" s="1"/>
      <c r="O866" s="1"/>
    </row>
    <row r="867">
      <c r="K867" s="1"/>
      <c r="L867" s="2"/>
      <c r="M867" s="1"/>
      <c r="N867" s="1"/>
      <c r="O867" s="1"/>
    </row>
    <row r="868">
      <c r="K868" s="1"/>
      <c r="L868" s="2"/>
      <c r="M868" s="1"/>
      <c r="N868" s="1"/>
      <c r="O868" s="1"/>
    </row>
    <row r="869">
      <c r="K869" s="1"/>
      <c r="L869" s="2"/>
      <c r="M869" s="1"/>
      <c r="N869" s="1"/>
      <c r="O869" s="1"/>
    </row>
    <row r="870">
      <c r="K870" s="1"/>
      <c r="L870" s="2"/>
      <c r="M870" s="1"/>
      <c r="N870" s="1"/>
      <c r="O870" s="1"/>
    </row>
    <row r="871">
      <c r="K871" s="1"/>
      <c r="L871" s="2"/>
      <c r="M871" s="1"/>
      <c r="N871" s="1"/>
      <c r="O871" s="1"/>
    </row>
    <row r="872">
      <c r="K872" s="1"/>
      <c r="L872" s="2"/>
      <c r="M872" s="1"/>
      <c r="N872" s="1"/>
      <c r="O872" s="1"/>
    </row>
    <row r="873">
      <c r="K873" s="1"/>
      <c r="L873" s="2"/>
      <c r="M873" s="1"/>
      <c r="N873" s="1"/>
      <c r="O873" s="1"/>
    </row>
    <row r="874">
      <c r="K874" s="1"/>
      <c r="L874" s="2"/>
      <c r="M874" s="1"/>
      <c r="N874" s="1"/>
      <c r="O874" s="1"/>
    </row>
    <row r="875">
      <c r="K875" s="1"/>
      <c r="L875" s="2"/>
      <c r="M875" s="1"/>
      <c r="N875" s="1"/>
      <c r="O875" s="1"/>
    </row>
    <row r="876">
      <c r="K876" s="1"/>
      <c r="L876" s="2"/>
      <c r="M876" s="1"/>
      <c r="N876" s="1"/>
      <c r="O876" s="1"/>
    </row>
    <row r="877">
      <c r="K877" s="1"/>
      <c r="L877" s="2"/>
      <c r="M877" s="1"/>
      <c r="N877" s="1"/>
      <c r="O877" s="1"/>
    </row>
    <row r="878">
      <c r="K878" s="1"/>
      <c r="L878" s="2"/>
      <c r="M878" s="1"/>
      <c r="N878" s="1"/>
      <c r="O878" s="1"/>
    </row>
    <row r="879">
      <c r="K879" s="1"/>
      <c r="L879" s="2"/>
      <c r="M879" s="1"/>
      <c r="N879" s="1"/>
      <c r="O879" s="1"/>
    </row>
    <row r="880">
      <c r="K880" s="1"/>
      <c r="L880" s="2"/>
      <c r="M880" s="1"/>
      <c r="N880" s="1"/>
      <c r="O880" s="1"/>
    </row>
    <row r="881">
      <c r="K881" s="1"/>
      <c r="L881" s="2"/>
      <c r="M881" s="1"/>
      <c r="N881" s="1"/>
      <c r="O881" s="1"/>
    </row>
    <row r="882">
      <c r="K882" s="1"/>
      <c r="L882" s="2"/>
      <c r="M882" s="1"/>
      <c r="N882" s="1"/>
      <c r="O882" s="1"/>
    </row>
    <row r="883">
      <c r="K883" s="1"/>
      <c r="L883" s="2"/>
      <c r="M883" s="1"/>
      <c r="N883" s="1"/>
      <c r="O883" s="1"/>
    </row>
    <row r="884">
      <c r="K884" s="1"/>
      <c r="L884" s="2"/>
      <c r="M884" s="1"/>
      <c r="N884" s="1"/>
      <c r="O884" s="1"/>
    </row>
    <row r="885">
      <c r="K885" s="1"/>
      <c r="L885" s="2"/>
      <c r="M885" s="1"/>
      <c r="N885" s="1"/>
      <c r="O885" s="1"/>
    </row>
    <row r="886">
      <c r="K886" s="1"/>
      <c r="L886" s="2"/>
      <c r="M886" s="1"/>
      <c r="N886" s="1"/>
      <c r="O886" s="1"/>
    </row>
    <row r="887">
      <c r="K887" s="1"/>
      <c r="L887" s="2"/>
      <c r="M887" s="1"/>
      <c r="N887" s="1"/>
      <c r="O887" s="1"/>
    </row>
    <row r="888">
      <c r="K888" s="1"/>
      <c r="L888" s="2"/>
      <c r="M888" s="1"/>
      <c r="N888" s="1"/>
      <c r="O888" s="1"/>
    </row>
    <row r="889">
      <c r="K889" s="1"/>
      <c r="L889" s="2"/>
      <c r="M889" s="1"/>
      <c r="N889" s="1"/>
      <c r="O889" s="1"/>
    </row>
    <row r="890">
      <c r="K890" s="1"/>
      <c r="L890" s="2"/>
      <c r="M890" s="1"/>
      <c r="N890" s="1"/>
      <c r="O890" s="1"/>
    </row>
    <row r="891">
      <c r="K891" s="1"/>
      <c r="L891" s="2"/>
      <c r="M891" s="1"/>
      <c r="N891" s="1"/>
      <c r="O891" s="1"/>
    </row>
    <row r="892">
      <c r="K892" s="1"/>
      <c r="L892" s="2"/>
      <c r="M892" s="1"/>
      <c r="N892" s="1"/>
      <c r="O892" s="1"/>
    </row>
    <row r="893">
      <c r="K893" s="1"/>
      <c r="L893" s="2"/>
      <c r="M893" s="1"/>
      <c r="N893" s="1"/>
      <c r="O893" s="1"/>
    </row>
    <row r="894">
      <c r="K894" s="1"/>
      <c r="L894" s="2"/>
      <c r="M894" s="1"/>
      <c r="N894" s="1"/>
      <c r="O894" s="1"/>
    </row>
    <row r="895">
      <c r="K895" s="1"/>
      <c r="L895" s="2"/>
      <c r="M895" s="1"/>
      <c r="N895" s="1"/>
      <c r="O895" s="1"/>
    </row>
    <row r="896">
      <c r="K896" s="1"/>
      <c r="L896" s="2"/>
      <c r="M896" s="1"/>
      <c r="N896" s="1"/>
      <c r="O896" s="1"/>
    </row>
    <row r="897">
      <c r="K897" s="1"/>
      <c r="L897" s="2"/>
      <c r="M897" s="1"/>
      <c r="N897" s="1"/>
      <c r="O897" s="1"/>
    </row>
    <row r="898">
      <c r="K898" s="1"/>
      <c r="L898" s="2"/>
      <c r="M898" s="1"/>
      <c r="N898" s="1"/>
      <c r="O898" s="1"/>
    </row>
    <row r="899">
      <c r="K899" s="1"/>
      <c r="L899" s="2"/>
      <c r="M899" s="1"/>
      <c r="N899" s="1"/>
      <c r="O899" s="1"/>
    </row>
    <row r="900">
      <c r="K900" s="1"/>
      <c r="L900" s="2"/>
      <c r="M900" s="1"/>
      <c r="N900" s="1"/>
      <c r="O900" s="1"/>
    </row>
    <row r="901">
      <c r="K901" s="1"/>
      <c r="L901" s="2"/>
      <c r="M901" s="1"/>
      <c r="N901" s="1"/>
      <c r="O901" s="1"/>
    </row>
    <row r="902">
      <c r="K902" s="1"/>
      <c r="L902" s="2"/>
      <c r="M902" s="1"/>
      <c r="N902" s="1"/>
      <c r="O902" s="1"/>
    </row>
    <row r="903">
      <c r="K903" s="1"/>
      <c r="L903" s="2"/>
      <c r="M903" s="1"/>
      <c r="N903" s="1"/>
      <c r="O903" s="1"/>
    </row>
    <row r="904">
      <c r="K904" s="1"/>
      <c r="L904" s="2"/>
      <c r="M904" s="1"/>
      <c r="N904" s="1"/>
      <c r="O904" s="1"/>
    </row>
    <row r="905">
      <c r="K905" s="1"/>
      <c r="L905" s="2"/>
      <c r="M905" s="1"/>
      <c r="N905" s="1"/>
      <c r="O905" s="1"/>
    </row>
    <row r="906">
      <c r="K906" s="1"/>
      <c r="L906" s="2"/>
      <c r="M906" s="1"/>
      <c r="N906" s="1"/>
      <c r="O906" s="1"/>
    </row>
    <row r="907">
      <c r="K907" s="1"/>
      <c r="L907" s="2"/>
      <c r="M907" s="1"/>
      <c r="N907" s="1"/>
      <c r="O907" s="1"/>
    </row>
    <row r="908">
      <c r="K908" s="1"/>
      <c r="L908" s="2"/>
      <c r="M908" s="1"/>
      <c r="N908" s="1"/>
      <c r="O908" s="1"/>
    </row>
    <row r="909">
      <c r="K909" s="1"/>
      <c r="L909" s="2"/>
      <c r="M909" s="1"/>
      <c r="N909" s="1"/>
      <c r="O909" s="1"/>
    </row>
    <row r="910">
      <c r="K910" s="1"/>
      <c r="L910" s="2"/>
      <c r="M910" s="1"/>
      <c r="N910" s="1"/>
      <c r="O910" s="1"/>
    </row>
    <row r="911">
      <c r="K911" s="1"/>
      <c r="L911" s="2"/>
      <c r="M911" s="1"/>
      <c r="N911" s="1"/>
      <c r="O911" s="1"/>
    </row>
    <row r="912">
      <c r="K912" s="1"/>
      <c r="L912" s="2"/>
      <c r="M912" s="1"/>
      <c r="N912" s="1"/>
      <c r="O912" s="1"/>
    </row>
    <row r="913">
      <c r="K913" s="1"/>
      <c r="L913" s="2"/>
      <c r="M913" s="1"/>
      <c r="N913" s="1"/>
      <c r="O913" s="1"/>
    </row>
    <row r="914">
      <c r="K914" s="1"/>
      <c r="L914" s="2"/>
      <c r="M914" s="1"/>
      <c r="N914" s="1"/>
      <c r="O914" s="1"/>
    </row>
    <row r="915">
      <c r="K915" s="1"/>
      <c r="L915" s="2"/>
      <c r="M915" s="1"/>
      <c r="N915" s="1"/>
      <c r="O915" s="1"/>
    </row>
    <row r="916">
      <c r="K916" s="1"/>
      <c r="L916" s="2"/>
      <c r="M916" s="1"/>
      <c r="N916" s="1"/>
      <c r="O916" s="1"/>
    </row>
    <row r="917">
      <c r="K917" s="1"/>
      <c r="L917" s="2"/>
      <c r="M917" s="1"/>
      <c r="N917" s="1"/>
      <c r="O917" s="1"/>
    </row>
    <row r="918">
      <c r="K918" s="1"/>
      <c r="L918" s="2"/>
      <c r="M918" s="1"/>
      <c r="N918" s="1"/>
      <c r="O918" s="1"/>
    </row>
    <row r="919">
      <c r="K919" s="1"/>
      <c r="L919" s="2"/>
      <c r="M919" s="1"/>
      <c r="N919" s="1"/>
      <c r="O919" s="1"/>
    </row>
    <row r="920">
      <c r="K920" s="1"/>
      <c r="L920" s="2"/>
      <c r="M920" s="1"/>
      <c r="N920" s="1"/>
      <c r="O920" s="1"/>
    </row>
    <row r="921">
      <c r="K921" s="1"/>
      <c r="L921" s="2"/>
      <c r="M921" s="1"/>
      <c r="N921" s="1"/>
      <c r="O921" s="1"/>
    </row>
    <row r="922">
      <c r="K922" s="1"/>
      <c r="L922" s="2"/>
      <c r="M922" s="1"/>
      <c r="N922" s="1"/>
      <c r="O922" s="1"/>
    </row>
    <row r="923">
      <c r="K923" s="1"/>
      <c r="L923" s="2"/>
      <c r="M923" s="1"/>
      <c r="N923" s="1"/>
      <c r="O923" s="1"/>
    </row>
    <row r="924">
      <c r="K924" s="1"/>
      <c r="L924" s="2"/>
      <c r="M924" s="1"/>
      <c r="N924" s="1"/>
      <c r="O924" s="1"/>
    </row>
    <row r="925">
      <c r="K925" s="1"/>
      <c r="L925" s="2"/>
      <c r="M925" s="1"/>
      <c r="N925" s="1"/>
      <c r="O925" s="1"/>
    </row>
    <row r="926">
      <c r="K926" s="1"/>
      <c r="L926" s="2"/>
      <c r="M926" s="1"/>
      <c r="N926" s="1"/>
      <c r="O926" s="1"/>
    </row>
    <row r="927">
      <c r="K927" s="1"/>
      <c r="L927" s="2"/>
      <c r="M927" s="1"/>
      <c r="N927" s="1"/>
      <c r="O927" s="1"/>
    </row>
    <row r="928">
      <c r="K928" s="1"/>
      <c r="L928" s="2"/>
      <c r="M928" s="1"/>
      <c r="N928" s="1"/>
      <c r="O928" s="1"/>
    </row>
    <row r="929">
      <c r="K929" s="1"/>
      <c r="L929" s="2"/>
      <c r="M929" s="1"/>
      <c r="N929" s="1"/>
      <c r="O929" s="1"/>
    </row>
    <row r="930">
      <c r="K930" s="1"/>
      <c r="L930" s="2"/>
      <c r="M930" s="1"/>
      <c r="N930" s="1"/>
      <c r="O930" s="1"/>
    </row>
    <row r="931">
      <c r="K931" s="1"/>
      <c r="L931" s="2"/>
      <c r="M931" s="1"/>
      <c r="N931" s="1"/>
      <c r="O931" s="1"/>
    </row>
    <row r="932">
      <c r="K932" s="1"/>
      <c r="L932" s="2"/>
      <c r="M932" s="1"/>
      <c r="N932" s="1"/>
      <c r="O932" s="1"/>
    </row>
    <row r="933">
      <c r="K933" s="1"/>
      <c r="L933" s="2"/>
      <c r="M933" s="1"/>
      <c r="N933" s="1"/>
      <c r="O933" s="1"/>
    </row>
    <row r="934">
      <c r="K934" s="1"/>
      <c r="L934" s="2"/>
      <c r="M934" s="1"/>
      <c r="N934" s="1"/>
      <c r="O934" s="1"/>
    </row>
    <row r="935">
      <c r="K935" s="1"/>
      <c r="L935" s="2"/>
      <c r="M935" s="1"/>
      <c r="N935" s="1"/>
      <c r="O935" s="1"/>
    </row>
    <row r="936">
      <c r="K936" s="1"/>
      <c r="L936" s="2"/>
      <c r="M936" s="1"/>
      <c r="N936" s="1"/>
      <c r="O936" s="1"/>
    </row>
    <row r="937">
      <c r="K937" s="1"/>
      <c r="L937" s="2"/>
      <c r="M937" s="1"/>
      <c r="N937" s="1"/>
      <c r="O937" s="1"/>
    </row>
    <row r="938">
      <c r="K938" s="1"/>
      <c r="L938" s="2"/>
      <c r="M938" s="1"/>
      <c r="N938" s="1"/>
      <c r="O938" s="1"/>
    </row>
    <row r="939">
      <c r="K939" s="1"/>
      <c r="L939" s="2"/>
      <c r="M939" s="1"/>
      <c r="N939" s="1"/>
      <c r="O939" s="1"/>
    </row>
    <row r="940">
      <c r="K940" s="1"/>
      <c r="L940" s="2"/>
      <c r="M940" s="1"/>
      <c r="N940" s="1"/>
      <c r="O940" s="1"/>
    </row>
    <row r="941">
      <c r="K941" s="1"/>
      <c r="L941" s="2"/>
      <c r="M941" s="1"/>
      <c r="N941" s="1"/>
      <c r="O941" s="1"/>
    </row>
    <row r="942">
      <c r="K942" s="1"/>
      <c r="L942" s="2"/>
      <c r="M942" s="1"/>
      <c r="N942" s="1"/>
      <c r="O942" s="1"/>
    </row>
    <row r="943">
      <c r="K943" s="1"/>
      <c r="L943" s="2"/>
      <c r="M943" s="1"/>
      <c r="N943" s="1"/>
      <c r="O943" s="1"/>
    </row>
    <row r="944">
      <c r="K944" s="1"/>
      <c r="L944" s="2"/>
      <c r="M944" s="1"/>
      <c r="N944" s="1"/>
      <c r="O944" s="1"/>
    </row>
    <row r="945">
      <c r="K945" s="1"/>
      <c r="L945" s="2"/>
      <c r="M945" s="1"/>
      <c r="N945" s="1"/>
      <c r="O945" s="1"/>
    </row>
    <row r="946">
      <c r="K946" s="1"/>
      <c r="L946" s="2"/>
      <c r="M946" s="1"/>
      <c r="N946" s="1"/>
      <c r="O946" s="1"/>
    </row>
    <row r="947">
      <c r="K947" s="1"/>
      <c r="L947" s="2"/>
      <c r="M947" s="1"/>
      <c r="N947" s="1"/>
      <c r="O947" s="1"/>
    </row>
    <row r="948">
      <c r="K948" s="1"/>
      <c r="L948" s="2"/>
      <c r="M948" s="1"/>
      <c r="N948" s="1"/>
      <c r="O948" s="1"/>
    </row>
    <row r="949">
      <c r="K949" s="1"/>
      <c r="L949" s="2"/>
      <c r="M949" s="1"/>
      <c r="N949" s="1"/>
      <c r="O949" s="1"/>
    </row>
    <row r="950">
      <c r="K950" s="1"/>
      <c r="L950" s="2"/>
      <c r="M950" s="1"/>
      <c r="N950" s="1"/>
      <c r="O950" s="1"/>
    </row>
    <row r="951">
      <c r="K951" s="1"/>
      <c r="L951" s="2"/>
      <c r="M951" s="1"/>
      <c r="N951" s="1"/>
      <c r="O951" s="1"/>
    </row>
    <row r="952">
      <c r="K952" s="1"/>
      <c r="L952" s="2"/>
      <c r="M952" s="1"/>
      <c r="N952" s="1"/>
      <c r="O952" s="1"/>
    </row>
    <row r="953">
      <c r="K953" s="1"/>
      <c r="L953" s="2"/>
      <c r="M953" s="1"/>
      <c r="N953" s="1"/>
      <c r="O953" s="1"/>
    </row>
    <row r="954">
      <c r="K954" s="1"/>
      <c r="L954" s="2"/>
      <c r="M954" s="1"/>
      <c r="N954" s="1"/>
      <c r="O954" s="1"/>
    </row>
    <row r="955">
      <c r="K955" s="1"/>
      <c r="L955" s="2"/>
      <c r="M955" s="1"/>
      <c r="N955" s="1"/>
      <c r="O955" s="1"/>
    </row>
    <row r="956">
      <c r="K956" s="1"/>
      <c r="L956" s="2"/>
      <c r="M956" s="1"/>
      <c r="N956" s="1"/>
      <c r="O956" s="1"/>
    </row>
    <row r="957">
      <c r="K957" s="1"/>
      <c r="L957" s="2"/>
      <c r="M957" s="1"/>
      <c r="N957" s="1"/>
      <c r="O957" s="1"/>
    </row>
    <row r="958">
      <c r="K958" s="1"/>
      <c r="L958" s="2"/>
      <c r="M958" s="1"/>
      <c r="N958" s="1"/>
      <c r="O958" s="1"/>
    </row>
    <row r="959">
      <c r="K959" s="1"/>
      <c r="L959" s="2"/>
      <c r="M959" s="1"/>
      <c r="N959" s="1"/>
      <c r="O959" s="1"/>
    </row>
    <row r="960">
      <c r="K960" s="1"/>
      <c r="L960" s="2"/>
      <c r="M960" s="1"/>
      <c r="N960" s="1"/>
      <c r="O960" s="1"/>
    </row>
    <row r="961">
      <c r="K961" s="1"/>
      <c r="L961" s="2"/>
      <c r="M961" s="1"/>
      <c r="N961" s="1"/>
      <c r="O961" s="1"/>
    </row>
    <row r="962">
      <c r="K962" s="1"/>
      <c r="L962" s="2"/>
      <c r="M962" s="1"/>
      <c r="N962" s="1"/>
      <c r="O962" s="1"/>
    </row>
    <row r="963">
      <c r="K963" s="1"/>
      <c r="L963" s="2"/>
      <c r="M963" s="1"/>
      <c r="N963" s="1"/>
      <c r="O963" s="1"/>
    </row>
    <row r="964">
      <c r="K964" s="1"/>
      <c r="L964" s="2"/>
      <c r="M964" s="1"/>
      <c r="N964" s="1"/>
      <c r="O964" s="1"/>
    </row>
    <row r="965">
      <c r="K965" s="1"/>
      <c r="L965" s="2"/>
      <c r="M965" s="1"/>
      <c r="N965" s="1"/>
      <c r="O965" s="1"/>
    </row>
    <row r="966">
      <c r="K966" s="1"/>
      <c r="L966" s="2"/>
      <c r="M966" s="1"/>
      <c r="N966" s="1"/>
      <c r="O966" s="1"/>
    </row>
    <row r="967">
      <c r="K967" s="1"/>
      <c r="L967" s="2"/>
      <c r="M967" s="1"/>
      <c r="N967" s="1"/>
      <c r="O967" s="1"/>
    </row>
    <row r="968">
      <c r="K968" s="1"/>
      <c r="L968" s="2"/>
      <c r="M968" s="1"/>
      <c r="N968" s="1"/>
      <c r="O968" s="1"/>
    </row>
    <row r="969">
      <c r="K969" s="1"/>
      <c r="L969" s="2"/>
      <c r="M969" s="1"/>
      <c r="N969" s="1"/>
      <c r="O969" s="1"/>
    </row>
    <row r="970">
      <c r="K970" s="1"/>
      <c r="L970" s="2"/>
      <c r="M970" s="1"/>
      <c r="N970" s="1"/>
      <c r="O970" s="1"/>
    </row>
    <row r="971">
      <c r="K971" s="1"/>
      <c r="L971" s="2"/>
      <c r="M971" s="1"/>
      <c r="N971" s="1"/>
      <c r="O971" s="1"/>
    </row>
    <row r="972">
      <c r="K972" s="1"/>
      <c r="L972" s="2"/>
      <c r="M972" s="1"/>
      <c r="N972" s="1"/>
      <c r="O972" s="1"/>
    </row>
    <row r="973">
      <c r="K973" s="1"/>
      <c r="L973" s="2"/>
      <c r="M973" s="1"/>
      <c r="N973" s="1"/>
      <c r="O973" s="1"/>
    </row>
    <row r="974">
      <c r="K974" s="1"/>
      <c r="L974" s="2"/>
      <c r="M974" s="1"/>
      <c r="N974" s="1"/>
      <c r="O974" s="1"/>
    </row>
    <row r="975">
      <c r="K975" s="1"/>
      <c r="L975" s="2"/>
      <c r="M975" s="1"/>
      <c r="N975" s="1"/>
      <c r="O975" s="1"/>
    </row>
    <row r="976">
      <c r="K976" s="1"/>
      <c r="L976" s="2"/>
      <c r="M976" s="1"/>
      <c r="N976" s="1"/>
      <c r="O976" s="1"/>
    </row>
    <row r="977">
      <c r="K977" s="1"/>
      <c r="L977" s="2"/>
      <c r="M977" s="1"/>
      <c r="N977" s="1"/>
      <c r="O977" s="1"/>
    </row>
    <row r="978">
      <c r="K978" s="1"/>
      <c r="L978" s="2"/>
      <c r="M978" s="1"/>
      <c r="N978" s="1"/>
      <c r="O978" s="1"/>
    </row>
    <row r="979">
      <c r="K979" s="1"/>
      <c r="L979" s="2"/>
      <c r="M979" s="1"/>
      <c r="N979" s="1"/>
      <c r="O979" s="1"/>
    </row>
    <row r="980">
      <c r="K980" s="1"/>
      <c r="L980" s="2"/>
      <c r="M980" s="1"/>
      <c r="N980" s="1"/>
      <c r="O980" s="1"/>
    </row>
    <row r="981">
      <c r="K981" s="1"/>
      <c r="L981" s="2"/>
      <c r="M981" s="1"/>
      <c r="N981" s="1"/>
      <c r="O981" s="1"/>
    </row>
    <row r="982">
      <c r="K982" s="1"/>
      <c r="L982" s="2"/>
      <c r="M982" s="1"/>
      <c r="N982" s="1"/>
      <c r="O982" s="1"/>
    </row>
    <row r="983">
      <c r="K983" s="1"/>
      <c r="L983" s="2"/>
      <c r="M983" s="1"/>
      <c r="N983" s="1"/>
      <c r="O983" s="1"/>
    </row>
  </sheetData>
  <drawing r:id="rId1"/>
</worksheet>
</file>